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worksheets/sheet3.xml" ContentType="application/vnd.openxmlformats-officedocument.spreadsheetml.work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chartsheets/sheet18.xml" ContentType="application/vnd.openxmlformats-officedocument.spreadsheetml.chartsheet+xml"/>
  <Override PartName="/xl/chartsheets/sheet19.xml" ContentType="application/vnd.openxmlformats-officedocument.spreadsheetml.chartsheet+xml"/>
  <Override PartName="/xl/chartsheets/sheet20.xml" ContentType="application/vnd.openxmlformats-officedocument.spreadsheetml.chartsheet+xml"/>
  <Override PartName="/xl/chartsheets/sheet21.xml" ContentType="application/vnd.openxmlformats-officedocument.spreadsheetml.chartsheet+xml"/>
  <Override PartName="/xl/chartsheets/sheet22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trlProps/ctrlProp3.xml" ContentType="application/vnd.ms-excel.controlproperties+xml"/>
  <Override PartName="/xl/drawings/drawing2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31.xml" ContentType="application/vnd.openxmlformats-officedocument.drawingml.chartshapes+xml"/>
  <Override PartName="/xl/drawings/drawing32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3.xml" ContentType="application/vnd.openxmlformats-officedocument.drawingml.chartshapes+xml"/>
  <Override PartName="/xl/drawings/drawing3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7.xml" ContentType="application/vnd.openxmlformats-officedocument.drawingml.chartshapes+xml"/>
  <Override PartName="/xl/drawings/drawing38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4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ta\health\COVID19\COVID19excel\"/>
    </mc:Choice>
  </mc:AlternateContent>
  <bookViews>
    <workbookView xWindow="0" yWindow="0" windowWidth="21675" windowHeight="8685" tabRatio="841" activeTab="1"/>
  </bookViews>
  <sheets>
    <sheet name="myData" sheetId="4" r:id="rId1"/>
    <sheet name="chtTests" sheetId="22" r:id="rId2"/>
    <sheet name="solvMsgs" sheetId="21" r:id="rId3"/>
    <sheet name="chtAsymptoteNSW (2)" sheetId="40" r:id="rId4"/>
    <sheet name="chtFutureItalyEarly (2)" sheetId="39" r:id="rId5"/>
    <sheet name="chtFutureSKoreaLS" sheetId="38" r:id="rId6"/>
    <sheet name="chtFutureItalyLS" sheetId="37" r:id="rId7"/>
    <sheet name="chtFutureChinaLS" sheetId="36" r:id="rId8"/>
    <sheet name="chtAllcases" sheetId="35" r:id="rId9"/>
    <sheet name="chtAsymptoteNSW" sheetId="32" r:id="rId10"/>
    <sheet name="chtFutureAllSK2" sheetId="33" r:id="rId11"/>
    <sheet name="chtFutureNSW" sheetId="5" r:id="rId12"/>
    <sheet name="chtFutureUK" sheetId="30" r:id="rId13"/>
    <sheet name="chtFutureSKorea" sheetId="26" r:id="rId14"/>
    <sheet name="chtFutureNSWUS" sheetId="25" r:id="rId15"/>
    <sheet name="chtFutureAll" sheetId="15" r:id="rId16"/>
    <sheet name="Chart Index" sheetId="14" r:id="rId17"/>
    <sheet name="chtFutureNSWEarly" sheetId="8" r:id="rId18"/>
    <sheet name="chtFutureItalyEarly" sheetId="7" r:id="rId19"/>
    <sheet name="chtFutureItaly" sheetId="6" r:id="rId20"/>
    <sheet name="chtFutureUSEarly" sheetId="10" r:id="rId21"/>
    <sheet name="chtFutureUS" sheetId="11" r:id="rId22"/>
    <sheet name="chtFutureChina" sheetId="19" r:id="rId23"/>
    <sheet name="chtFutureAU" sheetId="24" r:id="rId24"/>
    <sheet name="chtFutureAllAU" sheetId="23" r:id="rId25"/>
    <sheet name="BedOccupancy" sheetId="16" state="hidden" r:id="rId26"/>
    <sheet name="Names" sheetId="20" state="hidden" r:id="rId27"/>
    <sheet name="time_series_19-covid-Confirmed" sheetId="1" r:id="rId28"/>
  </sheets>
  <functionGroups builtInGroupCount="18"/>
  <externalReferences>
    <externalReference r:id="rId29"/>
  </externalReferences>
  <definedNames>
    <definedName name="_xlnm._FilterDatabase" localSheetId="27" hidden="1">'time_series_19-covid-Confirmed'!$A$1:$BO$242</definedName>
    <definedName name="aaaTest">MATCH(1,tblData[SKorea Cases Per Capita],0)</definedName>
    <definedName name="aaaTest1" localSheetId="0">myData!$DY$154</definedName>
    <definedName name="Asymptote" localSheetId="0">myData!$D$2</definedName>
    <definedName name="AuCases" localSheetId="0">OFFSET(tblData[[#Headers],[Au Cases Per Capita]],MATCH(0,tblData[Au Cases Per Capita],0)+1,0,COUNTA(tblData[New South Wales])-MATCH(0,tblData[NSW Cases per Capita],0),1)</definedName>
    <definedName name="AuDates" localSheetId="0">myData!NSWDates</definedName>
    <definedName name="AuLogi" localSheetId="0">OFFSET(tblData[[#Headers],[Au LogiP(t) Per Capita]],MATCH(0,tblData[NSW],0)+1,0,COUNTA(tblData[Date])-MATCH(0,tblData[NSW],0),1)</definedName>
    <definedName name="AuLogiDates" localSheetId="0">OFFSET(tblData[[#Headers],[Date]],MATCH(0,tblData[NSW],0)+1,0,COUNTA(tblData[Date])-MATCH(0,tblData[NSW],0),1)</definedName>
    <definedName name="AuMaxCasespc" localSheetId="0">myData!$CY$11</definedName>
    <definedName name="AuPop" localSheetId="0">myData!$AE$8</definedName>
    <definedName name="AuSeries" localSheetId="0">myData!$CV$11</definedName>
    <definedName name="AuStart" localSheetId="0">myData!$CC$11</definedName>
    <definedName name="beta" localSheetId="0">myData!$A$2</definedName>
    <definedName name="betaAu" localSheetId="0">myData!$CF$11</definedName>
    <definedName name="betaChina" localSheetId="0">myData!$CF$15</definedName>
    <definedName name="betaGeneric" localSheetId="0">myData!$CF$20</definedName>
    <definedName name="betaItaly" localSheetId="0">myData!$CF$13</definedName>
    <definedName name="betaNSW" localSheetId="0">myData!$CF$12</definedName>
    <definedName name="betaPodelta" localSheetId="0">myData!$F$2</definedName>
    <definedName name="betaPodeltaAu" localSheetId="0">myData!$CK$11</definedName>
    <definedName name="betaPodeltaChina" localSheetId="0">myData!$CK$15</definedName>
    <definedName name="betaPodeltaGeneric" localSheetId="0">myData!$CK$20</definedName>
    <definedName name="betaPodeltaItaly" localSheetId="0">myData!$CK$13</definedName>
    <definedName name="betaPodeltaNSW" localSheetId="0">myData!$CK$12</definedName>
    <definedName name="betaPodeltaSingapore" localSheetId="0">myData!$CK$18</definedName>
    <definedName name="betaPodeltaSKorea" localSheetId="0">myData!$CK$16</definedName>
    <definedName name="betaPodeltaTests" localSheetId="0">myData!$CK$19</definedName>
    <definedName name="betaPodeltaUK" localSheetId="0">myData!$CK$17</definedName>
    <definedName name="betaPodeltaUS" localSheetId="0">myData!$CK$14</definedName>
    <definedName name="betaSingapore" localSheetId="0">myData!$CF$18</definedName>
    <definedName name="betaSKorea" localSheetId="0">myData!$CF$16</definedName>
    <definedName name="betaTests" localSheetId="0">myData!$CF$19</definedName>
    <definedName name="betaUK" localSheetId="0">myData!$CF$17</definedName>
    <definedName name="betaUS" localSheetId="0">myData!$CF$14</definedName>
    <definedName name="ChinaCases" localSheetId="0">OFFSET(tblData[[#Headers],[China Cases Per Capita]],1,0,COUNTA(tblData[China Cases Per Capita]),1)</definedName>
    <definedName name="ChinaDates" localSheetId="0">OFFSET(tblData[[#Headers],[Date]],1,0,COUNTA(tblData[China]),1)</definedName>
    <definedName name="ChinaLogi" localSheetId="0">OFFSET(tblData[[#Headers],[China LogiP(t) Per Capita]],1,0,COUNTA(tblData[Date]),1)</definedName>
    <definedName name="ChinaLogiDates" localSheetId="0">OFFSET(tblData[[#Headers],[Date]],1,0,COUNTA(tblData[Date]),1)</definedName>
    <definedName name="ChinaPop" localSheetId="0">myData!$V$8</definedName>
    <definedName name="ChinaSeries" localSheetId="0">myData!$CV$15</definedName>
    <definedName name="ChinaStart" localSheetId="0">myData!$CC$15</definedName>
    <definedName name="Countries" comment="List of Countries for running solver">solvMsgs!$E$1:$G$10</definedName>
    <definedName name="delta" localSheetId="0">myData!$B$2</definedName>
    <definedName name="deltaAu" localSheetId="0">myData!$CG$11</definedName>
    <definedName name="deltaChina" localSheetId="0">myData!$CG$15</definedName>
    <definedName name="deltaconstraint" localSheetId="0">myData!$B$3</definedName>
    <definedName name="deltaGeneric" localSheetId="0">myData!$CG$20</definedName>
    <definedName name="deltaItaly" localSheetId="0">myData!$CG$13</definedName>
    <definedName name="deltaNSW" localSheetId="0">myData!$CG$12</definedName>
    <definedName name="deltaSingapore" localSheetId="0">myData!$CG$18</definedName>
    <definedName name="deltaSKorea" localSheetId="0">myData!$CG$16</definedName>
    <definedName name="deltaTests" localSheetId="0">myData!$CG$19</definedName>
    <definedName name="deltaUK" localSheetId="0">myData!$CG$17</definedName>
    <definedName name="deltaUS" localSheetId="0">myData!$CG$14</definedName>
    <definedName name="GenCountry" localSheetId="0">myData!$Y$2</definedName>
    <definedName name="GenericCases" localSheetId="0">OFFSET(tblData[[#Headers],[Generic Cases Per Capita]],MATCH(0,tblData[Generic Cases Per Capita],0)+1,0,COUNTA(tblData[Generic Cases Per Capita])-1,1)</definedName>
    <definedName name="GenericDates" localSheetId="0">OFFSET(tblData[[#Headers],[Date]],MATCH(0,tblData[Generic],0)+1,0,COUNTA(tblData[Generic])-1,1)</definedName>
    <definedName name="GenericLogiDates" localSheetId="0">OFFSET(tblData[[#Headers],[Date]],MATCH(0,tblData[Generic],0)+1,0,COUNTA(tblData[Date])-MATCH(0,tblData[Generic],0),1)</definedName>
    <definedName name="GenericPop" localSheetId="0">myData!$BL$8</definedName>
    <definedName name="GenMatch" localSheetId="0">myData!$AC$2</definedName>
    <definedName name="GenName" localSheetId="0">myData!$AA$2</definedName>
    <definedName name="GenPop" localSheetId="0">myData!$Z$8</definedName>
    <definedName name="GenStart" localSheetId="0">myData!$AB$2</definedName>
    <definedName name="GenState" localSheetId="0">myData!$Z$2</definedName>
    <definedName name="HisTableBL" localSheetId="0">OFFSET(myData!HisTableTL,COUNTA(myData!HisTableCol1All)-1,0,1,1)</definedName>
    <definedName name="HisTableCol1" localSheetId="0">OFFSET(myData!HisTableTL,1,0,COUNTA(myData!HisTableCol1All)-1,1)</definedName>
    <definedName name="HisTableCol1All" localSheetId="0">myData!$DY:$DY</definedName>
    <definedName name="HisTableItalyDates" localSheetId="0">OFFSET(myData!HisTableTL,MATCH("Italy",myData!HisTableCol1,0),12,MATCH("USA",myData!HisTableCol1,0)-MATCH("Italy",myData!HisTableCol1,0),1)</definedName>
    <definedName name="HisTableItalyLimit" localSheetId="0">OFFSET(myData!HisTableItalyDates,0,-4)</definedName>
    <definedName name="HisTableNSWDates" localSheetId="0">OFFSET(myData!HisTableTL,MATCH("NSW",myData!HisTableCol1,0),12,MATCH("Italy",myData!HisTableCol1,0)-MATCH("NSW",myData!HisTableCol1,0),1)</definedName>
    <definedName name="HisTableNSWLimit" localSheetId="0">OFFSET(myData!HisTableNSWDates,0,-4)</definedName>
    <definedName name="HisTableTL" localSheetId="0">myData!$DY$10</definedName>
    <definedName name="ItalyCases" localSheetId="0">OFFSET(tblData[[#Headers],[Italy Cases per Capita]],MATCH(0,tblData[Italy Cases per Capita],0)+1,0,COUNTA(tblData[Italy Cases per Capita])-1,1)</definedName>
    <definedName name="ItalyDates" localSheetId="0">OFFSET(tblData[[#Headers],[Date]],MATCH(0,tblData[Italy],0)+1,0,COUNTA(tblData[Italy])-1,1)</definedName>
    <definedName name="ItalyLogi" localSheetId="0">OFFSET(tblData[[#Headers],[Italy LogiP(t) Per Capita]],MATCH(0,tblData[Italy],0)+2,0,COUNTA(tblData[Date])-MATCH(0,tblData[Italy],0),1)</definedName>
    <definedName name="ItalyLogiDates" localSheetId="0">OFFSET(tblData[[#Headers],[Date]],MATCH(0,tblData[Italy],0)+1,0,COUNTA(tblData[Date])-MATCH(0,tblData[Italy],0),1)</definedName>
    <definedName name="ItalyPop" localSheetId="0">myData!$N$8</definedName>
    <definedName name="ItalySeries" localSheetId="0">myData!$CV$13</definedName>
    <definedName name="ItalyStart" localSheetId="0">myData!$CC$13</definedName>
    <definedName name="LogestBNSW" localSheetId="0">myData!$FG$2</definedName>
    <definedName name="LogEstMNSW" localSheetId="0">myData!$FF$2</definedName>
    <definedName name="LogFormula" localSheetId="0">myData!$DG$4</definedName>
    <definedName name="MaxAusCases" localSheetId="0">myData!$CP$11</definedName>
    <definedName name="MaxNSWCases" localSheetId="0">myData!$CP$12</definedName>
    <definedName name="msqAu" localSheetId="0">myData!$CJ$11</definedName>
    <definedName name="msqChina" localSheetId="0">myData!$CJ$15</definedName>
    <definedName name="msqGeneric" localSheetId="0">myData!$CJ$20</definedName>
    <definedName name="msqItaly" localSheetId="0">myData!$CJ$13</definedName>
    <definedName name="msqNSW" localSheetId="0">myData!$CJ$12</definedName>
    <definedName name="msqSingapore" localSheetId="0">myData!$CJ$18</definedName>
    <definedName name="msqSKorea" localSheetId="0">myData!$CJ$16</definedName>
    <definedName name="msqTests" localSheetId="0">myData!$CJ$19</definedName>
    <definedName name="msqUK" localSheetId="0">myData!$CJ$17</definedName>
    <definedName name="msqUS" localSheetId="0">myData!$CJ$14</definedName>
    <definedName name="mySolverPar" localSheetId="0">myData!$A$2:$E$2</definedName>
    <definedName name="NSWCases" localSheetId="0">OFFSET(tblData[[#Headers],[NSW Cases per Capita]],MATCH(0,tblData[NSW Cases per Capita],0)+1,0,COUNTA(tblData[New South Wales])-MATCH(0,tblData[NSW Cases per Capita],0),1)</definedName>
    <definedName name="NSWDates" localSheetId="0">OFFSET(tblData[[#Headers],[Date]],MATCH(0,tblData[NSW],0)+1,0,COUNTA(tblData[New South Wales])-MATCH(0,tblData[NSW],0),1)</definedName>
    <definedName name="NSWLogi" localSheetId="0">OFFSET(tblData[[#Headers],[Nsw LogiP(t) Per Capita]],MATCH(0,tblData[NSW],0)+1,0,COUNTA(tblData[Date])-MATCH(0,tblData[NSW],0),1)</definedName>
    <definedName name="NSWLogiDates" localSheetId="0">OFFSET(tblData[[#Headers],[Date]],MATCH(0,tblData[NSW],0)+1,0,COUNTA(tblData[Date])-MATCH(0,tblData[NSW],0),1)</definedName>
    <definedName name="NSWMaxCasespc" localSheetId="0">myData!$CY$12</definedName>
    <definedName name="NSWpop" comment="NSW population" localSheetId="0">myData!$L$8</definedName>
    <definedName name="NSWSeries" localSheetId="0">myData!$CV$12</definedName>
    <definedName name="nswstart" localSheetId="0">myData!$CC$12</definedName>
    <definedName name="PerPerson" localSheetId="0">myData!$L$2</definedName>
    <definedName name="PerPersonLabel">myData!$L$3</definedName>
    <definedName name="Po" localSheetId="0">myData!$C$2</definedName>
    <definedName name="PoAu" localSheetId="0">myData!$CH$11</definedName>
    <definedName name="PoChina" localSheetId="0">myData!$CH$15</definedName>
    <definedName name="PoGeneric" localSheetId="0">myData!$CH$20</definedName>
    <definedName name="PoItaly" localSheetId="0">myData!$CH$13</definedName>
    <definedName name="PoNSW" localSheetId="0">myData!$CH$12</definedName>
    <definedName name="PopScaling" comment="Value of 1 applies population scaling so result is per 10m people" localSheetId="0">myData!$J$2</definedName>
    <definedName name="PoSingapore" localSheetId="0">myData!$CH$18</definedName>
    <definedName name="PoSKorea" localSheetId="0">myData!$CH$16</definedName>
    <definedName name="PoTests" localSheetId="0">myData!$CH$19</definedName>
    <definedName name="PoUK" localSheetId="0">myData!$CH$17</definedName>
    <definedName name="PoUS" localSheetId="0">myData!$CH$14</definedName>
    <definedName name="RunRange" localSheetId="0">OFFSET(myData!RunTableTL,0,0,COUNTA(myData!$BU:$BU),COLUMN(myData!RunTableTR)-COLUMN(myData!RunTableTL)+1)</definedName>
    <definedName name="RunTableTL" localSheetId="0">myData!$CA$10</definedName>
    <definedName name="RunTableTR" localSheetId="0">myData!$DC$10</definedName>
    <definedName name="RunTimeAu" localSheetId="0">myData!$CB$11</definedName>
    <definedName name="SingaporeCases" localSheetId="0">OFFSET(tblData[[#Headers],[Singapore Cases Per Capita]],MATCH(0,tblData[Singapore Cases Per Capita],0)+1,0,COUNTA(tblData[Singapore Cases Per Capita])-1,1)</definedName>
    <definedName name="SingaporeDates" localSheetId="0">OFFSET(tblData[[#Headers],[Date]],MATCH(0,tblData[Singapore],0)+1,0,COUNTA(tblData[Singapore])-1,1)</definedName>
    <definedName name="SingaporeLogi" localSheetId="0">OFFSET(tblData[[#Headers],[Singapore LogiP(t) Per Capita]],MATCH(0,tblData[Singapore],0)+1,0,COUNTA(tblData[Singapore LogiP(t)]),1)</definedName>
    <definedName name="SingaporeLogiDates" localSheetId="0">OFFSET(tblData[[#Headers],[Date]],MATCH(0,tblData[Singapore],0)+1,0,COUNTA(tblData[Date])-MATCH(0,tblData[Singapore],0),1)</definedName>
    <definedName name="SingaporePop" localSheetId="0">myData!$X$8</definedName>
    <definedName name="SingaporeSeries" localSheetId="0">myData!$CV$18</definedName>
    <definedName name="SingaporeStart" localSheetId="0">myData!$CC$18</definedName>
    <definedName name="SKoreaCases" localSheetId="0">OFFSET(tblData[[#Headers],[SKorea Cases Per Capita]],1,0,COUNT(tblData[SKorea Cases Per Capita]),1)</definedName>
    <definedName name="SKoreaDates" localSheetId="0">OFFSET(tblData[[#Headers],[Date]],1,0,COUNTA(tblData[SKorea]),1)</definedName>
    <definedName name="SKoreaLogi" localSheetId="0">OFFSET(tblData[[#Headers],[Skorea LogiP(t) Per Capita]],COUNTA(tblData[Date])-COUNT(tblData[Skorea LogiP(t) Per Capita])+1,0,COUNT(tblData[SKorea LogiP(t)]),1)</definedName>
    <definedName name="SKoreaLogiDates" localSheetId="0">OFFSET(tblData[[#Headers],[Date]],COUNTA(tblData[Date])-COUNT(tblData[Skorea LogiP(t) Per Capita])+1,0,COUNT(tblData[SKorea LogiP(t)]),1)</definedName>
    <definedName name="SKoreaPop" localSheetId="0">myData!$R$8</definedName>
    <definedName name="SKoreaSeries" localSheetId="0">myData!$CV$16</definedName>
    <definedName name="SKoreaStart" localSheetId="0">myData!$CC$16</definedName>
    <definedName name="solver_adj" localSheetId="0" hidden="1">myData!$CF$20:$CH$20</definedName>
    <definedName name="solver_cvg" localSheetId="0" hidden="1">0.000001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myData!$C$2</definedName>
    <definedName name="solver_lhs2" localSheetId="0" hidden="1">myData!$A$2</definedName>
    <definedName name="solver_lhs3" localSheetId="0" hidden="1">myData!$F$2</definedName>
    <definedName name="solver_lhs4" localSheetId="0" hidden="1">myData!$B$2</definedName>
    <definedName name="solver_lhs5" localSheetId="0" hidden="1">myData!$AJ$2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myData!$CJ$20</definedName>
    <definedName name="solver_pre" localSheetId="0" hidden="1">0.00000000001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hs1" localSheetId="0" hidden="1">0.001</definedName>
    <definedName name="solver_rhs2" localSheetId="0" hidden="1">0.000000001</definedName>
    <definedName name="solver_rhs3" localSheetId="0" hidden="1">0</definedName>
    <definedName name="solver_rhs4" localSheetId="0" hidden="1">myData!$B$3</definedName>
    <definedName name="solver_rhs5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lverMsg">solvMsgs!$A$1:$B$21</definedName>
    <definedName name="StartDt2Au" localSheetId="0">myData!$CD$11</definedName>
    <definedName name="StartDt2China" localSheetId="0">myData!$CD$15</definedName>
    <definedName name="StartDt2Generic" localSheetId="0">myData!$CD$20</definedName>
    <definedName name="StartDt2Italy" localSheetId="0">myData!$CD$13</definedName>
    <definedName name="StartDt2Korea" localSheetId="0">myData!$CD$16</definedName>
    <definedName name="StartDt2NSW" localSheetId="0">myData!$CD$12</definedName>
    <definedName name="StartDt2Singapore" localSheetId="0">myData!$CD$18</definedName>
    <definedName name="StartDt2Tests" localSheetId="0">myData!$CD$19</definedName>
    <definedName name="StartDt2UK" localSheetId="0">myData!$CD$17</definedName>
    <definedName name="StartDt2US" localSheetId="0">myData!$CD$14</definedName>
    <definedName name="tableGeneric" localSheetId="0">myData!$Y$1:$AB$2</definedName>
    <definedName name="TestsCases" localSheetId="0">OFFSET(tblData[[#Headers],[Tests]],MATCH(0,tblData[Tests],0)+1,0,COUNT(tblData[Tests])-1,1)</definedName>
    <definedName name="TestsDates" localSheetId="0">OFFSET(tblData[[#Headers],[Date]],MATCH(0,tblData[Tests],0)+1,0,COUNT(tblData[Tests])-1,1)</definedName>
    <definedName name="TestsDayNo" localSheetId="0">OFFSET(tblData[[#Headers],[NSW Test Day Number]],MATCH(0,tblData[Tests],0)+1,0,COUNT(tblData[Tests])-1,1)</definedName>
    <definedName name="TestsLOGEST" localSheetId="0">OFFSET(tblData[[#Headers],[NSW Test LOGEST]],MATCH(0,tblData[Tests],0)+1,0,COUNTA(tblData[Date])-MATCH(0,tblData[Tests],0),1)</definedName>
    <definedName name="TestsLogestB" localSheetId="0">myData!$BS$2</definedName>
    <definedName name="TestsLogestDayNo" localSheetId="0">OFFSET(tblData[[#Headers],[NSW Test Day Number]],MATCH(0,tblData[Tests],0)+1,0,COUNTA(tblData[Date])-MATCH(0,tblData[Tests],0),1)</definedName>
    <definedName name="TestsLogestLabel" localSheetId="0">myData!$BT$6</definedName>
    <definedName name="TestsLogestM" localSheetId="0">myData!$BR$2</definedName>
    <definedName name="TestsLogestMsq" localSheetId="0">myData!$BU$8</definedName>
    <definedName name="TestsLogi" localSheetId="0">OFFSET(tblData[[#Headers],[NSW Test Logi]],MATCH(0,tblData[Tests],0)+1,0,COUNTA(tblData[Date])-MATCH(0,tblData[Tests],0),1)</definedName>
    <definedName name="TestsLogiDates" localSheetId="0">OFFSET(tblData[[#Headers],[Date]],MATCH(0,tblData[Tests],0)+1,0,COUNTA(tblData[Date])-MATCH(0,tblData[Tests],0),1)</definedName>
    <definedName name="TestsPop" localSheetId="0">myData!$BS$8</definedName>
    <definedName name="TestsStart" localSheetId="0">myData!$CC$19</definedName>
    <definedName name="TitleAll" localSheetId="0">myData!$DG$8</definedName>
    <definedName name="TitleAllSK" localSheetId="0">myData!$DG$9</definedName>
    <definedName name="TitleCases" localSheetId="0">myData!$DG$7</definedName>
    <definedName name="UKCases" localSheetId="0">OFFSET(tblData[[#Headers],[UK Cases Per Capita]],MATCH(0,tblData[UK Cases Per Capita],0)+1,0,COUNTA(tblData[UK Cases Per Capita])-1,1)</definedName>
    <definedName name="UKDates" localSheetId="0">OFFSET(tblData[[#Headers],[Date]],MATCH(0,tblData[UK],0)+1,0,COUNTA(tblData[UK])-1,1)</definedName>
    <definedName name="UKLogi" localSheetId="0">OFFSET(tblData[[#Headers],[UK LogiP(t) Per Capita]],MATCH(0,tblData[UK],0)+1,0,COUNTA(tblData[Date])-MATCH(0,tblData[UK],0),1)</definedName>
    <definedName name="UKLogiDates" localSheetId="0">OFFSET(tblData[[#Headers],[Date]],MATCH(0,tblData[UK],0)+1,0,COUNTA(tblData[Date])-MATCH(0,tblData[UK],0),1)</definedName>
    <definedName name="UKPop" localSheetId="0">myData!$T$8</definedName>
    <definedName name="UKSeries" localSheetId="0">myData!$CV$17</definedName>
    <definedName name="UKStart" localSheetId="0">myData!$CC$17</definedName>
    <definedName name="USCases" localSheetId="0">OFFSET(tblData[[#Headers],[US Cases Per Capita]],MATCH(0,tblData[US Cases Per Capita],0)+1,0,COUNT(tblData[US])-1,1)</definedName>
    <definedName name="USDates" localSheetId="0">OFFSET(tblData[[#Headers],[Date]],MATCH(0,tblData[US],0)+1,0,COUNT(tblData[US])-1,1)</definedName>
    <definedName name="USDays" localSheetId="0">OFFSET(tblData[[#Headers],[Days'# US]],MATCH(0,tblData[US],0)+1,0,COUNTA(tblData[US])-1,1)</definedName>
    <definedName name="USLogi" localSheetId="0">OFFSET(tblData[[#Headers],[US LogiP(t) Per Capita]],MATCH(0,tblData[US],0)+1,0,COUNT(tblData[US LogiP(t) Per Capita])-1,1)</definedName>
    <definedName name="USLogiDates" localSheetId="0">OFFSET(tblData[[#Headers],[Date]],MATCH(0,tblData[US],0)+1,0,COUNTA(tblData[Date])-MATCH(0,tblData[US],0),1)</definedName>
    <definedName name="USpop" localSheetId="0">myData!$P$8</definedName>
    <definedName name="USSeries" localSheetId="0">myData!$CV$14</definedName>
    <definedName name="USStart" localSheetId="0">myData!$CC$14</definedName>
  </definedNames>
  <calcPr calcId="152511" calcOnSave="0"/>
</workbook>
</file>

<file path=xl/calcChain.xml><?xml version="1.0" encoding="utf-8"?>
<calcChain xmlns="http://schemas.openxmlformats.org/spreadsheetml/2006/main">
  <c r="DZ4" i="4" l="1"/>
  <c r="C2" i="4" l="1"/>
  <c r="B2" i="4"/>
  <c r="A2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23" i="4"/>
  <c r="BW24" i="4"/>
  <c r="BW25" i="4"/>
  <c r="BW26" i="4"/>
  <c r="BW27" i="4"/>
  <c r="BW28" i="4"/>
  <c r="BW29" i="4"/>
  <c r="BW30" i="4"/>
  <c r="BW31" i="4"/>
  <c r="BW32" i="4"/>
  <c r="BW33" i="4"/>
  <c r="BW34" i="4"/>
  <c r="BW35" i="4"/>
  <c r="BW36" i="4"/>
  <c r="BW37" i="4"/>
  <c r="BW38" i="4"/>
  <c r="BW39" i="4"/>
  <c r="BW40" i="4"/>
  <c r="BW41" i="4"/>
  <c r="BW42" i="4"/>
  <c r="BW43" i="4"/>
  <c r="BW44" i="4"/>
  <c r="BW45" i="4"/>
  <c r="BW46" i="4"/>
  <c r="BW47" i="4"/>
  <c r="BW48" i="4"/>
  <c r="BW49" i="4"/>
  <c r="BW50" i="4"/>
  <c r="BW51" i="4"/>
  <c r="BW52" i="4"/>
  <c r="BW53" i="4"/>
  <c r="BW54" i="4"/>
  <c r="BV11" i="4"/>
  <c r="BV12" i="4"/>
  <c r="BV13" i="4"/>
  <c r="BV14" i="4"/>
  <c r="BV15" i="4"/>
  <c r="BV16" i="4"/>
  <c r="BV17" i="4"/>
  <c r="BV18" i="4"/>
  <c r="BV19" i="4"/>
  <c r="BV20" i="4"/>
  <c r="BV21" i="4"/>
  <c r="BV22" i="4"/>
  <c r="BV23" i="4"/>
  <c r="BV24" i="4"/>
  <c r="BV25" i="4"/>
  <c r="BV26" i="4"/>
  <c r="BV27" i="4"/>
  <c r="BV28" i="4"/>
  <c r="BV29" i="4"/>
  <c r="BV30" i="4"/>
  <c r="BV31" i="4"/>
  <c r="BV32" i="4"/>
  <c r="BV33" i="4"/>
  <c r="BV34" i="4"/>
  <c r="BV35" i="4"/>
  <c r="BV36" i="4"/>
  <c r="BV37" i="4"/>
  <c r="BV38" i="4"/>
  <c r="BV39" i="4"/>
  <c r="BV40" i="4"/>
  <c r="BV41" i="4"/>
  <c r="BV42" i="4"/>
  <c r="BV43" i="4"/>
  <c r="BV44" i="4"/>
  <c r="BV45" i="4"/>
  <c r="BV46" i="4"/>
  <c r="BV47" i="4"/>
  <c r="BV48" i="4"/>
  <c r="BV49" i="4"/>
  <c r="BV50" i="4"/>
  <c r="BV51" i="4"/>
  <c r="BV52" i="4"/>
  <c r="BV53" i="4"/>
  <c r="BV54" i="4"/>
  <c r="BR56" i="4"/>
  <c r="BR57" i="4"/>
  <c r="BR58" i="4"/>
  <c r="BR59" i="4"/>
  <c r="BR60" i="4"/>
  <c r="BR61" i="4"/>
  <c r="BR55" i="4"/>
  <c r="BQ11" i="4"/>
  <c r="BP11" i="4"/>
  <c r="BP12" i="4"/>
  <c r="BP13" i="4"/>
  <c r="BP14" i="4"/>
  <c r="BP15" i="4"/>
  <c r="BP16" i="4"/>
  <c r="BP17" i="4"/>
  <c r="BP18" i="4"/>
  <c r="BP19" i="4"/>
  <c r="BP20" i="4"/>
  <c r="BP21" i="4"/>
  <c r="BP22" i="4"/>
  <c r="BP23" i="4"/>
  <c r="BP24" i="4"/>
  <c r="BP25" i="4"/>
  <c r="BP26" i="4"/>
  <c r="BP27" i="4"/>
  <c r="BP28" i="4"/>
  <c r="BP29" i="4"/>
  <c r="BP30" i="4"/>
  <c r="BP31" i="4"/>
  <c r="BP32" i="4"/>
  <c r="BP33" i="4"/>
  <c r="BP34" i="4"/>
  <c r="BP35" i="4"/>
  <c r="BP36" i="4"/>
  <c r="BP37" i="4"/>
  <c r="BP38" i="4"/>
  <c r="BP39" i="4"/>
  <c r="BP40" i="4"/>
  <c r="BP41" i="4"/>
  <c r="BP42" i="4"/>
  <c r="BP43" i="4"/>
  <c r="BP44" i="4"/>
  <c r="BP45" i="4"/>
  <c r="BP46" i="4"/>
  <c r="BP47" i="4"/>
  <c r="BP48" i="4"/>
  <c r="BP49" i="4"/>
  <c r="BP50" i="4"/>
  <c r="BP51" i="4"/>
  <c r="BP52" i="4"/>
  <c r="BP53" i="4"/>
  <c r="BP55" i="4" s="1"/>
  <c r="BP56" i="4" s="1"/>
  <c r="BP57" i="4" s="1"/>
  <c r="BP58" i="4" s="1"/>
  <c r="BP59" i="4" s="1"/>
  <c r="BP60" i="4" s="1"/>
  <c r="BP61" i="4" s="1"/>
  <c r="BP62" i="4" s="1"/>
  <c r="BP63" i="4" s="1"/>
  <c r="BP64" i="4" s="1"/>
  <c r="BP65" i="4" s="1"/>
  <c r="BP66" i="4" s="1"/>
  <c r="BP67" i="4" s="1"/>
  <c r="BP68" i="4" s="1"/>
  <c r="BP69" i="4" s="1"/>
  <c r="BP70" i="4" s="1"/>
  <c r="BP71" i="4" s="1"/>
  <c r="BP72" i="4" s="1"/>
  <c r="BP73" i="4" s="1"/>
  <c r="BP74" i="4" s="1"/>
  <c r="BP75" i="4" s="1"/>
  <c r="BP76" i="4"/>
  <c r="BP77" i="4"/>
  <c r="BP78" i="4"/>
  <c r="BP79" i="4"/>
  <c r="BP80" i="4"/>
  <c r="BP81" i="4"/>
  <c r="BP82" i="4"/>
  <c r="BP83" i="4"/>
  <c r="BP84" i="4"/>
  <c r="BP85" i="4"/>
  <c r="BP86" i="4"/>
  <c r="BP87" i="4"/>
  <c r="BP88" i="4"/>
  <c r="BP89" i="4"/>
  <c r="BP90" i="4"/>
  <c r="BP91" i="4"/>
  <c r="BP92" i="4"/>
  <c r="BP93" i="4"/>
  <c r="BP94" i="4"/>
  <c r="BP95" i="4"/>
  <c r="BP96" i="4"/>
  <c r="BP97" i="4"/>
  <c r="BP98" i="4"/>
  <c r="BP99" i="4"/>
  <c r="BP100" i="4"/>
  <c r="BP101" i="4"/>
  <c r="BP102" i="4"/>
  <c r="BP103" i="4"/>
  <c r="BP104" i="4"/>
  <c r="BP105" i="4"/>
  <c r="BP106" i="4"/>
  <c r="BP107" i="4"/>
  <c r="BP108" i="4"/>
  <c r="BP109" i="4"/>
  <c r="BP110" i="4"/>
  <c r="BP111" i="4"/>
  <c r="BP112" i="4"/>
  <c r="BP113" i="4"/>
  <c r="BP114" i="4"/>
  <c r="BP115" i="4"/>
  <c r="BP116" i="4"/>
  <c r="BP117" i="4"/>
  <c r="BS11" i="4"/>
  <c r="BS12" i="4"/>
  <c r="BS13" i="4"/>
  <c r="BS14" i="4"/>
  <c r="BS15" i="4"/>
  <c r="BS16" i="4"/>
  <c r="BS17" i="4"/>
  <c r="BS18" i="4"/>
  <c r="BS19" i="4"/>
  <c r="BS20" i="4"/>
  <c r="BS21" i="4"/>
  <c r="BS22" i="4"/>
  <c r="BS23" i="4"/>
  <c r="BS24" i="4"/>
  <c r="BS25" i="4"/>
  <c r="BS26" i="4"/>
  <c r="BS27" i="4"/>
  <c r="BS28" i="4"/>
  <c r="BS29" i="4"/>
  <c r="BS30" i="4"/>
  <c r="BS31" i="4"/>
  <c r="BS32" i="4"/>
  <c r="BS33" i="4"/>
  <c r="BS34" i="4"/>
  <c r="BS35" i="4"/>
  <c r="BS36" i="4"/>
  <c r="BS37" i="4"/>
  <c r="BS38" i="4"/>
  <c r="BS39" i="4"/>
  <c r="BS40" i="4"/>
  <c r="BS41" i="4"/>
  <c r="BS42" i="4"/>
  <c r="BS43" i="4"/>
  <c r="BS44" i="4"/>
  <c r="BS45" i="4"/>
  <c r="BS46" i="4"/>
  <c r="BS47" i="4"/>
  <c r="BS48" i="4"/>
  <c r="BS49" i="4"/>
  <c r="BS50" i="4"/>
  <c r="BS51" i="4"/>
  <c r="BS52" i="4"/>
  <c r="BS53" i="4"/>
  <c r="BS54" i="4"/>
  <c r="D2" i="4" l="1"/>
  <c r="CL19" i="4"/>
  <c r="CI19" i="4"/>
  <c r="BT11" i="4"/>
  <c r="BT12" i="4"/>
  <c r="BT13" i="4"/>
  <c r="BT14" i="4"/>
  <c r="BT15" i="4"/>
  <c r="BT16" i="4"/>
  <c r="BT17" i="4"/>
  <c r="BT18" i="4"/>
  <c r="BT19" i="4"/>
  <c r="BT20" i="4"/>
  <c r="BT21" i="4"/>
  <c r="BT22" i="4"/>
  <c r="BT23" i="4"/>
  <c r="BT24" i="4"/>
  <c r="BT25" i="4"/>
  <c r="BT26" i="4"/>
  <c r="BT27" i="4"/>
  <c r="BT28" i="4"/>
  <c r="BT29" i="4"/>
  <c r="BT30" i="4"/>
  <c r="BT31" i="4"/>
  <c r="BT32" i="4"/>
  <c r="BT33" i="4"/>
  <c r="BT34" i="4"/>
  <c r="BT35" i="4"/>
  <c r="BT36" i="4"/>
  <c r="BT37" i="4"/>
  <c r="BT38" i="4"/>
  <c r="BT39" i="4"/>
  <c r="BT40" i="4"/>
  <c r="BT41" i="4"/>
  <c r="BT42" i="4"/>
  <c r="BT43" i="4"/>
  <c r="BT44" i="4"/>
  <c r="BT45" i="4"/>
  <c r="BT46" i="4"/>
  <c r="BT47" i="4"/>
  <c r="BT48" i="4"/>
  <c r="BT49" i="4"/>
  <c r="BT50" i="4"/>
  <c r="BT51" i="4"/>
  <c r="BT52" i="4"/>
  <c r="BT53" i="4"/>
  <c r="BT54" i="4"/>
  <c r="BT76" i="4"/>
  <c r="BT77" i="4"/>
  <c r="BT78" i="4"/>
  <c r="BT79" i="4"/>
  <c r="BT80" i="4"/>
  <c r="BT81" i="4"/>
  <c r="BT82" i="4"/>
  <c r="BT83" i="4"/>
  <c r="BT84" i="4"/>
  <c r="BT85" i="4"/>
  <c r="BT86" i="4"/>
  <c r="BT87" i="4"/>
  <c r="BT88" i="4"/>
  <c r="BT89" i="4"/>
  <c r="BT90" i="4"/>
  <c r="BT91" i="4"/>
  <c r="BT92" i="4"/>
  <c r="BT93" i="4"/>
  <c r="BT94" i="4"/>
  <c r="BT95" i="4"/>
  <c r="BT96" i="4"/>
  <c r="BT97" i="4"/>
  <c r="BT98" i="4"/>
  <c r="BT99" i="4"/>
  <c r="BT100" i="4"/>
  <c r="BT101" i="4"/>
  <c r="BT102" i="4"/>
  <c r="BT103" i="4"/>
  <c r="BT104" i="4"/>
  <c r="BT105" i="4"/>
  <c r="BT106" i="4"/>
  <c r="BT107" i="4"/>
  <c r="BT108" i="4"/>
  <c r="BT109" i="4"/>
  <c r="BT110" i="4"/>
  <c r="BT111" i="4"/>
  <c r="BT112" i="4"/>
  <c r="BT113" i="4"/>
  <c r="BT114" i="4"/>
  <c r="BT115" i="4"/>
  <c r="BT116" i="4"/>
  <c r="BT117" i="4"/>
  <c r="CC13" i="4"/>
  <c r="Q2" i="16"/>
  <c r="O2" i="16"/>
  <c r="M61" i="4"/>
  <c r="BU11" i="4" l="1"/>
  <c r="BU12" i="4"/>
  <c r="BU13" i="4"/>
  <c r="BU14" i="4"/>
  <c r="BU15" i="4"/>
  <c r="BU16" i="4"/>
  <c r="BU17" i="4"/>
  <c r="BU18" i="4"/>
  <c r="BU19" i="4"/>
  <c r="BU20" i="4"/>
  <c r="BU21" i="4"/>
  <c r="BU22" i="4"/>
  <c r="BU23" i="4"/>
  <c r="BU24" i="4"/>
  <c r="BU25" i="4"/>
  <c r="BU26" i="4"/>
  <c r="BU27" i="4"/>
  <c r="BU28" i="4"/>
  <c r="BU29" i="4"/>
  <c r="BU30" i="4"/>
  <c r="BU31" i="4"/>
  <c r="BU32" i="4"/>
  <c r="BU33" i="4"/>
  <c r="BU34" i="4"/>
  <c r="BU35" i="4"/>
  <c r="BU36" i="4"/>
  <c r="BU37" i="4"/>
  <c r="BU38" i="4"/>
  <c r="BU39" i="4"/>
  <c r="BU40" i="4"/>
  <c r="BU41" i="4"/>
  <c r="BU42" i="4"/>
  <c r="BU43" i="4"/>
  <c r="BU44" i="4"/>
  <c r="BU45" i="4"/>
  <c r="BU46" i="4"/>
  <c r="BU47" i="4"/>
  <c r="BU48" i="4"/>
  <c r="BU49" i="4"/>
  <c r="BU50" i="4"/>
  <c r="BU51" i="4"/>
  <c r="BU52" i="4"/>
  <c r="BU53" i="4"/>
  <c r="BU76" i="4"/>
  <c r="BU77" i="4"/>
  <c r="BU78" i="4"/>
  <c r="BU79" i="4"/>
  <c r="BU80" i="4"/>
  <c r="BU81" i="4"/>
  <c r="BU82" i="4"/>
  <c r="BU83" i="4"/>
  <c r="BU84" i="4"/>
  <c r="BU85" i="4"/>
  <c r="BU86" i="4"/>
  <c r="BU87" i="4"/>
  <c r="BU88" i="4"/>
  <c r="BU89" i="4"/>
  <c r="BU90" i="4"/>
  <c r="BU91" i="4"/>
  <c r="BU92" i="4"/>
  <c r="BU93" i="4"/>
  <c r="BU94" i="4"/>
  <c r="BU95" i="4"/>
  <c r="BU96" i="4"/>
  <c r="BU97" i="4"/>
  <c r="BU98" i="4"/>
  <c r="BU99" i="4"/>
  <c r="BU100" i="4"/>
  <c r="BU101" i="4"/>
  <c r="BU102" i="4"/>
  <c r="BU103" i="4"/>
  <c r="BU104" i="4"/>
  <c r="BU105" i="4"/>
  <c r="BU106" i="4"/>
  <c r="BU107" i="4"/>
  <c r="BU108" i="4"/>
  <c r="BU109" i="4"/>
  <c r="BU110" i="4"/>
  <c r="BU111" i="4"/>
  <c r="BU112" i="4"/>
  <c r="BU113" i="4"/>
  <c r="BU114" i="4"/>
  <c r="BU115" i="4"/>
  <c r="BU116" i="4"/>
  <c r="BU117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AO108" i="4"/>
  <c r="AO109" i="4"/>
  <c r="AO110" i="4"/>
  <c r="AO111" i="4"/>
  <c r="AO112" i="4"/>
  <c r="AO113" i="4"/>
  <c r="AO114" i="4"/>
  <c r="AO115" i="4"/>
  <c r="AO116" i="4"/>
  <c r="AO117" i="4"/>
  <c r="Z74" i="4" l="1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CK19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BS55" i="4" l="1"/>
  <c r="AI11" i="4"/>
  <c r="K15" i="21" l="1"/>
  <c r="CY19" i="4" a="1"/>
  <c r="CY19" i="4" s="1"/>
  <c r="CP20" i="4" a="1"/>
  <c r="CP20" i="4" s="1"/>
  <c r="CP19" i="4" a="1"/>
  <c r="CP19" i="4" s="1"/>
  <c r="CO19" i="4"/>
  <c r="CL12" i="4"/>
  <c r="CL13" i="4"/>
  <c r="CL14" i="4"/>
  <c r="CL15" i="4"/>
  <c r="CL16" i="4"/>
  <c r="CL17" i="4"/>
  <c r="CL18" i="4"/>
  <c r="CL20" i="4"/>
  <c r="CL11" i="4"/>
  <c r="CK18" i="4"/>
  <c r="CK20" i="4"/>
  <c r="CK17" i="4"/>
  <c r="CN19" i="4"/>
  <c r="CT19" i="4" l="1"/>
  <c r="CI20" i="4"/>
  <c r="CC20" i="4"/>
  <c r="CD20" i="4"/>
  <c r="CD17" i="4"/>
  <c r="CD16" i="4"/>
  <c r="CD14" i="4"/>
  <c r="CD12" i="4"/>
  <c r="CD11" i="4"/>
  <c r="CD13" i="4"/>
  <c r="CD15" i="4"/>
  <c r="CD18" i="4"/>
  <c r="CC17" i="4"/>
  <c r="CC16" i="4"/>
  <c r="CC14" i="4"/>
  <c r="CC15" i="4"/>
  <c r="CC18" i="4"/>
  <c r="CC12" i="4"/>
  <c r="CC11" i="4"/>
  <c r="T8" i="4"/>
  <c r="R8" i="4"/>
  <c r="P8" i="4"/>
  <c r="AG11" i="4"/>
  <c r="BK11" i="4" s="1"/>
  <c r="AG12" i="4"/>
  <c r="BK12" i="4" s="1"/>
  <c r="AG13" i="4"/>
  <c r="BK13" i="4" s="1"/>
  <c r="AG14" i="4"/>
  <c r="BK14" i="4" s="1"/>
  <c r="AG15" i="4"/>
  <c r="BK15" i="4" s="1"/>
  <c r="AG16" i="4"/>
  <c r="BK16" i="4" s="1"/>
  <c r="AG17" i="4"/>
  <c r="BK17" i="4" s="1"/>
  <c r="AG18" i="4"/>
  <c r="BK18" i="4" s="1"/>
  <c r="AG19" i="4"/>
  <c r="BK19" i="4" s="1"/>
  <c r="AG20" i="4"/>
  <c r="BK20" i="4" s="1"/>
  <c r="AG21" i="4"/>
  <c r="BK21" i="4" s="1"/>
  <c r="AG22" i="4"/>
  <c r="BK22" i="4" s="1"/>
  <c r="AG23" i="4"/>
  <c r="BK23" i="4" s="1"/>
  <c r="AG24" i="4"/>
  <c r="BK24" i="4" s="1"/>
  <c r="AG25" i="4"/>
  <c r="BK25" i="4" s="1"/>
  <c r="AG26" i="4"/>
  <c r="BK26" i="4" s="1"/>
  <c r="AG27" i="4"/>
  <c r="BK27" i="4" s="1"/>
  <c r="AG28" i="4"/>
  <c r="BK28" i="4" s="1"/>
  <c r="AG29" i="4"/>
  <c r="BK29" i="4" s="1"/>
  <c r="AG30" i="4"/>
  <c r="BK30" i="4" s="1"/>
  <c r="AG31" i="4"/>
  <c r="BK31" i="4" s="1"/>
  <c r="AG32" i="4"/>
  <c r="BK32" i="4" s="1"/>
  <c r="AG33" i="4"/>
  <c r="BK33" i="4" s="1"/>
  <c r="AG34" i="4"/>
  <c r="BK34" i="4" s="1"/>
  <c r="AG35" i="4"/>
  <c r="BK35" i="4" s="1"/>
  <c r="AG36" i="4"/>
  <c r="BK36" i="4" s="1"/>
  <c r="AG37" i="4"/>
  <c r="BK37" i="4" s="1"/>
  <c r="AG38" i="4"/>
  <c r="BK38" i="4" s="1"/>
  <c r="AG39" i="4"/>
  <c r="BK39" i="4" s="1"/>
  <c r="AG40" i="4"/>
  <c r="BK40" i="4" s="1"/>
  <c r="AG41" i="4"/>
  <c r="BK41" i="4" s="1"/>
  <c r="AG42" i="4"/>
  <c r="BK42" i="4" s="1"/>
  <c r="AG43" i="4"/>
  <c r="BK43" i="4" s="1"/>
  <c r="AG44" i="4"/>
  <c r="BK44" i="4" s="1"/>
  <c r="AG45" i="4"/>
  <c r="BK45" i="4" s="1"/>
  <c r="AG46" i="4"/>
  <c r="BK46" i="4" s="1"/>
  <c r="AG47" i="4"/>
  <c r="BK47" i="4" s="1"/>
  <c r="AG48" i="4"/>
  <c r="BK48" i="4" s="1"/>
  <c r="AG49" i="4"/>
  <c r="BK49" i="4" s="1"/>
  <c r="AG50" i="4"/>
  <c r="BK50" i="4" s="1"/>
  <c r="AG51" i="4"/>
  <c r="BK51" i="4" s="1"/>
  <c r="AG52" i="4"/>
  <c r="BK52" i="4" s="1"/>
  <c r="AG53" i="4"/>
  <c r="BK53" i="4" s="1"/>
  <c r="AG54" i="4"/>
  <c r="BK54" i="4" s="1"/>
  <c r="AG55" i="4"/>
  <c r="BK55" i="4" s="1"/>
  <c r="AG56" i="4"/>
  <c r="BK56" i="4" s="1"/>
  <c r="AG57" i="4"/>
  <c r="BK57" i="4" s="1"/>
  <c r="AG58" i="4"/>
  <c r="BK58" i="4" s="1"/>
  <c r="AG59" i="4"/>
  <c r="BK59" i="4" s="1"/>
  <c r="AG60" i="4"/>
  <c r="BK60" i="4" s="1"/>
  <c r="AG61" i="4"/>
  <c r="BK61" i="4" s="1"/>
  <c r="AA2" i="4"/>
  <c r="AC2" i="4" s="1"/>
  <c r="N8" i="4"/>
  <c r="L8" i="4"/>
  <c r="V8" i="4"/>
  <c r="X8" i="4"/>
  <c r="V6" i="4"/>
  <c r="CN20" i="4"/>
  <c r="AW15" i="4" l="1"/>
  <c r="AW23" i="4"/>
  <c r="AW39" i="4"/>
  <c r="AW28" i="4"/>
  <c r="AW16" i="4"/>
  <c r="AW24" i="4"/>
  <c r="AW32" i="4"/>
  <c r="AW40" i="4"/>
  <c r="AW42" i="4"/>
  <c r="AW35" i="4"/>
  <c r="AW12" i="4"/>
  <c r="AW17" i="4"/>
  <c r="AW25" i="4"/>
  <c r="AW33" i="4"/>
  <c r="AW41" i="4"/>
  <c r="AW18" i="4"/>
  <c r="AW26" i="4"/>
  <c r="AW34" i="4"/>
  <c r="AW11" i="4"/>
  <c r="AW19" i="4"/>
  <c r="AW27" i="4"/>
  <c r="AW43" i="4"/>
  <c r="AW36" i="4"/>
  <c r="AW37" i="4"/>
  <c r="AW13" i="4"/>
  <c r="AW21" i="4"/>
  <c r="AW14" i="4"/>
  <c r="AW22" i="4"/>
  <c r="AW30" i="4"/>
  <c r="AW38" i="4"/>
  <c r="AW31" i="4"/>
  <c r="AW20" i="4"/>
  <c r="AW29" i="4"/>
  <c r="AC17" i="4"/>
  <c r="AC25" i="4"/>
  <c r="AC33" i="4"/>
  <c r="AC41" i="4"/>
  <c r="AC49" i="4"/>
  <c r="AC57" i="4"/>
  <c r="AC39" i="4"/>
  <c r="AC48" i="4"/>
  <c r="AC18" i="4"/>
  <c r="AC26" i="4"/>
  <c r="AC34" i="4"/>
  <c r="AC42" i="4"/>
  <c r="AC50" i="4"/>
  <c r="AC58" i="4"/>
  <c r="AC15" i="4"/>
  <c r="AC56" i="4"/>
  <c r="AC19" i="4"/>
  <c r="AC27" i="4"/>
  <c r="AC35" i="4"/>
  <c r="AC43" i="4"/>
  <c r="AC51" i="4"/>
  <c r="AC59" i="4"/>
  <c r="AC23" i="4"/>
  <c r="AC24" i="4"/>
  <c r="AC12" i="4"/>
  <c r="AC20" i="4"/>
  <c r="AC28" i="4"/>
  <c r="AC36" i="4"/>
  <c r="AC44" i="4"/>
  <c r="AC52" i="4"/>
  <c r="AC60" i="4"/>
  <c r="AC47" i="4"/>
  <c r="AC40" i="4"/>
  <c r="AC13" i="4"/>
  <c r="AC21" i="4"/>
  <c r="AC29" i="4"/>
  <c r="AC37" i="4"/>
  <c r="AC45" i="4"/>
  <c r="AC53" i="4"/>
  <c r="AC61" i="4"/>
  <c r="AC11" i="4"/>
  <c r="AC31" i="4"/>
  <c r="AC32" i="4"/>
  <c r="AC14" i="4"/>
  <c r="AC22" i="4"/>
  <c r="AC30" i="4"/>
  <c r="AC38" i="4"/>
  <c r="AC46" i="4"/>
  <c r="AC54" i="4"/>
  <c r="AC55" i="4"/>
  <c r="AC16" i="4"/>
  <c r="AB14" i="4"/>
  <c r="AB22" i="4"/>
  <c r="AB30" i="4"/>
  <c r="AB38" i="4"/>
  <c r="AB46" i="4"/>
  <c r="AB54" i="4"/>
  <c r="AB11" i="4"/>
  <c r="AB51" i="4"/>
  <c r="AB20" i="4"/>
  <c r="AB60" i="4"/>
  <c r="AB21" i="4"/>
  <c r="AB15" i="4"/>
  <c r="AB23" i="4"/>
  <c r="AB31" i="4"/>
  <c r="AB39" i="4"/>
  <c r="AB47" i="4"/>
  <c r="AB55" i="4"/>
  <c r="AB27" i="4"/>
  <c r="AB52" i="4"/>
  <c r="AB45" i="4"/>
  <c r="AB16" i="4"/>
  <c r="AB24" i="4"/>
  <c r="AB32" i="4"/>
  <c r="AB40" i="4"/>
  <c r="AB48" i="4"/>
  <c r="AB56" i="4"/>
  <c r="AB43" i="4"/>
  <c r="AB28" i="4"/>
  <c r="AB53" i="4"/>
  <c r="AB17" i="4"/>
  <c r="AB25" i="4"/>
  <c r="AB33" i="4"/>
  <c r="AB41" i="4"/>
  <c r="AB49" i="4"/>
  <c r="AB57" i="4"/>
  <c r="AB19" i="4"/>
  <c r="AB59" i="4"/>
  <c r="AB12" i="4"/>
  <c r="AB37" i="4"/>
  <c r="AB18" i="4"/>
  <c r="AB26" i="4"/>
  <c r="AB34" i="4"/>
  <c r="AB42" i="4"/>
  <c r="AB50" i="4"/>
  <c r="AB58" i="4"/>
  <c r="AB36" i="4"/>
  <c r="AB29" i="4"/>
  <c r="AB35" i="4"/>
  <c r="AB44" i="4"/>
  <c r="AB13" i="4"/>
  <c r="AB61" i="4"/>
  <c r="AA18" i="4"/>
  <c r="AA11" i="4"/>
  <c r="AA16" i="4"/>
  <c r="AA12" i="4"/>
  <c r="AA13" i="4"/>
  <c r="AA14" i="4"/>
  <c r="AA17" i="4"/>
  <c r="AA15" i="4"/>
  <c r="Z8" i="4"/>
  <c r="Z9" i="4" s="1"/>
  <c r="BL8" i="4"/>
  <c r="BL12" i="4"/>
  <c r="BL58" i="4"/>
  <c r="BL41" i="4"/>
  <c r="BL24" i="4"/>
  <c r="BL18" i="4"/>
  <c r="BL26" i="4"/>
  <c r="BL34" i="4"/>
  <c r="BL42" i="4"/>
  <c r="BL50" i="4"/>
  <c r="BL20" i="4"/>
  <c r="BL44" i="4"/>
  <c r="BL11" i="4"/>
  <c r="BL19" i="4"/>
  <c r="BL27" i="4"/>
  <c r="BL35" i="4"/>
  <c r="BL43" i="4"/>
  <c r="BL51" i="4"/>
  <c r="BL59" i="4"/>
  <c r="BL28" i="4"/>
  <c r="BL52" i="4"/>
  <c r="BL36" i="4"/>
  <c r="BL60" i="4"/>
  <c r="BL48" i="4"/>
  <c r="BL15" i="4"/>
  <c r="BL23" i="4"/>
  <c r="BL31" i="4"/>
  <c r="BL39" i="4"/>
  <c r="BL47" i="4"/>
  <c r="BL55" i="4"/>
  <c r="BL16" i="4"/>
  <c r="BL32" i="4"/>
  <c r="BL56" i="4"/>
  <c r="BL49" i="4"/>
  <c r="BL40" i="4"/>
  <c r="BL25" i="4"/>
  <c r="BL17" i="4"/>
  <c r="BL33" i="4"/>
  <c r="BL57" i="4"/>
  <c r="BL54" i="4"/>
  <c r="BL30" i="4"/>
  <c r="BL22" i="4"/>
  <c r="BL53" i="4"/>
  <c r="BL45" i="4"/>
  <c r="BL37" i="4"/>
  <c r="BL29" i="4"/>
  <c r="BL13" i="4"/>
  <c r="BS8" i="4"/>
  <c r="AQ8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BI11" i="4"/>
  <c r="BI8" i="4"/>
  <c r="BI9" i="4" s="1"/>
  <c r="AF11" i="4"/>
  <c r="BH11" i="4" s="1"/>
  <c r="AF12" i="4"/>
  <c r="BH12" i="4" s="1"/>
  <c r="BI12" i="4" s="1"/>
  <c r="AF13" i="4"/>
  <c r="BH13" i="4" s="1"/>
  <c r="AF14" i="4"/>
  <c r="BH14" i="4" s="1"/>
  <c r="AF15" i="4"/>
  <c r="BH15" i="4" s="1"/>
  <c r="AF16" i="4"/>
  <c r="BH16" i="4" s="1"/>
  <c r="AF17" i="4"/>
  <c r="BH17" i="4" s="1"/>
  <c r="BI17" i="4" s="1"/>
  <c r="AF18" i="4"/>
  <c r="BH18" i="4" s="1"/>
  <c r="BI18" i="4" s="1"/>
  <c r="AF19" i="4"/>
  <c r="BH19" i="4" s="1"/>
  <c r="BI19" i="4" s="1"/>
  <c r="AF20" i="4"/>
  <c r="BH20" i="4" s="1"/>
  <c r="BI20" i="4" s="1"/>
  <c r="AF21" i="4"/>
  <c r="BH21" i="4" s="1"/>
  <c r="AF22" i="4"/>
  <c r="BH22" i="4" s="1"/>
  <c r="AF23" i="4"/>
  <c r="BH23" i="4" s="1"/>
  <c r="AF24" i="4"/>
  <c r="BH24" i="4" s="1"/>
  <c r="AF25" i="4"/>
  <c r="BH25" i="4" s="1"/>
  <c r="BI25" i="4" s="1"/>
  <c r="AF26" i="4"/>
  <c r="BH26" i="4" s="1"/>
  <c r="BI26" i="4" s="1"/>
  <c r="AF27" i="4"/>
  <c r="BH27" i="4" s="1"/>
  <c r="BI27" i="4" s="1"/>
  <c r="AF28" i="4"/>
  <c r="BH28" i="4" s="1"/>
  <c r="BI28" i="4" s="1"/>
  <c r="AF29" i="4"/>
  <c r="BH29" i="4" s="1"/>
  <c r="BI29" i="4" s="1"/>
  <c r="AF30" i="4"/>
  <c r="BH30" i="4" s="1"/>
  <c r="AF31" i="4"/>
  <c r="BH31" i="4" s="1"/>
  <c r="AF32" i="4"/>
  <c r="BH32" i="4" s="1"/>
  <c r="AF33" i="4"/>
  <c r="BH33" i="4" s="1"/>
  <c r="BI33" i="4" s="1"/>
  <c r="AF34" i="4"/>
  <c r="BH34" i="4" s="1"/>
  <c r="BI34" i="4" s="1"/>
  <c r="AF35" i="4"/>
  <c r="BH35" i="4" s="1"/>
  <c r="BI35" i="4" s="1"/>
  <c r="AF36" i="4"/>
  <c r="BH36" i="4" s="1"/>
  <c r="BI36" i="4" s="1"/>
  <c r="AF37" i="4"/>
  <c r="BH37" i="4" s="1"/>
  <c r="BI37" i="4" s="1"/>
  <c r="AF38" i="4"/>
  <c r="BH38" i="4" s="1"/>
  <c r="AF39" i="4"/>
  <c r="BH39" i="4" s="1"/>
  <c r="AF40" i="4"/>
  <c r="BH40" i="4" s="1"/>
  <c r="AF41" i="4"/>
  <c r="BH41" i="4" s="1"/>
  <c r="BI41" i="4" s="1"/>
  <c r="AF42" i="4"/>
  <c r="BH42" i="4" s="1"/>
  <c r="BI42" i="4" s="1"/>
  <c r="AF43" i="4"/>
  <c r="BH43" i="4" s="1"/>
  <c r="BI43" i="4" s="1"/>
  <c r="AF44" i="4"/>
  <c r="BH44" i="4" s="1"/>
  <c r="BI44" i="4" s="1"/>
  <c r="AF45" i="4"/>
  <c r="BH45" i="4" s="1"/>
  <c r="BI45" i="4" s="1"/>
  <c r="AF46" i="4"/>
  <c r="BH46" i="4" s="1"/>
  <c r="AF47" i="4"/>
  <c r="BH47" i="4" s="1"/>
  <c r="AF48" i="4"/>
  <c r="BH48" i="4" s="1"/>
  <c r="AF49" i="4"/>
  <c r="BH49" i="4" s="1"/>
  <c r="BI49" i="4" s="1"/>
  <c r="AF50" i="4"/>
  <c r="BH50" i="4" s="1"/>
  <c r="BI50" i="4" s="1"/>
  <c r="AF51" i="4"/>
  <c r="BH51" i="4" s="1"/>
  <c r="BI51" i="4" s="1"/>
  <c r="AF52" i="4"/>
  <c r="BH52" i="4" s="1"/>
  <c r="BI52" i="4" s="1"/>
  <c r="AF53" i="4"/>
  <c r="BH53" i="4" s="1"/>
  <c r="AF54" i="4"/>
  <c r="BH54" i="4" s="1"/>
  <c r="AF55" i="4"/>
  <c r="BH55" i="4" s="1"/>
  <c r="AF56" i="4"/>
  <c r="BH56" i="4" s="1"/>
  <c r="AF57" i="4"/>
  <c r="BH57" i="4" s="1"/>
  <c r="BI57" i="4" s="1"/>
  <c r="AF58" i="4"/>
  <c r="BH58" i="4" s="1"/>
  <c r="BI58" i="4" s="1"/>
  <c r="AF59" i="4"/>
  <c r="BH59" i="4" s="1"/>
  <c r="BI59" i="4" s="1"/>
  <c r="AF60" i="4"/>
  <c r="BH60" i="4" s="1"/>
  <c r="BI60" i="4" s="1"/>
  <c r="AF61" i="4"/>
  <c r="BH61" i="4" s="1"/>
  <c r="CP18" i="4"/>
  <c r="CQ20" i="4"/>
  <c r="Z15" i="4" l="1"/>
  <c r="Z23" i="4"/>
  <c r="Z31" i="4"/>
  <c r="Z39" i="4"/>
  <c r="Z47" i="4"/>
  <c r="Z55" i="4"/>
  <c r="Z63" i="4"/>
  <c r="Z71" i="4"/>
  <c r="Z42" i="4"/>
  <c r="Z16" i="4"/>
  <c r="Z24" i="4"/>
  <c r="Z32" i="4"/>
  <c r="Z40" i="4"/>
  <c r="Z48" i="4"/>
  <c r="Z56" i="4"/>
  <c r="Z64" i="4"/>
  <c r="Z72" i="4"/>
  <c r="Z18" i="4"/>
  <c r="Z58" i="4"/>
  <c r="Z17" i="4"/>
  <c r="Z25" i="4"/>
  <c r="Z33" i="4"/>
  <c r="Z41" i="4"/>
  <c r="Z49" i="4"/>
  <c r="Z57" i="4"/>
  <c r="Z65" i="4"/>
  <c r="Z73" i="4"/>
  <c r="Z11" i="4"/>
  <c r="Z19" i="4"/>
  <c r="Z27" i="4"/>
  <c r="Z35" i="4"/>
  <c r="Z43" i="4"/>
  <c r="Z51" i="4"/>
  <c r="Z59" i="4"/>
  <c r="Z67" i="4"/>
  <c r="Z12" i="4"/>
  <c r="Z20" i="4"/>
  <c r="Z28" i="4"/>
  <c r="Z36" i="4"/>
  <c r="Z44" i="4"/>
  <c r="Z52" i="4"/>
  <c r="Z60" i="4"/>
  <c r="Z68" i="4"/>
  <c r="Z13" i="4"/>
  <c r="Z21" i="4"/>
  <c r="Z29" i="4"/>
  <c r="Z37" i="4"/>
  <c r="Z45" i="4"/>
  <c r="Z53" i="4"/>
  <c r="Z61" i="4"/>
  <c r="Z69" i="4"/>
  <c r="Z34" i="4"/>
  <c r="Z50" i="4"/>
  <c r="Z14" i="4"/>
  <c r="Z22" i="4"/>
  <c r="Z30" i="4"/>
  <c r="Z38" i="4"/>
  <c r="Z46" i="4"/>
  <c r="Z54" i="4"/>
  <c r="Z62" i="4"/>
  <c r="Z70" i="4"/>
  <c r="Z26" i="4"/>
  <c r="Z66" i="4"/>
  <c r="BL46" i="4"/>
  <c r="BL21" i="4"/>
  <c r="BL38" i="4"/>
  <c r="BL61" i="4"/>
  <c r="BL14" i="4"/>
  <c r="CV20" i="4"/>
  <c r="BL9" i="4"/>
  <c r="BM24" i="4" s="1"/>
  <c r="BS9" i="4"/>
  <c r="BJ55" i="4"/>
  <c r="BJ47" i="4"/>
  <c r="BJ39" i="4"/>
  <c r="BJ31" i="4"/>
  <c r="BJ23" i="4"/>
  <c r="BJ15" i="4"/>
  <c r="BJ56" i="4"/>
  <c r="BJ48" i="4"/>
  <c r="BJ40" i="4"/>
  <c r="BJ32" i="4"/>
  <c r="BJ24" i="4"/>
  <c r="BJ16" i="4"/>
  <c r="BJ54" i="4"/>
  <c r="BJ46" i="4"/>
  <c r="BJ38" i="4"/>
  <c r="BJ30" i="4"/>
  <c r="BJ22" i="4"/>
  <c r="BJ14" i="4"/>
  <c r="BJ61" i="4"/>
  <c r="BJ53" i="4"/>
  <c r="BJ21" i="4"/>
  <c r="BJ13" i="4"/>
  <c r="BI61" i="4"/>
  <c r="BI53" i="4"/>
  <c r="BI21" i="4"/>
  <c r="BI13" i="4"/>
  <c r="BI56" i="4"/>
  <c r="BI48" i="4"/>
  <c r="BI40" i="4"/>
  <c r="BI32" i="4"/>
  <c r="BI24" i="4"/>
  <c r="BI16" i="4"/>
  <c r="BI55" i="4"/>
  <c r="BI47" i="4"/>
  <c r="BI39" i="4"/>
  <c r="BI31" i="4"/>
  <c r="BI23" i="4"/>
  <c r="BI15" i="4"/>
  <c r="BI54" i="4"/>
  <c r="BI46" i="4"/>
  <c r="BI38" i="4"/>
  <c r="BI30" i="4"/>
  <c r="BI22" i="4"/>
  <c r="BI14" i="4"/>
  <c r="BJ45" i="4"/>
  <c r="BJ60" i="4"/>
  <c r="BJ52" i="4"/>
  <c r="BJ44" i="4"/>
  <c r="BJ36" i="4"/>
  <c r="BJ28" i="4"/>
  <c r="BJ20" i="4"/>
  <c r="BJ12" i="4"/>
  <c r="BJ29" i="4"/>
  <c r="BJ59" i="4"/>
  <c r="BJ51" i="4"/>
  <c r="BJ43" i="4"/>
  <c r="BJ35" i="4"/>
  <c r="BJ27" i="4"/>
  <c r="BJ19" i="4"/>
  <c r="BJ11" i="4"/>
  <c r="BJ37" i="4"/>
  <c r="BJ58" i="4"/>
  <c r="BJ50" i="4"/>
  <c r="BJ42" i="4"/>
  <c r="BJ34" i="4"/>
  <c r="BJ26" i="4"/>
  <c r="BJ18" i="4"/>
  <c r="BJ57" i="4"/>
  <c r="BJ49" i="4"/>
  <c r="BJ41" i="4"/>
  <c r="BJ33" i="4"/>
  <c r="BJ25" i="4"/>
  <c r="BJ17" i="4"/>
  <c r="CI18" i="4"/>
  <c r="X9" i="4"/>
  <c r="X74" i="4" s="1"/>
  <c r="DS20" i="4"/>
  <c r="DS21" i="4"/>
  <c r="DS22" i="4"/>
  <c r="DS19" i="4"/>
  <c r="AO72" i="4"/>
  <c r="CQ19" i="4"/>
  <c r="CN18" i="4"/>
  <c r="CQ18" i="4"/>
  <c r="CV19" i="4" l="1"/>
  <c r="BU54" i="4"/>
  <c r="BU75" i="4"/>
  <c r="BU62" i="4"/>
  <c r="BU70" i="4"/>
  <c r="BU55" i="4"/>
  <c r="BW55" i="4" s="1"/>
  <c r="BU63" i="4"/>
  <c r="BU71" i="4"/>
  <c r="BU61" i="4"/>
  <c r="BW61" i="4" s="1"/>
  <c r="BU56" i="4"/>
  <c r="BW56" i="4" s="1"/>
  <c r="BU64" i="4"/>
  <c r="BU72" i="4"/>
  <c r="BU57" i="4"/>
  <c r="BW57" i="4" s="1"/>
  <c r="BU65" i="4"/>
  <c r="BU73" i="4"/>
  <c r="BU69" i="4"/>
  <c r="BU58" i="4"/>
  <c r="BW58" i="4" s="1"/>
  <c r="BU66" i="4"/>
  <c r="BU74" i="4"/>
  <c r="BU59" i="4"/>
  <c r="BW59" i="4" s="1"/>
  <c r="BU67" i="4"/>
  <c r="BU60" i="4"/>
  <c r="BW60" i="4" s="1"/>
  <c r="BU68" i="4"/>
  <c r="X72" i="4"/>
  <c r="X73" i="4"/>
  <c r="BM17" i="4"/>
  <c r="BM27" i="4"/>
  <c r="BM29" i="4"/>
  <c r="BM30" i="4"/>
  <c r="BM47" i="4"/>
  <c r="BM53" i="4"/>
  <c r="BM36" i="4"/>
  <c r="BM40" i="4"/>
  <c r="BM23" i="4"/>
  <c r="BM45" i="4"/>
  <c r="BM41" i="4"/>
  <c r="BM13" i="4"/>
  <c r="BM52" i="4"/>
  <c r="BM20" i="4"/>
  <c r="BM43" i="4"/>
  <c r="BM11" i="4"/>
  <c r="BM44" i="4"/>
  <c r="BM60" i="4"/>
  <c r="BM14" i="4"/>
  <c r="BM18" i="4"/>
  <c r="BM49" i="4"/>
  <c r="BM38" i="4"/>
  <c r="BM51" i="4"/>
  <c r="BM35" i="4"/>
  <c r="BM48" i="4"/>
  <c r="BM32" i="4"/>
  <c r="BM59" i="4"/>
  <c r="BM42" i="4"/>
  <c r="BM26" i="4"/>
  <c r="BM31" i="4"/>
  <c r="BM15" i="4"/>
  <c r="BM50" i="4"/>
  <c r="BM37" i="4"/>
  <c r="BM25" i="4"/>
  <c r="BM56" i="4"/>
  <c r="BM28" i="4"/>
  <c r="BM46" i="4"/>
  <c r="BM33" i="4"/>
  <c r="BM54" i="4"/>
  <c r="BM55" i="4"/>
  <c r="BM39" i="4"/>
  <c r="BM19" i="4"/>
  <c r="BM12" i="4"/>
  <c r="BM16" i="4"/>
  <c r="BM22" i="4"/>
  <c r="BM34" i="4"/>
  <c r="BM61" i="4"/>
  <c r="BM57" i="4"/>
  <c r="BM58" i="4"/>
  <c r="BM21" i="4"/>
  <c r="CY20" i="4" a="1"/>
  <c r="CY20" i="4" s="1"/>
  <c r="X16" i="4"/>
  <c r="X24" i="4"/>
  <c r="X32" i="4"/>
  <c r="X40" i="4"/>
  <c r="X48" i="4"/>
  <c r="X56" i="4"/>
  <c r="X64" i="4"/>
  <c r="X13" i="4"/>
  <c r="X21" i="4"/>
  <c r="X37" i="4"/>
  <c r="X17" i="4"/>
  <c r="X25" i="4"/>
  <c r="X33" i="4"/>
  <c r="X41" i="4"/>
  <c r="X49" i="4"/>
  <c r="X57" i="4"/>
  <c r="X65" i="4"/>
  <c r="X69" i="4"/>
  <c r="X18" i="4"/>
  <c r="X26" i="4"/>
  <c r="X34" i="4"/>
  <c r="X42" i="4"/>
  <c r="X50" i="4"/>
  <c r="X58" i="4"/>
  <c r="X66" i="4"/>
  <c r="X45" i="4"/>
  <c r="X11" i="4"/>
  <c r="X19" i="4"/>
  <c r="X27" i="4"/>
  <c r="X35" i="4"/>
  <c r="X43" i="4"/>
  <c r="X51" i="4"/>
  <c r="X59" i="4"/>
  <c r="X67" i="4"/>
  <c r="X29" i="4"/>
  <c r="X53" i="4"/>
  <c r="X12" i="4"/>
  <c r="X20" i="4"/>
  <c r="X28" i="4"/>
  <c r="X36" i="4"/>
  <c r="X44" i="4"/>
  <c r="X52" i="4"/>
  <c r="X60" i="4"/>
  <c r="X68" i="4"/>
  <c r="X61" i="4"/>
  <c r="X14" i="4"/>
  <c r="X22" i="4"/>
  <c r="X30" i="4"/>
  <c r="X38" i="4"/>
  <c r="X46" i="4"/>
  <c r="X54" i="4"/>
  <c r="X62" i="4"/>
  <c r="X70" i="4"/>
  <c r="X15" i="4"/>
  <c r="X23" i="4"/>
  <c r="X31" i="4"/>
  <c r="X39" i="4"/>
  <c r="X47" i="4"/>
  <c r="X55" i="4"/>
  <c r="X63" i="4"/>
  <c r="X71" i="4"/>
  <c r="CV18" i="4"/>
  <c r="CW16" i="4"/>
  <c r="AO71" i="4"/>
  <c r="AI14" i="4" l="1"/>
  <c r="AI12" i="4"/>
  <c r="AI13" i="4"/>
  <c r="AT11" i="4" l="1"/>
  <c r="AT12" i="4"/>
  <c r="AT13" i="4"/>
  <c r="AT14" i="4"/>
  <c r="AT15" i="4"/>
  <c r="AT16" i="4"/>
  <c r="AT17" i="4"/>
  <c r="AT18" i="4"/>
  <c r="AH11" i="4"/>
  <c r="AR11" i="4" s="1"/>
  <c r="AH12" i="4"/>
  <c r="AR12" i="4" s="1"/>
  <c r="AH13" i="4"/>
  <c r="AR13" i="4" s="1"/>
  <c r="AH14" i="4"/>
  <c r="AR14" i="4" s="1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AQ14" i="4"/>
  <c r="AP11" i="4"/>
  <c r="AP12" i="4"/>
  <c r="AP13" i="4"/>
  <c r="AP14" i="4"/>
  <c r="AN11" i="4"/>
  <c r="AN12" i="4"/>
  <c r="AN13" i="4"/>
  <c r="AN14" i="4"/>
  <c r="AN15" i="4"/>
  <c r="AN16" i="4"/>
  <c r="AN17" i="4"/>
  <c r="AN18" i="4"/>
  <c r="AN19" i="4"/>
  <c r="AN20" i="4"/>
  <c r="AN21" i="4"/>
  <c r="AN22" i="4"/>
  <c r="AN23" i="4"/>
  <c r="AN24" i="4"/>
  <c r="AN25" i="4"/>
  <c r="AN26" i="4"/>
  <c r="AN27" i="4"/>
  <c r="AN28" i="4"/>
  <c r="AN29" i="4"/>
  <c r="AN30" i="4"/>
  <c r="AN31" i="4"/>
  <c r="AN32" i="4"/>
  <c r="AN33" i="4"/>
  <c r="AN34" i="4"/>
  <c r="AN35" i="4"/>
  <c r="AN36" i="4"/>
  <c r="AN37" i="4"/>
  <c r="AN38" i="4"/>
  <c r="AN39" i="4"/>
  <c r="AN40" i="4"/>
  <c r="AN41" i="4"/>
  <c r="AN42" i="4"/>
  <c r="AN43" i="4"/>
  <c r="AN44" i="4"/>
  <c r="AN45" i="4"/>
  <c r="AN46" i="4"/>
  <c r="AN47" i="4"/>
  <c r="AN48" i="4"/>
  <c r="AN49" i="4"/>
  <c r="AN50" i="4"/>
  <c r="AN51" i="4"/>
  <c r="AN52" i="4"/>
  <c r="AN53" i="4"/>
  <c r="AN54" i="4"/>
  <c r="AN55" i="4"/>
  <c r="AN56" i="4"/>
  <c r="AN57" i="4"/>
  <c r="AN58" i="4"/>
  <c r="AN59" i="4"/>
  <c r="AN60" i="4"/>
  <c r="AN61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BA11" i="4"/>
  <c r="BA12" i="4"/>
  <c r="BA13" i="4"/>
  <c r="BA14" i="4"/>
  <c r="BA15" i="4"/>
  <c r="BA16" i="4"/>
  <c r="BA17" i="4"/>
  <c r="BA18" i="4"/>
  <c r="BA19" i="4"/>
  <c r="BA20" i="4"/>
  <c r="BA21" i="4"/>
  <c r="BA22" i="4"/>
  <c r="BA23" i="4"/>
  <c r="BA24" i="4"/>
  <c r="BA25" i="4"/>
  <c r="BA26" i="4"/>
  <c r="BA27" i="4"/>
  <c r="BA28" i="4"/>
  <c r="BA29" i="4"/>
  <c r="BA30" i="4"/>
  <c r="BA31" i="4"/>
  <c r="BA32" i="4"/>
  <c r="BA33" i="4"/>
  <c r="BA34" i="4"/>
  <c r="BA35" i="4"/>
  <c r="BA36" i="4"/>
  <c r="BA37" i="4"/>
  <c r="BA38" i="4"/>
  <c r="AZ11" i="4"/>
  <c r="AZ12" i="4"/>
  <c r="AZ13" i="4"/>
  <c r="AZ14" i="4"/>
  <c r="AZ15" i="4"/>
  <c r="AZ16" i="4"/>
  <c r="AZ17" i="4"/>
  <c r="AZ18" i="4"/>
  <c r="AZ19" i="4"/>
  <c r="AZ20" i="4"/>
  <c r="AZ21" i="4"/>
  <c r="AZ22" i="4"/>
  <c r="AZ23" i="4"/>
  <c r="AZ24" i="4"/>
  <c r="AZ25" i="4"/>
  <c r="AZ26" i="4"/>
  <c r="AZ27" i="4"/>
  <c r="AZ28" i="4"/>
  <c r="AZ29" i="4"/>
  <c r="AZ30" i="4"/>
  <c r="AZ31" i="4"/>
  <c r="AZ32" i="4"/>
  <c r="AZ33" i="4"/>
  <c r="AZ34" i="4"/>
  <c r="AZ35" i="4"/>
  <c r="AZ36" i="4"/>
  <c r="AZ37" i="4"/>
  <c r="AZ38" i="4"/>
  <c r="AY11" i="4"/>
  <c r="AY12" i="4"/>
  <c r="AY13" i="4"/>
  <c r="AY14" i="4"/>
  <c r="AY15" i="4"/>
  <c r="AY16" i="4"/>
  <c r="AY17" i="4"/>
  <c r="AY18" i="4"/>
  <c r="AY19" i="4"/>
  <c r="AY20" i="4"/>
  <c r="AY21" i="4"/>
  <c r="AY22" i="4"/>
  <c r="AY23" i="4"/>
  <c r="AY24" i="4"/>
  <c r="AY25" i="4"/>
  <c r="AY26" i="4"/>
  <c r="AY27" i="4"/>
  <c r="AY28" i="4"/>
  <c r="AY29" i="4"/>
  <c r="AY30" i="4"/>
  <c r="AY31" i="4"/>
  <c r="AY32" i="4"/>
  <c r="AY33" i="4"/>
  <c r="AY34" i="4"/>
  <c r="AY35" i="4"/>
  <c r="AY36" i="4"/>
  <c r="AY37" i="4"/>
  <c r="AY38" i="4"/>
  <c r="BC8" i="4" l="1"/>
  <c r="BC9" i="4" s="1"/>
  <c r="AZ8" i="4"/>
  <c r="AZ9" i="4" s="1"/>
  <c r="BF8" i="4"/>
  <c r="BC11" i="4"/>
  <c r="BC12" i="4"/>
  <c r="BC13" i="4"/>
  <c r="BC14" i="4"/>
  <c r="BC15" i="4"/>
  <c r="BC16" i="4"/>
  <c r="BC17" i="4"/>
  <c r="BC18" i="4"/>
  <c r="BC75" i="4"/>
  <c r="BC76" i="4"/>
  <c r="BC77" i="4"/>
  <c r="BC78" i="4"/>
  <c r="BC79" i="4"/>
  <c r="BC80" i="4"/>
  <c r="BC81" i="4"/>
  <c r="BC82" i="4"/>
  <c r="BC83" i="4"/>
  <c r="BC84" i="4"/>
  <c r="BC85" i="4"/>
  <c r="BC86" i="4"/>
  <c r="BC87" i="4"/>
  <c r="BC88" i="4"/>
  <c r="BC89" i="4"/>
  <c r="BC90" i="4"/>
  <c r="BC91" i="4"/>
  <c r="BC92" i="4"/>
  <c r="BC93" i="4"/>
  <c r="BC94" i="4"/>
  <c r="BC95" i="4"/>
  <c r="BC96" i="4"/>
  <c r="BC97" i="4"/>
  <c r="BC98" i="4"/>
  <c r="BC99" i="4"/>
  <c r="BC100" i="4"/>
  <c r="BC101" i="4"/>
  <c r="BC102" i="4"/>
  <c r="BC103" i="4"/>
  <c r="BC104" i="4"/>
  <c r="BC105" i="4"/>
  <c r="BC106" i="4"/>
  <c r="BC107" i="4"/>
  <c r="BC108" i="4"/>
  <c r="BC109" i="4"/>
  <c r="BC110" i="4"/>
  <c r="BC111" i="4"/>
  <c r="BC112" i="4"/>
  <c r="BC113" i="4"/>
  <c r="BC114" i="4"/>
  <c r="BC115" i="4"/>
  <c r="BC116" i="4"/>
  <c r="BC117" i="4"/>
  <c r="CP17" i="4"/>
  <c r="CP16" i="4"/>
  <c r="CK16" i="4"/>
  <c r="CI17" i="4"/>
  <c r="CI16" i="4"/>
  <c r="AE11" i="4"/>
  <c r="BB11" i="4" s="1"/>
  <c r="AE12" i="4"/>
  <c r="BB12" i="4" s="1"/>
  <c r="AE13" i="4"/>
  <c r="BB13" i="4" s="1"/>
  <c r="AE14" i="4"/>
  <c r="BB14" i="4" s="1"/>
  <c r="AE15" i="4"/>
  <c r="BB15" i="4" s="1"/>
  <c r="AE16" i="4"/>
  <c r="BB16" i="4" s="1"/>
  <c r="AE17" i="4"/>
  <c r="BB17" i="4" s="1"/>
  <c r="AE18" i="4"/>
  <c r="BB18" i="4" s="1"/>
  <c r="AE19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BB55" i="4" s="1"/>
  <c r="BC55" i="4" s="1"/>
  <c r="AE56" i="4"/>
  <c r="AE57" i="4"/>
  <c r="AE58" i="4"/>
  <c r="AE59" i="4"/>
  <c r="AE60" i="4"/>
  <c r="AE61" i="4"/>
  <c r="AA19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20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T11" i="4"/>
  <c r="T12" i="4"/>
  <c r="T13" i="4"/>
  <c r="T14" i="4"/>
  <c r="T15" i="4"/>
  <c r="T16" i="4"/>
  <c r="T17" i="4"/>
  <c r="T18" i="4"/>
  <c r="T9" i="4"/>
  <c r="T71" i="4" s="1"/>
  <c r="R9" i="4"/>
  <c r="R18" i="4" s="1"/>
  <c r="CQ17" i="4"/>
  <c r="CN17" i="4"/>
  <c r="CQ16" i="4"/>
  <c r="CN16" i="4"/>
  <c r="T74" i="4" l="1"/>
  <c r="R74" i="4"/>
  <c r="R73" i="4"/>
  <c r="T73" i="4"/>
  <c r="T72" i="4"/>
  <c r="R72" i="4"/>
  <c r="T28" i="4"/>
  <c r="R71" i="4"/>
  <c r="R70" i="4"/>
  <c r="BB23" i="4"/>
  <c r="BC23" i="4" s="1"/>
  <c r="BB47" i="4"/>
  <c r="BC47" i="4" s="1"/>
  <c r="BB39" i="4"/>
  <c r="BC39" i="4" s="1"/>
  <c r="BB31" i="4"/>
  <c r="BC31" i="4" s="1"/>
  <c r="AU15" i="4"/>
  <c r="AS15" i="4"/>
  <c r="AS14" i="4"/>
  <c r="AU14" i="4"/>
  <c r="AU13" i="4"/>
  <c r="AS13" i="4"/>
  <c r="AU12" i="4"/>
  <c r="AS12" i="4"/>
  <c r="AU16" i="4"/>
  <c r="AS16" i="4"/>
  <c r="AU18" i="4"/>
  <c r="AS18" i="4"/>
  <c r="AU17" i="4"/>
  <c r="AS17" i="4"/>
  <c r="AY43" i="4"/>
  <c r="AY51" i="4"/>
  <c r="AY59" i="4"/>
  <c r="AY44" i="4"/>
  <c r="AY52" i="4"/>
  <c r="AY60" i="4"/>
  <c r="AY50" i="4"/>
  <c r="AY45" i="4"/>
  <c r="AY53" i="4"/>
  <c r="AY61" i="4"/>
  <c r="AY58" i="4"/>
  <c r="AY46" i="4"/>
  <c r="AY54" i="4"/>
  <c r="AY39" i="4"/>
  <c r="AY47" i="4"/>
  <c r="AY55" i="4"/>
  <c r="AY42" i="4"/>
  <c r="AY40" i="4"/>
  <c r="AY48" i="4"/>
  <c r="AY56" i="4"/>
  <c r="AY41" i="4"/>
  <c r="AY49" i="4"/>
  <c r="AY57" i="4"/>
  <c r="T70" i="4"/>
  <c r="R68" i="4"/>
  <c r="R69" i="4"/>
  <c r="T69" i="4"/>
  <c r="T68" i="4"/>
  <c r="CV16" i="4"/>
  <c r="CV17" i="4"/>
  <c r="BB54" i="4"/>
  <c r="BC54" i="4" s="1"/>
  <c r="BB46" i="4"/>
  <c r="BC46" i="4" s="1"/>
  <c r="BB38" i="4"/>
  <c r="BC38" i="4" s="1"/>
  <c r="BB30" i="4"/>
  <c r="BC30" i="4" s="1"/>
  <c r="BB22" i="4"/>
  <c r="BC22" i="4" s="1"/>
  <c r="BB61" i="4"/>
  <c r="BC61" i="4" s="1"/>
  <c r="BB53" i="4"/>
  <c r="BC53" i="4" s="1"/>
  <c r="BB45" i="4"/>
  <c r="BC45" i="4" s="1"/>
  <c r="BB37" i="4"/>
  <c r="BC37" i="4" s="1"/>
  <c r="BB29" i="4"/>
  <c r="BC29" i="4" s="1"/>
  <c r="BB21" i="4"/>
  <c r="BC21" i="4" s="1"/>
  <c r="BB60" i="4"/>
  <c r="BC60" i="4" s="1"/>
  <c r="BB52" i="4"/>
  <c r="BC52" i="4" s="1"/>
  <c r="BB44" i="4"/>
  <c r="BC44" i="4" s="1"/>
  <c r="BB36" i="4"/>
  <c r="BC36" i="4" s="1"/>
  <c r="BB28" i="4"/>
  <c r="BC28" i="4" s="1"/>
  <c r="BB20" i="4"/>
  <c r="BC20" i="4" s="1"/>
  <c r="BB59" i="4"/>
  <c r="BC59" i="4" s="1"/>
  <c r="BB51" i="4"/>
  <c r="BC51" i="4" s="1"/>
  <c r="BB43" i="4"/>
  <c r="BC43" i="4" s="1"/>
  <c r="BB35" i="4"/>
  <c r="BC35" i="4" s="1"/>
  <c r="BB27" i="4"/>
  <c r="BC27" i="4" s="1"/>
  <c r="BB19" i="4"/>
  <c r="BC19" i="4" s="1"/>
  <c r="BB58" i="4"/>
  <c r="BC58" i="4" s="1"/>
  <c r="BB50" i="4"/>
  <c r="BC50" i="4" s="1"/>
  <c r="BB42" i="4"/>
  <c r="BC42" i="4" s="1"/>
  <c r="BB34" i="4"/>
  <c r="BC34" i="4" s="1"/>
  <c r="BB26" i="4"/>
  <c r="BC26" i="4" s="1"/>
  <c r="BB57" i="4"/>
  <c r="BC57" i="4" s="1"/>
  <c r="BB49" i="4"/>
  <c r="BC49" i="4" s="1"/>
  <c r="BB41" i="4"/>
  <c r="BC41" i="4" s="1"/>
  <c r="BB33" i="4"/>
  <c r="BC33" i="4" s="1"/>
  <c r="BB25" i="4"/>
  <c r="BC25" i="4" s="1"/>
  <c r="BB56" i="4"/>
  <c r="BC56" i="4" s="1"/>
  <c r="BB48" i="4"/>
  <c r="BC48" i="4" s="1"/>
  <c r="BB40" i="4"/>
  <c r="BC40" i="4" s="1"/>
  <c r="BB32" i="4"/>
  <c r="BC32" i="4" s="1"/>
  <c r="BB24" i="4"/>
  <c r="BC24" i="4" s="1"/>
  <c r="BD16" i="4"/>
  <c r="BD11" i="4"/>
  <c r="BD18" i="4"/>
  <c r="BD17" i="4"/>
  <c r="BD55" i="4"/>
  <c r="BD15" i="4"/>
  <c r="BD14" i="4"/>
  <c r="BD13" i="4"/>
  <c r="BD12" i="4"/>
  <c r="R25" i="4"/>
  <c r="R33" i="4"/>
  <c r="R17" i="4"/>
  <c r="R65" i="4"/>
  <c r="R57" i="4"/>
  <c r="R49" i="4"/>
  <c r="R41" i="4"/>
  <c r="T43" i="4"/>
  <c r="R32" i="4"/>
  <c r="T26" i="4"/>
  <c r="T20" i="4"/>
  <c r="R63" i="4"/>
  <c r="R55" i="4"/>
  <c r="R47" i="4"/>
  <c r="R39" i="4"/>
  <c r="R31" i="4"/>
  <c r="R23" i="4"/>
  <c r="R15" i="4"/>
  <c r="T65" i="4"/>
  <c r="T57" i="4"/>
  <c r="T49" i="4"/>
  <c r="T41" i="4"/>
  <c r="T33" i="4"/>
  <c r="T25" i="4"/>
  <c r="T35" i="4"/>
  <c r="R64" i="4"/>
  <c r="R16" i="4"/>
  <c r="T42" i="4"/>
  <c r="R62" i="4"/>
  <c r="R54" i="4"/>
  <c r="R46" i="4"/>
  <c r="R38" i="4"/>
  <c r="R30" i="4"/>
  <c r="R22" i="4"/>
  <c r="R14" i="4"/>
  <c r="T64" i="4"/>
  <c r="T56" i="4"/>
  <c r="T48" i="4"/>
  <c r="T40" i="4"/>
  <c r="T32" i="4"/>
  <c r="T24" i="4"/>
  <c r="T67" i="4"/>
  <c r="R40" i="4"/>
  <c r="T58" i="4"/>
  <c r="T19" i="4"/>
  <c r="R61" i="4"/>
  <c r="R53" i="4"/>
  <c r="R45" i="4"/>
  <c r="R37" i="4"/>
  <c r="R29" i="4"/>
  <c r="R21" i="4"/>
  <c r="R13" i="4"/>
  <c r="T63" i="4"/>
  <c r="T55" i="4"/>
  <c r="T47" i="4"/>
  <c r="T39" i="4"/>
  <c r="T31" i="4"/>
  <c r="T23" i="4"/>
  <c r="T51" i="4"/>
  <c r="R11" i="4"/>
  <c r="R56" i="4"/>
  <c r="R24" i="4"/>
  <c r="T66" i="4"/>
  <c r="T50" i="4"/>
  <c r="R60" i="4"/>
  <c r="R52" i="4"/>
  <c r="R44" i="4"/>
  <c r="R36" i="4"/>
  <c r="R28" i="4"/>
  <c r="R20" i="4"/>
  <c r="R12" i="4"/>
  <c r="T62" i="4"/>
  <c r="T54" i="4"/>
  <c r="T46" i="4"/>
  <c r="T38" i="4"/>
  <c r="T30" i="4"/>
  <c r="T22" i="4"/>
  <c r="T27" i="4"/>
  <c r="R48" i="4"/>
  <c r="T34" i="4"/>
  <c r="R67" i="4"/>
  <c r="R59" i="4"/>
  <c r="R51" i="4"/>
  <c r="R43" i="4"/>
  <c r="R35" i="4"/>
  <c r="R27" i="4"/>
  <c r="R19" i="4"/>
  <c r="T61" i="4"/>
  <c r="T53" i="4"/>
  <c r="T45" i="4"/>
  <c r="T37" i="4"/>
  <c r="T29" i="4"/>
  <c r="T21" i="4"/>
  <c r="T59" i="4"/>
  <c r="R66" i="4"/>
  <c r="R58" i="4"/>
  <c r="R50" i="4"/>
  <c r="R42" i="4"/>
  <c r="R34" i="4"/>
  <c r="R26" i="4"/>
  <c r="T60" i="4"/>
  <c r="T52" i="4"/>
  <c r="T44" i="4"/>
  <c r="T36" i="4"/>
  <c r="V123" i="4"/>
  <c r="W123" i="4"/>
  <c r="CY18" i="4" l="1"/>
  <c r="BD23" i="4"/>
  <c r="BD47" i="4"/>
  <c r="BD39" i="4"/>
  <c r="BD31" i="4"/>
  <c r="AZ42" i="4"/>
  <c r="BA42" i="4"/>
  <c r="BA55" i="4"/>
  <c r="AZ55" i="4"/>
  <c r="BA45" i="4"/>
  <c r="AZ45" i="4"/>
  <c r="AZ57" i="4"/>
  <c r="BA57" i="4"/>
  <c r="BA47" i="4"/>
  <c r="AZ47" i="4"/>
  <c r="AZ49" i="4"/>
  <c r="BA49" i="4"/>
  <c r="BA39" i="4"/>
  <c r="AZ39" i="4"/>
  <c r="AZ50" i="4"/>
  <c r="BA50" i="4"/>
  <c r="BA60" i="4"/>
  <c r="AZ60" i="4"/>
  <c r="AZ41" i="4"/>
  <c r="BA41" i="4"/>
  <c r="BA54" i="4"/>
  <c r="AZ54" i="4"/>
  <c r="BA52" i="4"/>
  <c r="AZ52" i="4"/>
  <c r="AZ56" i="4"/>
  <c r="BA56" i="4"/>
  <c r="BA46" i="4"/>
  <c r="AZ46" i="4"/>
  <c r="BA44" i="4"/>
  <c r="AZ44" i="4"/>
  <c r="AZ48" i="4"/>
  <c r="BA48" i="4"/>
  <c r="BA59" i="4"/>
  <c r="AZ59" i="4"/>
  <c r="AZ40" i="4"/>
  <c r="BA40" i="4"/>
  <c r="AZ58" i="4"/>
  <c r="BA58" i="4"/>
  <c r="BA61" i="4"/>
  <c r="AZ61" i="4"/>
  <c r="BA51" i="4"/>
  <c r="AZ51" i="4"/>
  <c r="BA53" i="4"/>
  <c r="AZ53" i="4"/>
  <c r="BA43" i="4"/>
  <c r="AZ43" i="4"/>
  <c r="BD30" i="4"/>
  <c r="BD59" i="4"/>
  <c r="BD29" i="4"/>
  <c r="BD46" i="4"/>
  <c r="BD37" i="4"/>
  <c r="BD54" i="4"/>
  <c r="BD20" i="4"/>
  <c r="BD50" i="4"/>
  <c r="BD51" i="4"/>
  <c r="BD25" i="4"/>
  <c r="BD19" i="4"/>
  <c r="BD56" i="4"/>
  <c r="BD42" i="4"/>
  <c r="BD43" i="4"/>
  <c r="BD60" i="4"/>
  <c r="BD26" i="4"/>
  <c r="BD34" i="4"/>
  <c r="BD40" i="4"/>
  <c r="BD27" i="4"/>
  <c r="BD49" i="4"/>
  <c r="BD44" i="4"/>
  <c r="BD35" i="4"/>
  <c r="BD61" i="4"/>
  <c r="BD52" i="4"/>
  <c r="BD38" i="4"/>
  <c r="BD22" i="4"/>
  <c r="BD21" i="4"/>
  <c r="BD24" i="4"/>
  <c r="BD48" i="4"/>
  <c r="BD28" i="4"/>
  <c r="BD32" i="4"/>
  <c r="BD53" i="4"/>
  <c r="BD33" i="4"/>
  <c r="BD45" i="4"/>
  <c r="BD41" i="4"/>
  <c r="BD58" i="4"/>
  <c r="BD36" i="4"/>
  <c r="BD57" i="4"/>
  <c r="CY17" i="4"/>
  <c r="CY16" i="4"/>
  <c r="BF9" i="4"/>
  <c r="AW8" i="4"/>
  <c r="AW9" i="4" s="1"/>
  <c r="AT8" i="4" l="1"/>
  <c r="AJ9" i="4"/>
  <c r="AJ8" i="4"/>
  <c r="CK11" i="4"/>
  <c r="AE9" i="4"/>
  <c r="CI11" i="4"/>
  <c r="EG72" i="4"/>
  <c r="EI72" i="4"/>
  <c r="EJ72" i="4"/>
  <c r="CN11" i="4"/>
  <c r="EL72" i="4"/>
  <c r="CQ11" i="4"/>
  <c r="AJ14" i="4" l="1"/>
  <c r="AJ11" i="4"/>
  <c r="AJ13" i="4"/>
  <c r="AJ12" i="4"/>
  <c r="CV11" i="4"/>
  <c r="DU12" i="4"/>
  <c r="DU11" i="4"/>
  <c r="DT11" i="4"/>
  <c r="DT12" i="4" s="1"/>
  <c r="V9" i="4"/>
  <c r="P9" i="4"/>
  <c r="P74" i="4" s="1"/>
  <c r="N9" i="4"/>
  <c r="L9" i="4"/>
  <c r="L3" i="4"/>
  <c r="P14" i="4" l="1"/>
  <c r="P22" i="4"/>
  <c r="P33" i="4"/>
  <c r="P41" i="4"/>
  <c r="P49" i="4"/>
  <c r="P57" i="4"/>
  <c r="P65" i="4"/>
  <c r="P73" i="4"/>
  <c r="P52" i="4"/>
  <c r="P15" i="4"/>
  <c r="P23" i="4"/>
  <c r="P34" i="4"/>
  <c r="P42" i="4"/>
  <c r="P50" i="4"/>
  <c r="P58" i="4"/>
  <c r="P66" i="4"/>
  <c r="P30" i="4"/>
  <c r="P17" i="4"/>
  <c r="P60" i="4"/>
  <c r="P29" i="4"/>
  <c r="P16" i="4"/>
  <c r="P24" i="4"/>
  <c r="P35" i="4"/>
  <c r="P43" i="4"/>
  <c r="P51" i="4"/>
  <c r="P59" i="4"/>
  <c r="P67" i="4"/>
  <c r="P25" i="4"/>
  <c r="P31" i="4"/>
  <c r="P18" i="4"/>
  <c r="P26" i="4"/>
  <c r="P37" i="4"/>
  <c r="P45" i="4"/>
  <c r="P53" i="4"/>
  <c r="P61" i="4"/>
  <c r="P69" i="4"/>
  <c r="P44" i="4"/>
  <c r="P11" i="4"/>
  <c r="P19" i="4"/>
  <c r="P27" i="4"/>
  <c r="P38" i="4"/>
  <c r="P46" i="4"/>
  <c r="P54" i="4"/>
  <c r="P62" i="4"/>
  <c r="P70" i="4"/>
  <c r="P12" i="4"/>
  <c r="P20" i="4"/>
  <c r="P28" i="4"/>
  <c r="P39" i="4"/>
  <c r="P47" i="4"/>
  <c r="P55" i="4"/>
  <c r="P63" i="4"/>
  <c r="P71" i="4"/>
  <c r="P36" i="4"/>
  <c r="P13" i="4"/>
  <c r="P21" i="4"/>
  <c r="P32" i="4"/>
  <c r="P40" i="4"/>
  <c r="P48" i="4"/>
  <c r="P56" i="4"/>
  <c r="P64" i="4"/>
  <c r="P72" i="4"/>
  <c r="P68" i="4"/>
  <c r="L71" i="4"/>
  <c r="K8" i="4"/>
  <c r="L63" i="4"/>
  <c r="L14" i="4"/>
  <c r="V65" i="4" l="1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N11" i="4"/>
  <c r="N12" i="4"/>
  <c r="N13" i="4"/>
  <c r="N14" i="4"/>
  <c r="N15" i="4"/>
  <c r="N16" i="4"/>
  <c r="N17" i="4"/>
  <c r="N18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AT9" i="4"/>
  <c r="AQ9" i="4"/>
  <c r="V38" i="4" l="1"/>
  <c r="V39" i="4"/>
  <c r="V63" i="4"/>
  <c r="V31" i="4"/>
  <c r="V62" i="4"/>
  <c r="V30" i="4"/>
  <c r="V55" i="4"/>
  <c r="V23" i="4"/>
  <c r="V54" i="4"/>
  <c r="V22" i="4"/>
  <c r="V47" i="4"/>
  <c r="V15" i="4"/>
  <c r="V46" i="4"/>
  <c r="V14" i="4"/>
  <c r="V58" i="4"/>
  <c r="V50" i="4"/>
  <c r="V42" i="4"/>
  <c r="V34" i="4"/>
  <c r="V26" i="4"/>
  <c r="V18" i="4"/>
  <c r="N57" i="4"/>
  <c r="V57" i="4"/>
  <c r="V49" i="4"/>
  <c r="V41" i="4"/>
  <c r="V33" i="4"/>
  <c r="V25" i="4"/>
  <c r="V17" i="4"/>
  <c r="V64" i="4"/>
  <c r="V56" i="4"/>
  <c r="V48" i="4"/>
  <c r="V40" i="4"/>
  <c r="V32" i="4"/>
  <c r="V24" i="4"/>
  <c r="V16" i="4"/>
  <c r="V61" i="4"/>
  <c r="V53" i="4"/>
  <c r="V45" i="4"/>
  <c r="V37" i="4"/>
  <c r="V29" i="4"/>
  <c r="V21" i="4"/>
  <c r="V13" i="4"/>
  <c r="V60" i="4"/>
  <c r="V52" i="4"/>
  <c r="V44" i="4"/>
  <c r="V36" i="4"/>
  <c r="V28" i="4"/>
  <c r="V20" i="4"/>
  <c r="V12" i="4"/>
  <c r="V59" i="4"/>
  <c r="V51" i="4"/>
  <c r="V43" i="4"/>
  <c r="V35" i="4"/>
  <c r="V27" i="4"/>
  <c r="V19" i="4"/>
  <c r="V11" i="4"/>
  <c r="N50" i="4"/>
  <c r="N49" i="4"/>
  <c r="N42" i="4"/>
  <c r="N41" i="4"/>
  <c r="N34" i="4"/>
  <c r="N33" i="4"/>
  <c r="N58" i="4"/>
  <c r="N26" i="4"/>
  <c r="N64" i="4"/>
  <c r="N56" i="4"/>
  <c r="N48" i="4"/>
  <c r="N40" i="4"/>
  <c r="N32" i="4"/>
  <c r="N24" i="4"/>
  <c r="N25" i="4"/>
  <c r="N63" i="4"/>
  <c r="N55" i="4"/>
  <c r="N47" i="4"/>
  <c r="N39" i="4"/>
  <c r="N31" i="4"/>
  <c r="N23" i="4"/>
  <c r="N62" i="4"/>
  <c r="N54" i="4"/>
  <c r="N46" i="4"/>
  <c r="N38" i="4"/>
  <c r="N30" i="4"/>
  <c r="N22" i="4"/>
  <c r="N61" i="4"/>
  <c r="N53" i="4"/>
  <c r="N45" i="4"/>
  <c r="N37" i="4"/>
  <c r="N29" i="4"/>
  <c r="N21" i="4"/>
  <c r="N60" i="4"/>
  <c r="N52" i="4"/>
  <c r="N44" i="4"/>
  <c r="N36" i="4"/>
  <c r="N28" i="4"/>
  <c r="N20" i="4"/>
  <c r="N59" i="4"/>
  <c r="N51" i="4"/>
  <c r="N43" i="4"/>
  <c r="N35" i="4"/>
  <c r="N27" i="4"/>
  <c r="N19" i="4"/>
  <c r="CY13" i="4" l="1"/>
  <c r="CY15" i="4"/>
  <c r="CY14" i="4"/>
  <c r="BS56" i="4"/>
  <c r="BT55" i="4"/>
  <c r="CP15" i="4"/>
  <c r="CP14" i="4"/>
  <c r="CP13" i="4"/>
  <c r="BS57" i="4" l="1"/>
  <c r="BT56" i="4"/>
  <c r="CI12" i="4"/>
  <c r="CN12" i="4"/>
  <c r="CQ12" i="4"/>
  <c r="BS58" i="4" l="1"/>
  <c r="BT57" i="4"/>
  <c r="CV12" i="4"/>
  <c r="L107" i="4"/>
  <c r="L108" i="4"/>
  <c r="L109" i="4"/>
  <c r="L110" i="4"/>
  <c r="L111" i="4"/>
  <c r="L112" i="4"/>
  <c r="L113" i="4"/>
  <c r="L114" i="4"/>
  <c r="L115" i="4"/>
  <c r="L116" i="4"/>
  <c r="L117" i="4"/>
  <c r="AI105" i="4"/>
  <c r="AJ105" i="4" s="1"/>
  <c r="AI106" i="4"/>
  <c r="AJ106" i="4" s="1"/>
  <c r="AI107" i="4"/>
  <c r="AJ107" i="4" s="1"/>
  <c r="AI108" i="4"/>
  <c r="AJ108" i="4" s="1"/>
  <c r="AI109" i="4"/>
  <c r="AJ109" i="4" s="1"/>
  <c r="AI110" i="4"/>
  <c r="AJ110" i="4" s="1"/>
  <c r="AI111" i="4"/>
  <c r="AJ111" i="4" s="1"/>
  <c r="AI112" i="4"/>
  <c r="AJ112" i="4" s="1"/>
  <c r="AI113" i="4"/>
  <c r="AJ113" i="4" s="1"/>
  <c r="AI114" i="4"/>
  <c r="AJ114" i="4" s="1"/>
  <c r="AI115" i="4"/>
  <c r="AJ115" i="4" s="1"/>
  <c r="AI116" i="4"/>
  <c r="AJ116" i="4" s="1"/>
  <c r="AI117" i="4"/>
  <c r="AJ117" i="4" s="1"/>
  <c r="BF108" i="4"/>
  <c r="BF109" i="4"/>
  <c r="BF110" i="4"/>
  <c r="BF111" i="4"/>
  <c r="BF112" i="4"/>
  <c r="BF113" i="4"/>
  <c r="BF114" i="4"/>
  <c r="BF115" i="4"/>
  <c r="BF116" i="4"/>
  <c r="BF117" i="4"/>
  <c r="BQ108" i="4"/>
  <c r="BQ109" i="4"/>
  <c r="BQ110" i="4"/>
  <c r="BQ111" i="4"/>
  <c r="BQ112" i="4"/>
  <c r="BQ113" i="4"/>
  <c r="BQ114" i="4"/>
  <c r="BQ115" i="4"/>
  <c r="BQ116" i="4"/>
  <c r="BQ117" i="4"/>
  <c r="AI64" i="4"/>
  <c r="BS59" i="4" l="1"/>
  <c r="BT58" i="4"/>
  <c r="AJ64" i="4"/>
  <c r="BF75" i="4"/>
  <c r="BF76" i="4"/>
  <c r="BF77" i="4"/>
  <c r="BF78" i="4"/>
  <c r="BF79" i="4"/>
  <c r="BF80" i="4"/>
  <c r="BF81" i="4"/>
  <c r="BF82" i="4"/>
  <c r="BF83" i="4"/>
  <c r="BF84" i="4"/>
  <c r="BF85" i="4"/>
  <c r="BF86" i="4"/>
  <c r="BF87" i="4"/>
  <c r="BF88" i="4"/>
  <c r="BF89" i="4"/>
  <c r="BF90" i="4"/>
  <c r="BF91" i="4"/>
  <c r="BF92" i="4"/>
  <c r="BF93" i="4"/>
  <c r="BF94" i="4"/>
  <c r="BF95" i="4"/>
  <c r="BF96" i="4"/>
  <c r="BF97" i="4"/>
  <c r="BF98" i="4"/>
  <c r="BF99" i="4"/>
  <c r="BF100" i="4"/>
  <c r="BF101" i="4"/>
  <c r="BF102" i="4"/>
  <c r="BF103" i="4"/>
  <c r="BF104" i="4"/>
  <c r="BF105" i="4"/>
  <c r="BF106" i="4"/>
  <c r="BF107" i="4"/>
  <c r="CK15" i="4"/>
  <c r="CI15" i="4"/>
  <c r="K23" i="16"/>
  <c r="H13" i="16"/>
  <c r="H12" i="16"/>
  <c r="H11" i="16"/>
  <c r="H10" i="16"/>
  <c r="H9" i="16"/>
  <c r="H8" i="16"/>
  <c r="H7" i="16"/>
  <c r="H6" i="16"/>
  <c r="H5" i="16"/>
  <c r="G5" i="16"/>
  <c r="CN15" i="4"/>
  <c r="CQ15" i="4"/>
  <c r="BS60" i="4" l="1"/>
  <c r="BT59" i="4"/>
  <c r="CV15" i="4"/>
  <c r="BE27" i="4"/>
  <c r="BG27" i="4" s="1"/>
  <c r="I11" i="16"/>
  <c r="BE11" i="4"/>
  <c r="BE57" i="4"/>
  <c r="BG57" i="4" s="1"/>
  <c r="BE49" i="4"/>
  <c r="BG49" i="4" s="1"/>
  <c r="BE41" i="4"/>
  <c r="BG41" i="4" s="1"/>
  <c r="BE33" i="4"/>
  <c r="BG33" i="4" s="1"/>
  <c r="BE25" i="4"/>
  <c r="BG25" i="4" s="1"/>
  <c r="BE17" i="4"/>
  <c r="BG17" i="4" s="1"/>
  <c r="BE59" i="4"/>
  <c r="BG59" i="4" s="1"/>
  <c r="BE50" i="4"/>
  <c r="BG50" i="4" s="1"/>
  <c r="BE56" i="4"/>
  <c r="BG56" i="4" s="1"/>
  <c r="BE48" i="4"/>
  <c r="BG48" i="4" s="1"/>
  <c r="BE40" i="4"/>
  <c r="BG40" i="4" s="1"/>
  <c r="BE32" i="4"/>
  <c r="BG32" i="4" s="1"/>
  <c r="BE24" i="4"/>
  <c r="BG24" i="4" s="1"/>
  <c r="BE16" i="4"/>
  <c r="BG16" i="4" s="1"/>
  <c r="BE18" i="4"/>
  <c r="BG18" i="4" s="1"/>
  <c r="BE55" i="4"/>
  <c r="BG55" i="4" s="1"/>
  <c r="BE47" i="4"/>
  <c r="BG47" i="4" s="1"/>
  <c r="BE39" i="4"/>
  <c r="BG39" i="4" s="1"/>
  <c r="BE31" i="4"/>
  <c r="BG31" i="4" s="1"/>
  <c r="BE23" i="4"/>
  <c r="BG23" i="4" s="1"/>
  <c r="BE15" i="4"/>
  <c r="BG15" i="4" s="1"/>
  <c r="BE58" i="4"/>
  <c r="BG58" i="4" s="1"/>
  <c r="BE34" i="4"/>
  <c r="BG34" i="4" s="1"/>
  <c r="BE54" i="4"/>
  <c r="BG54" i="4" s="1"/>
  <c r="BE46" i="4"/>
  <c r="BG46" i="4" s="1"/>
  <c r="BE38" i="4"/>
  <c r="BG38" i="4" s="1"/>
  <c r="BE30" i="4"/>
  <c r="BG30" i="4" s="1"/>
  <c r="BE22" i="4"/>
  <c r="BG22" i="4" s="1"/>
  <c r="BE14" i="4"/>
  <c r="BG14" i="4" s="1"/>
  <c r="BE42" i="4"/>
  <c r="BG42" i="4" s="1"/>
  <c r="BE61" i="4"/>
  <c r="BG61" i="4" s="1"/>
  <c r="BE53" i="4"/>
  <c r="BG53" i="4" s="1"/>
  <c r="BE45" i="4"/>
  <c r="BG45" i="4" s="1"/>
  <c r="BE37" i="4"/>
  <c r="BG37" i="4" s="1"/>
  <c r="BE29" i="4"/>
  <c r="BG29" i="4" s="1"/>
  <c r="BE21" i="4"/>
  <c r="BG21" i="4" s="1"/>
  <c r="BE13" i="4"/>
  <c r="BG13" i="4" s="1"/>
  <c r="BE26" i="4"/>
  <c r="BG26" i="4" s="1"/>
  <c r="BE60" i="4"/>
  <c r="BG60" i="4" s="1"/>
  <c r="BE52" i="4"/>
  <c r="BG52" i="4" s="1"/>
  <c r="BE44" i="4"/>
  <c r="BG44" i="4" s="1"/>
  <c r="BE36" i="4"/>
  <c r="BG36" i="4" s="1"/>
  <c r="BE28" i="4"/>
  <c r="BG28" i="4" s="1"/>
  <c r="BE20" i="4"/>
  <c r="BG20" i="4" s="1"/>
  <c r="BE12" i="4"/>
  <c r="BG12" i="4" s="1"/>
  <c r="BE51" i="4"/>
  <c r="BG51" i="4" s="1"/>
  <c r="BE43" i="4"/>
  <c r="BG43" i="4" s="1"/>
  <c r="BE35" i="4"/>
  <c r="BG35" i="4" s="1"/>
  <c r="BE19" i="4"/>
  <c r="BG19" i="4" s="1"/>
  <c r="BS61" i="4" l="1"/>
  <c r="BT60" i="4"/>
  <c r="BG11" i="4"/>
  <c r="BF28" i="4"/>
  <c r="BF19" i="4"/>
  <c r="BF36" i="4"/>
  <c r="BF37" i="4"/>
  <c r="BF38" i="4"/>
  <c r="BF31" i="4"/>
  <c r="BF40" i="4"/>
  <c r="BF41" i="4"/>
  <c r="BF23" i="4"/>
  <c r="BF44" i="4"/>
  <c r="BF46" i="4"/>
  <c r="BF52" i="4"/>
  <c r="BF53" i="4"/>
  <c r="BF42" i="4"/>
  <c r="BF54" i="4"/>
  <c r="BF34" i="4"/>
  <c r="BF47" i="4"/>
  <c r="BF18" i="4"/>
  <c r="BF56" i="4"/>
  <c r="BF50" i="4"/>
  <c r="BF57" i="4"/>
  <c r="BF27" i="4"/>
  <c r="BF29" i="4"/>
  <c r="BF26" i="4"/>
  <c r="BF43" i="4"/>
  <c r="BF51" i="4"/>
  <c r="BF60" i="4"/>
  <c r="BF61" i="4"/>
  <c r="BF58" i="4"/>
  <c r="BF55" i="4"/>
  <c r="BF32" i="4"/>
  <c r="BF39" i="4"/>
  <c r="BF59" i="4"/>
  <c r="BF35" i="4"/>
  <c r="BF49" i="4"/>
  <c r="BF12" i="4"/>
  <c r="BF13" i="4"/>
  <c r="BF14" i="4"/>
  <c r="BF16" i="4"/>
  <c r="BF17" i="4"/>
  <c r="BF30" i="4"/>
  <c r="BF33" i="4"/>
  <c r="BF45" i="4"/>
  <c r="BF48" i="4"/>
  <c r="BF20" i="4"/>
  <c r="BF21" i="4"/>
  <c r="BF22" i="4"/>
  <c r="BF15" i="4"/>
  <c r="BF24" i="4"/>
  <c r="BF25" i="4"/>
  <c r="BF11" i="4"/>
  <c r="BT61" i="4" l="1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1" i="4"/>
  <c r="AI62" i="4"/>
  <c r="AI63" i="4"/>
  <c r="AI65" i="4"/>
  <c r="AI66" i="4"/>
  <c r="AI67" i="4"/>
  <c r="AI68" i="4"/>
  <c r="AI69" i="4"/>
  <c r="AI70" i="4"/>
  <c r="AI71" i="4"/>
  <c r="AJ71" i="4" s="1"/>
  <c r="AI72" i="4"/>
  <c r="AJ72" i="4" s="1"/>
  <c r="AI73" i="4"/>
  <c r="AJ73" i="4" s="1"/>
  <c r="AI74" i="4"/>
  <c r="AJ74" i="4" s="1"/>
  <c r="AI75" i="4"/>
  <c r="AJ75" i="4" s="1"/>
  <c r="AI76" i="4"/>
  <c r="AJ76" i="4" s="1"/>
  <c r="AI77" i="4"/>
  <c r="AJ77" i="4" s="1"/>
  <c r="AI78" i="4"/>
  <c r="AJ78" i="4" s="1"/>
  <c r="AI79" i="4"/>
  <c r="AJ79" i="4" s="1"/>
  <c r="AI80" i="4"/>
  <c r="AJ80" i="4" s="1"/>
  <c r="AI81" i="4"/>
  <c r="AJ81" i="4" s="1"/>
  <c r="AI82" i="4"/>
  <c r="AJ82" i="4" s="1"/>
  <c r="AI83" i="4"/>
  <c r="AJ83" i="4" s="1"/>
  <c r="AI84" i="4"/>
  <c r="AJ84" i="4" s="1"/>
  <c r="AI85" i="4"/>
  <c r="AJ85" i="4" s="1"/>
  <c r="AI86" i="4"/>
  <c r="AJ86" i="4" s="1"/>
  <c r="AI87" i="4"/>
  <c r="AJ87" i="4" s="1"/>
  <c r="AI88" i="4"/>
  <c r="AJ88" i="4" s="1"/>
  <c r="AI89" i="4"/>
  <c r="AJ89" i="4" s="1"/>
  <c r="AI90" i="4"/>
  <c r="AJ90" i="4" s="1"/>
  <c r="AI91" i="4"/>
  <c r="AJ91" i="4" s="1"/>
  <c r="AI92" i="4"/>
  <c r="AJ92" i="4" s="1"/>
  <c r="AI93" i="4"/>
  <c r="AJ93" i="4" s="1"/>
  <c r="AI94" i="4"/>
  <c r="AJ94" i="4" s="1"/>
  <c r="AI95" i="4"/>
  <c r="AJ95" i="4" s="1"/>
  <c r="AI96" i="4"/>
  <c r="AJ96" i="4" s="1"/>
  <c r="AI97" i="4"/>
  <c r="AJ97" i="4" s="1"/>
  <c r="AI98" i="4"/>
  <c r="AJ98" i="4" s="1"/>
  <c r="AI99" i="4"/>
  <c r="AJ99" i="4" s="1"/>
  <c r="AI100" i="4"/>
  <c r="AJ100" i="4" s="1"/>
  <c r="AI101" i="4"/>
  <c r="AJ101" i="4" s="1"/>
  <c r="AI102" i="4"/>
  <c r="AJ102" i="4" s="1"/>
  <c r="AI103" i="4"/>
  <c r="AJ103" i="4" s="1"/>
  <c r="AI104" i="4"/>
  <c r="AJ104" i="4" s="1"/>
  <c r="AI15" i="4"/>
  <c r="AJ69" i="4" l="1"/>
  <c r="AJ44" i="4"/>
  <c r="AJ20" i="4"/>
  <c r="AJ68" i="4"/>
  <c r="AJ43" i="4"/>
  <c r="AJ35" i="4"/>
  <c r="AJ27" i="4"/>
  <c r="AJ19" i="4"/>
  <c r="AJ67" i="4"/>
  <c r="AJ58" i="4"/>
  <c r="AJ50" i="4"/>
  <c r="AJ42" i="4"/>
  <c r="AJ34" i="4"/>
  <c r="AJ26" i="4"/>
  <c r="AJ18" i="4"/>
  <c r="AJ52" i="4"/>
  <c r="AJ41" i="4"/>
  <c r="AJ59" i="4"/>
  <c r="AJ49" i="4"/>
  <c r="AJ17" i="4"/>
  <c r="AJ65" i="4"/>
  <c r="AJ56" i="4"/>
  <c r="AJ48" i="4"/>
  <c r="AJ40" i="4"/>
  <c r="AJ32" i="4"/>
  <c r="AJ24" i="4"/>
  <c r="AJ16" i="4"/>
  <c r="AJ28" i="4"/>
  <c r="AJ66" i="4"/>
  <c r="AJ33" i="4"/>
  <c r="AJ15" i="4"/>
  <c r="AJ63" i="4"/>
  <c r="AJ55" i="4"/>
  <c r="AJ47" i="4"/>
  <c r="AJ39" i="4"/>
  <c r="AJ31" i="4"/>
  <c r="AJ23" i="4"/>
  <c r="AJ62" i="4"/>
  <c r="AJ54" i="4"/>
  <c r="AJ46" i="4"/>
  <c r="AJ38" i="4"/>
  <c r="AJ30" i="4"/>
  <c r="AJ22" i="4"/>
  <c r="AJ60" i="4"/>
  <c r="AJ36" i="4"/>
  <c r="AJ51" i="4"/>
  <c r="AJ57" i="4"/>
  <c r="AJ25" i="4"/>
  <c r="AJ70" i="4"/>
  <c r="AJ61" i="4"/>
  <c r="AJ53" i="4"/>
  <c r="AJ45" i="4"/>
  <c r="AJ37" i="4"/>
  <c r="AJ29" i="4"/>
  <c r="AJ21" i="4"/>
  <c r="CP11" i="4"/>
  <c r="DV12" i="4"/>
  <c r="CI14" i="4"/>
  <c r="CK14" i="4"/>
  <c r="AO62" i="4"/>
  <c r="AO60" i="4"/>
  <c r="AO61" i="4"/>
  <c r="CN14" i="4"/>
  <c r="CQ14" i="4"/>
  <c r="AV27" i="4" l="1"/>
  <c r="AV28" i="4"/>
  <c r="AV17" i="4"/>
  <c r="AV25" i="4"/>
  <c r="AV11" i="4"/>
  <c r="AV20" i="4"/>
  <c r="AV16" i="4"/>
  <c r="AV18" i="4"/>
  <c r="AV26" i="4"/>
  <c r="AV21" i="4"/>
  <c r="AV24" i="4"/>
  <c r="AV19" i="4"/>
  <c r="AV22" i="4"/>
  <c r="AV12" i="4"/>
  <c r="AV13" i="4"/>
  <c r="AV23" i="4"/>
  <c r="AV14" i="4"/>
  <c r="AV15" i="4"/>
  <c r="AV29" i="4"/>
  <c r="CV14" i="4"/>
  <c r="L60" i="4"/>
  <c r="L61" i="4"/>
  <c r="L62" i="4"/>
  <c r="AV53" i="4"/>
  <c r="AW53" i="4" s="1"/>
  <c r="AV44" i="4"/>
  <c r="AW44" i="4" s="1"/>
  <c r="AV35" i="4"/>
  <c r="AV50" i="4"/>
  <c r="AW50" i="4" s="1"/>
  <c r="AV30" i="4"/>
  <c r="AV33" i="4"/>
  <c r="AV40" i="4"/>
  <c r="AV31" i="4"/>
  <c r="AV38" i="4"/>
  <c r="AV52" i="4"/>
  <c r="AW52" i="4" s="1"/>
  <c r="AV59" i="4"/>
  <c r="AW59" i="4" s="1"/>
  <c r="AV42" i="4"/>
  <c r="AV57" i="4"/>
  <c r="AW57" i="4" s="1"/>
  <c r="AV32" i="4"/>
  <c r="AV45" i="4"/>
  <c r="AW45" i="4" s="1"/>
  <c r="AV51" i="4"/>
  <c r="AW51" i="4" s="1"/>
  <c r="AV55" i="4"/>
  <c r="AW55" i="4" s="1"/>
  <c r="AV54" i="4"/>
  <c r="AW54" i="4" s="1"/>
  <c r="AV47" i="4"/>
  <c r="AW47" i="4" s="1"/>
  <c r="AV36" i="4"/>
  <c r="AV34" i="4"/>
  <c r="AV49" i="4"/>
  <c r="AW49" i="4" s="1"/>
  <c r="AV56" i="4"/>
  <c r="AW56" i="4" s="1"/>
  <c r="AV37" i="4"/>
  <c r="AV46" i="4"/>
  <c r="AW46" i="4" s="1"/>
  <c r="AV61" i="4"/>
  <c r="AW61" i="4" s="1"/>
  <c r="AV43" i="4"/>
  <c r="AV58" i="4"/>
  <c r="AW58" i="4" s="1"/>
  <c r="AV60" i="4"/>
  <c r="AW60" i="4" s="1"/>
  <c r="AV41" i="4"/>
  <c r="AV48" i="4"/>
  <c r="AW48" i="4" s="1"/>
  <c r="AV39" i="4"/>
  <c r="D3" i="4"/>
  <c r="AX28" i="4" l="1"/>
  <c r="AX27" i="4"/>
  <c r="AX15" i="4"/>
  <c r="AX14" i="4"/>
  <c r="AX26" i="4"/>
  <c r="AX23" i="4"/>
  <c r="AX18" i="4"/>
  <c r="AX13" i="4"/>
  <c r="AX16" i="4"/>
  <c r="AX21" i="4"/>
  <c r="AX12" i="4"/>
  <c r="AX20" i="4"/>
  <c r="AX22" i="4"/>
  <c r="AX11" i="4"/>
  <c r="AX19" i="4"/>
  <c r="AX25" i="4"/>
  <c r="AX24" i="4"/>
  <c r="AX17" i="4"/>
  <c r="AX43" i="4"/>
  <c r="AX47" i="4"/>
  <c r="AX59" i="4"/>
  <c r="AX35" i="4"/>
  <c r="AX48" i="4"/>
  <c r="AX41" i="4"/>
  <c r="AX32" i="4"/>
  <c r="AX34" i="4"/>
  <c r="AX30" i="4"/>
  <c r="AX42" i="4"/>
  <c r="AX61" i="4"/>
  <c r="AX54" i="4"/>
  <c r="AX52" i="4"/>
  <c r="AX44" i="4"/>
  <c r="AX45" i="4"/>
  <c r="AX36" i="4"/>
  <c r="AX46" i="4"/>
  <c r="AX55" i="4"/>
  <c r="AX38" i="4"/>
  <c r="AX53" i="4"/>
  <c r="AX29" i="4"/>
  <c r="AX56" i="4"/>
  <c r="AX49" i="4"/>
  <c r="AX33" i="4"/>
  <c r="AX60" i="4"/>
  <c r="AX57" i="4"/>
  <c r="AX58" i="4"/>
  <c r="AX50" i="4"/>
  <c r="AX39" i="4"/>
  <c r="AX37" i="4"/>
  <c r="AX51" i="4"/>
  <c r="AX31" i="4"/>
  <c r="AX40" i="4"/>
  <c r="BQ12" i="4"/>
  <c r="BQ13" i="4"/>
  <c r="BQ14" i="4"/>
  <c r="BQ15" i="4"/>
  <c r="BQ16" i="4"/>
  <c r="BQ17" i="4"/>
  <c r="BQ18" i="4"/>
  <c r="BQ19" i="4"/>
  <c r="BQ20" i="4"/>
  <c r="BQ21" i="4"/>
  <c r="BQ22" i="4"/>
  <c r="BQ23" i="4"/>
  <c r="BQ24" i="4"/>
  <c r="BQ25" i="4"/>
  <c r="BQ26" i="4"/>
  <c r="BQ27" i="4"/>
  <c r="BQ28" i="4"/>
  <c r="BQ29" i="4"/>
  <c r="BQ30" i="4"/>
  <c r="BQ31" i="4"/>
  <c r="BQ32" i="4"/>
  <c r="BQ33" i="4"/>
  <c r="BQ34" i="4"/>
  <c r="BQ35" i="4"/>
  <c r="BQ36" i="4"/>
  <c r="BQ37" i="4"/>
  <c r="BQ38" i="4"/>
  <c r="BQ39" i="4"/>
  <c r="BQ40" i="4"/>
  <c r="BQ41" i="4"/>
  <c r="BQ42" i="4"/>
  <c r="BQ43" i="4"/>
  <c r="BQ44" i="4"/>
  <c r="BQ45" i="4"/>
  <c r="BQ46" i="4"/>
  <c r="BQ47" i="4"/>
  <c r="BQ48" i="4"/>
  <c r="BQ49" i="4"/>
  <c r="BQ50" i="4"/>
  <c r="BQ51" i="4"/>
  <c r="BQ52" i="4"/>
  <c r="BQ53" i="4"/>
  <c r="BQ54" i="4"/>
  <c r="BQ55" i="4"/>
  <c r="BQ56" i="4"/>
  <c r="BQ57" i="4"/>
  <c r="BQ58" i="4"/>
  <c r="BQ59" i="4"/>
  <c r="BQ60" i="4"/>
  <c r="BQ61" i="4"/>
  <c r="BQ62" i="4"/>
  <c r="BQ63" i="4"/>
  <c r="BQ64" i="4"/>
  <c r="BQ65" i="4"/>
  <c r="BQ66" i="4"/>
  <c r="BQ67" i="4"/>
  <c r="BQ68" i="4"/>
  <c r="BQ69" i="4"/>
  <c r="BQ70" i="4"/>
  <c r="BQ71" i="4"/>
  <c r="BQ72" i="4"/>
  <c r="BQ73" i="4"/>
  <c r="BQ74" i="4"/>
  <c r="BQ75" i="4"/>
  <c r="BQ76" i="4"/>
  <c r="BQ77" i="4"/>
  <c r="BQ78" i="4"/>
  <c r="BQ79" i="4"/>
  <c r="BQ80" i="4"/>
  <c r="BQ81" i="4"/>
  <c r="BQ82" i="4"/>
  <c r="BQ83" i="4"/>
  <c r="BQ84" i="4"/>
  <c r="BQ85" i="4"/>
  <c r="BQ86" i="4"/>
  <c r="BQ87" i="4"/>
  <c r="BQ88" i="4"/>
  <c r="BQ89" i="4"/>
  <c r="BQ90" i="4"/>
  <c r="BQ91" i="4"/>
  <c r="BQ92" i="4"/>
  <c r="BQ93" i="4"/>
  <c r="BQ94" i="4"/>
  <c r="BQ95" i="4"/>
  <c r="BQ96" i="4"/>
  <c r="BQ97" i="4"/>
  <c r="BQ98" i="4"/>
  <c r="BQ99" i="4"/>
  <c r="BQ100" i="4"/>
  <c r="BQ101" i="4"/>
  <c r="BQ102" i="4"/>
  <c r="BQ103" i="4"/>
  <c r="BQ104" i="4"/>
  <c r="BQ105" i="4"/>
  <c r="BQ106" i="4"/>
  <c r="BQ107" i="4"/>
  <c r="CK13" i="4"/>
  <c r="CK12" i="4"/>
  <c r="AP15" i="4" s="1"/>
  <c r="AR15" i="4" s="1"/>
  <c r="CI13" i="4"/>
  <c r="CN13" i="4"/>
  <c r="CQ13" i="4"/>
  <c r="AP19" i="4" l="1"/>
  <c r="AR19" i="4" s="1"/>
  <c r="AP27" i="4"/>
  <c r="AR27" i="4" s="1"/>
  <c r="AP35" i="4"/>
  <c r="AR35" i="4" s="1"/>
  <c r="AP43" i="4"/>
  <c r="AR43" i="4" s="1"/>
  <c r="AP44" i="4"/>
  <c r="AR44" i="4" s="1"/>
  <c r="AP41" i="4"/>
  <c r="AR41" i="4" s="1"/>
  <c r="AP16" i="4"/>
  <c r="AR16" i="4" s="1"/>
  <c r="AP30" i="4"/>
  <c r="AR30" i="4" s="1"/>
  <c r="AP36" i="4"/>
  <c r="AR36" i="4" s="1"/>
  <c r="AP33" i="4"/>
  <c r="AR33" i="4" s="1"/>
  <c r="AP47" i="4"/>
  <c r="AR47" i="4" s="1"/>
  <c r="AP22" i="4"/>
  <c r="AR22" i="4" s="1"/>
  <c r="AP28" i="4"/>
  <c r="AR28" i="4" s="1"/>
  <c r="AP25" i="4"/>
  <c r="AR25" i="4" s="1"/>
  <c r="AP39" i="4"/>
  <c r="AR39" i="4" s="1"/>
  <c r="AP45" i="4"/>
  <c r="AR45" i="4" s="1"/>
  <c r="AP20" i="4"/>
  <c r="AR20" i="4" s="1"/>
  <c r="AP17" i="4"/>
  <c r="AR17" i="4" s="1"/>
  <c r="AP31" i="4"/>
  <c r="AR31" i="4" s="1"/>
  <c r="AP37" i="4"/>
  <c r="AR37" i="4" s="1"/>
  <c r="AP42" i="4"/>
  <c r="AR42" i="4" s="1"/>
  <c r="AP48" i="4"/>
  <c r="AR48" i="4" s="1"/>
  <c r="AP23" i="4"/>
  <c r="AR23" i="4" s="1"/>
  <c r="AP29" i="4"/>
  <c r="AR29" i="4" s="1"/>
  <c r="AP34" i="4"/>
  <c r="AR34" i="4" s="1"/>
  <c r="AP40" i="4"/>
  <c r="AR40" i="4" s="1"/>
  <c r="AP21" i="4"/>
  <c r="AR21" i="4" s="1"/>
  <c r="AP26" i="4"/>
  <c r="AR26" i="4" s="1"/>
  <c r="AP32" i="4"/>
  <c r="AR32" i="4" s="1"/>
  <c r="AP46" i="4"/>
  <c r="AR46" i="4" s="1"/>
  <c r="AP18" i="4"/>
  <c r="AR18" i="4" s="1"/>
  <c r="AP24" i="4"/>
  <c r="AR24" i="4" s="1"/>
  <c r="AP38" i="4"/>
  <c r="AR38" i="4" s="1"/>
  <c r="AS26" i="4"/>
  <c r="AU26" i="4" s="1"/>
  <c r="AS34" i="4"/>
  <c r="AU34" i="4" s="1"/>
  <c r="AS19" i="4"/>
  <c r="AU19" i="4" s="1"/>
  <c r="AS27" i="4"/>
  <c r="AU27" i="4" s="1"/>
  <c r="AS35" i="4"/>
  <c r="AU35" i="4" s="1"/>
  <c r="AS20" i="4"/>
  <c r="AU20" i="4" s="1"/>
  <c r="AS28" i="4"/>
  <c r="AU28" i="4" s="1"/>
  <c r="AS36" i="4"/>
  <c r="AU36" i="4" s="1"/>
  <c r="AS21" i="4"/>
  <c r="AU21" i="4" s="1"/>
  <c r="AS29" i="4"/>
  <c r="AU29" i="4" s="1"/>
  <c r="AS37" i="4"/>
  <c r="AU37" i="4" s="1"/>
  <c r="AS22" i="4"/>
  <c r="AU22" i="4" s="1"/>
  <c r="AS30" i="4"/>
  <c r="AU30" i="4" s="1"/>
  <c r="AS38" i="4"/>
  <c r="AU38" i="4" s="1"/>
  <c r="AS23" i="4"/>
  <c r="AU23" i="4" s="1"/>
  <c r="AS31" i="4"/>
  <c r="AU31" i="4" s="1"/>
  <c r="AS39" i="4"/>
  <c r="AU39" i="4" s="1"/>
  <c r="AS24" i="4"/>
  <c r="AU24" i="4" s="1"/>
  <c r="AS32" i="4"/>
  <c r="AU32" i="4" s="1"/>
  <c r="AS25" i="4"/>
  <c r="AU25" i="4" s="1"/>
  <c r="AS33" i="4"/>
  <c r="AU33" i="4" s="1"/>
  <c r="AS11" i="4"/>
  <c r="AS47" i="4"/>
  <c r="AU47" i="4" s="1"/>
  <c r="AS55" i="4"/>
  <c r="AU55" i="4" s="1"/>
  <c r="AS40" i="4"/>
  <c r="AU40" i="4" s="1"/>
  <c r="AS48" i="4"/>
  <c r="AU48" i="4" s="1"/>
  <c r="AS56" i="4"/>
  <c r="AU56" i="4" s="1"/>
  <c r="AS41" i="4"/>
  <c r="AU41" i="4" s="1"/>
  <c r="AS49" i="4"/>
  <c r="AU49" i="4" s="1"/>
  <c r="AS57" i="4"/>
  <c r="AU57" i="4" s="1"/>
  <c r="AS42" i="4"/>
  <c r="AU42" i="4" s="1"/>
  <c r="AS50" i="4"/>
  <c r="AU50" i="4" s="1"/>
  <c r="AS58" i="4"/>
  <c r="AU58" i="4" s="1"/>
  <c r="AS43" i="4"/>
  <c r="AU43" i="4" s="1"/>
  <c r="AS51" i="4"/>
  <c r="AU51" i="4" s="1"/>
  <c r="AS59" i="4"/>
  <c r="AU59" i="4" s="1"/>
  <c r="AS44" i="4"/>
  <c r="AU44" i="4" s="1"/>
  <c r="AS52" i="4"/>
  <c r="AU52" i="4" s="1"/>
  <c r="AS60" i="4"/>
  <c r="AU60" i="4" s="1"/>
  <c r="AS45" i="4"/>
  <c r="AU45" i="4" s="1"/>
  <c r="AS53" i="4"/>
  <c r="AU53" i="4" s="1"/>
  <c r="AS61" i="4"/>
  <c r="AU61" i="4" s="1"/>
  <c r="AS46" i="4"/>
  <c r="AU46" i="4" s="1"/>
  <c r="AS54" i="4"/>
  <c r="AU54" i="4" s="1"/>
  <c r="AP51" i="4"/>
  <c r="AR51" i="4" s="1"/>
  <c r="AP52" i="4"/>
  <c r="AR52" i="4" s="1"/>
  <c r="AP60" i="4"/>
  <c r="AR60" i="4" s="1"/>
  <c r="AP53" i="4"/>
  <c r="AR53" i="4" s="1"/>
  <c r="AP61" i="4"/>
  <c r="AR61" i="4" s="1"/>
  <c r="AP54" i="4"/>
  <c r="AR54" i="4" s="1"/>
  <c r="AP55" i="4"/>
  <c r="AR55" i="4" s="1"/>
  <c r="AP56" i="4"/>
  <c r="AR56" i="4" s="1"/>
  <c r="AP49" i="4"/>
  <c r="AR49" i="4" s="1"/>
  <c r="AP57" i="4"/>
  <c r="AR57" i="4" s="1"/>
  <c r="AP50" i="4"/>
  <c r="AR50" i="4" s="1"/>
  <c r="AP58" i="4"/>
  <c r="AR58" i="4" s="1"/>
  <c r="AP59" i="4"/>
  <c r="AR59" i="4" s="1"/>
  <c r="CV13" i="4"/>
  <c r="AO64" i="4"/>
  <c r="AO65" i="4"/>
  <c r="AO66" i="4"/>
  <c r="AO67" i="4"/>
  <c r="AO68" i="4"/>
  <c r="AO69" i="4"/>
  <c r="AO70" i="4"/>
  <c r="L70" i="4" s="1"/>
  <c r="L72" i="4"/>
  <c r="AO73" i="4"/>
  <c r="L73" i="4" s="1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AO12" i="4"/>
  <c r="AO13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11" i="4"/>
  <c r="B62" i="4"/>
  <c r="BR62" i="4" s="1"/>
  <c r="BW62" i="4" s="1"/>
  <c r="AK60" i="4"/>
  <c r="AM60" i="4" s="1"/>
  <c r="AK61" i="4"/>
  <c r="AM61" i="4" s="1"/>
  <c r="BS62" i="4" l="1"/>
  <c r="BT62" i="4" s="1"/>
  <c r="AB62" i="4"/>
  <c r="AC62" i="4"/>
  <c r="BE62" i="4" s="1"/>
  <c r="AM12" i="4"/>
  <c r="L12" i="4"/>
  <c r="AM11" i="4"/>
  <c r="L11" i="4"/>
  <c r="AM13" i="4"/>
  <c r="L13" i="4"/>
  <c r="AG62" i="4"/>
  <c r="BK62" i="4" s="1"/>
  <c r="AF62" i="4"/>
  <c r="BH62" i="4" s="1"/>
  <c r="AU11" i="4"/>
  <c r="AQ43" i="4"/>
  <c r="AQ35" i="4"/>
  <c r="AQ27" i="4"/>
  <c r="AQ19" i="4"/>
  <c r="AQ37" i="4"/>
  <c r="AQ42" i="4"/>
  <c r="AQ34" i="4"/>
  <c r="AQ26" i="4"/>
  <c r="AQ18" i="4"/>
  <c r="AQ41" i="4"/>
  <c r="AQ33" i="4"/>
  <c r="AQ25" i="4"/>
  <c r="AQ17" i="4"/>
  <c r="AQ45" i="4"/>
  <c r="AQ21" i="4"/>
  <c r="AQ48" i="4"/>
  <c r="AQ40" i="4"/>
  <c r="AQ32" i="4"/>
  <c r="AQ24" i="4"/>
  <c r="AQ16" i="4"/>
  <c r="AQ39" i="4"/>
  <c r="AQ31" i="4"/>
  <c r="AQ23" i="4"/>
  <c r="AQ15" i="4"/>
  <c r="AQ47" i="4"/>
  <c r="AQ46" i="4"/>
  <c r="AQ38" i="4"/>
  <c r="AQ30" i="4"/>
  <c r="AQ22" i="4"/>
  <c r="AD62" i="4"/>
  <c r="AN62" i="4"/>
  <c r="AH62" i="4"/>
  <c r="AY62" i="4"/>
  <c r="AQ29" i="4"/>
  <c r="AQ44" i="4"/>
  <c r="AQ36" i="4"/>
  <c r="AQ28" i="4"/>
  <c r="AQ20" i="4"/>
  <c r="AQ13" i="4"/>
  <c r="AQ12" i="4"/>
  <c r="AQ11" i="4"/>
  <c r="AQ51" i="4"/>
  <c r="AQ59" i="4"/>
  <c r="AQ58" i="4"/>
  <c r="AQ56" i="4"/>
  <c r="AQ60" i="4"/>
  <c r="AQ50" i="4"/>
  <c r="AQ57" i="4"/>
  <c r="AQ61" i="4"/>
  <c r="AQ52" i="4"/>
  <c r="AQ49" i="4"/>
  <c r="AQ55" i="4"/>
  <c r="AQ54" i="4"/>
  <c r="AQ53" i="4"/>
  <c r="AT31" i="4"/>
  <c r="AT36" i="4"/>
  <c r="AT23" i="4"/>
  <c r="AT28" i="4"/>
  <c r="AT38" i="4"/>
  <c r="AT20" i="4"/>
  <c r="AT33" i="4"/>
  <c r="AT30" i="4"/>
  <c r="AT35" i="4"/>
  <c r="AT25" i="4"/>
  <c r="AT22" i="4"/>
  <c r="AT27" i="4"/>
  <c r="AT32" i="4"/>
  <c r="AT37" i="4"/>
  <c r="AT19" i="4"/>
  <c r="AT24" i="4"/>
  <c r="AT29" i="4"/>
  <c r="AT34" i="4"/>
  <c r="AT39" i="4"/>
  <c r="AT21" i="4"/>
  <c r="AT26" i="4"/>
  <c r="AT43" i="4"/>
  <c r="AT58" i="4"/>
  <c r="AT54" i="4"/>
  <c r="AT50" i="4"/>
  <c r="AT46" i="4"/>
  <c r="AT61" i="4"/>
  <c r="AT42" i="4"/>
  <c r="AT57" i="4"/>
  <c r="AT53" i="4"/>
  <c r="AT49" i="4"/>
  <c r="AT45" i="4"/>
  <c r="AT60" i="4"/>
  <c r="AT41" i="4"/>
  <c r="AT56" i="4"/>
  <c r="AT52" i="4"/>
  <c r="AT48" i="4"/>
  <c r="AT44" i="4"/>
  <c r="AT59" i="4"/>
  <c r="AT40" i="4"/>
  <c r="AT55" i="4"/>
  <c r="AT51" i="4"/>
  <c r="AT47" i="4"/>
  <c r="AA62" i="4"/>
  <c r="AS62" i="4" s="1"/>
  <c r="AU62" i="4" s="1"/>
  <c r="AE62" i="4"/>
  <c r="AL61" i="4"/>
  <c r="AL60" i="4"/>
  <c r="L34" i="4"/>
  <c r="L26" i="4"/>
  <c r="L18" i="4"/>
  <c r="L33" i="4"/>
  <c r="L25" i="4"/>
  <c r="L17" i="4"/>
  <c r="L35" i="4"/>
  <c r="L40" i="4"/>
  <c r="L24" i="4"/>
  <c r="L39" i="4"/>
  <c r="L15" i="4"/>
  <c r="L38" i="4"/>
  <c r="L30" i="4"/>
  <c r="L22" i="4"/>
  <c r="L27" i="4"/>
  <c r="L32" i="4"/>
  <c r="L16" i="4"/>
  <c r="L31" i="4"/>
  <c r="L23" i="4"/>
  <c r="L37" i="4"/>
  <c r="L29" i="4"/>
  <c r="L21" i="4"/>
  <c r="L67" i="4"/>
  <c r="L19" i="4"/>
  <c r="L36" i="4"/>
  <c r="L28" i="4"/>
  <c r="L20" i="4"/>
  <c r="L66" i="4"/>
  <c r="L69" i="4"/>
  <c r="L68" i="4"/>
  <c r="L65" i="4"/>
  <c r="L53" i="4"/>
  <c r="L59" i="4"/>
  <c r="L41" i="4"/>
  <c r="L48" i="4"/>
  <c r="L44" i="4"/>
  <c r="L58" i="4"/>
  <c r="L50" i="4"/>
  <c r="L64" i="4"/>
  <c r="L49" i="4"/>
  <c r="L56" i="4"/>
  <c r="L55" i="4"/>
  <c r="L47" i="4"/>
  <c r="L45" i="4"/>
  <c r="L52" i="4"/>
  <c r="L51" i="4"/>
  <c r="L43" i="4"/>
  <c r="L42" i="4"/>
  <c r="L57" i="4"/>
  <c r="L54" i="4"/>
  <c r="L46" i="4"/>
  <c r="CP12" i="4"/>
  <c r="B63" i="4"/>
  <c r="BR63" i="4" s="1"/>
  <c r="G2" i="4"/>
  <c r="F2" i="4"/>
  <c r="AK23" i="4"/>
  <c r="AM23" i="4" s="1"/>
  <c r="AK24" i="4"/>
  <c r="AM24" i="4" s="1"/>
  <c r="AK25" i="4"/>
  <c r="AM25" i="4" s="1"/>
  <c r="AK26" i="4"/>
  <c r="AM26" i="4" s="1"/>
  <c r="AK27" i="4"/>
  <c r="AM27" i="4" s="1"/>
  <c r="AK28" i="4"/>
  <c r="AM28" i="4" s="1"/>
  <c r="AK29" i="4"/>
  <c r="AM29" i="4" s="1"/>
  <c r="AK30" i="4"/>
  <c r="AM30" i="4" s="1"/>
  <c r="AK31" i="4"/>
  <c r="AM31" i="4" s="1"/>
  <c r="AK32" i="4"/>
  <c r="AM32" i="4" s="1"/>
  <c r="AK33" i="4"/>
  <c r="AM33" i="4" s="1"/>
  <c r="AK34" i="4"/>
  <c r="AM34" i="4" s="1"/>
  <c r="AK35" i="4"/>
  <c r="AM35" i="4" s="1"/>
  <c r="AK36" i="4"/>
  <c r="AM36" i="4" s="1"/>
  <c r="AK37" i="4"/>
  <c r="AM37" i="4" s="1"/>
  <c r="AK38" i="4"/>
  <c r="AM38" i="4" s="1"/>
  <c r="AK39" i="4"/>
  <c r="AM39" i="4" s="1"/>
  <c r="AK40" i="4"/>
  <c r="AM40" i="4" s="1"/>
  <c r="AK41" i="4"/>
  <c r="AM41" i="4" s="1"/>
  <c r="AK42" i="4"/>
  <c r="AM42" i="4" s="1"/>
  <c r="AK43" i="4"/>
  <c r="AM43" i="4" s="1"/>
  <c r="AK44" i="4"/>
  <c r="AM44" i="4" s="1"/>
  <c r="AK45" i="4"/>
  <c r="AM45" i="4" s="1"/>
  <c r="AK46" i="4"/>
  <c r="AM46" i="4" s="1"/>
  <c r="AK47" i="4"/>
  <c r="AM47" i="4" s="1"/>
  <c r="AK48" i="4"/>
  <c r="AM48" i="4" s="1"/>
  <c r="AK49" i="4"/>
  <c r="AM49" i="4" s="1"/>
  <c r="AK50" i="4"/>
  <c r="AM50" i="4" s="1"/>
  <c r="AK51" i="4"/>
  <c r="AM51" i="4" s="1"/>
  <c r="AK52" i="4"/>
  <c r="AM52" i="4" s="1"/>
  <c r="AK53" i="4"/>
  <c r="AM53" i="4" s="1"/>
  <c r="AK54" i="4"/>
  <c r="AM54" i="4" s="1"/>
  <c r="AK55" i="4"/>
  <c r="AM55" i="4" s="1"/>
  <c r="AK56" i="4"/>
  <c r="AM56" i="4" s="1"/>
  <c r="AK57" i="4"/>
  <c r="AM57" i="4" s="1"/>
  <c r="AK58" i="4"/>
  <c r="AM58" i="4" s="1"/>
  <c r="AK59" i="4"/>
  <c r="AM59" i="4" s="1"/>
  <c r="AK15" i="4"/>
  <c r="AM15" i="4" s="1"/>
  <c r="AK16" i="4"/>
  <c r="AM16" i="4" s="1"/>
  <c r="AK17" i="4"/>
  <c r="AM17" i="4" s="1"/>
  <c r="AK18" i="4"/>
  <c r="AM18" i="4" s="1"/>
  <c r="AK19" i="4"/>
  <c r="AM19" i="4" s="1"/>
  <c r="AK20" i="4"/>
  <c r="AM20" i="4" s="1"/>
  <c r="AK21" i="4"/>
  <c r="AM21" i="4" s="1"/>
  <c r="AK22" i="4"/>
  <c r="AM22" i="4" s="1"/>
  <c r="AK14" i="4"/>
  <c r="AM14" i="4" s="1"/>
  <c r="BS63" i="4" l="1"/>
  <c r="BT63" i="4" s="1"/>
  <c r="BW63" i="4"/>
  <c r="AB63" i="4"/>
  <c r="AC63" i="4"/>
  <c r="BE63" i="4" s="1"/>
  <c r="BG62" i="4"/>
  <c r="BF62" i="4"/>
  <c r="AG63" i="4"/>
  <c r="BK63" i="4" s="1"/>
  <c r="AK62" i="4"/>
  <c r="AM62" i="4" s="1"/>
  <c r="BI62" i="4"/>
  <c r="AF63" i="4"/>
  <c r="BH63" i="4" s="1"/>
  <c r="BJ63" i="4" s="1"/>
  <c r="BJ62" i="4"/>
  <c r="AP62" i="4"/>
  <c r="AQ62" i="4" s="1"/>
  <c r="BA62" i="4"/>
  <c r="AZ62" i="4"/>
  <c r="AH63" i="4"/>
  <c r="AD63" i="4"/>
  <c r="AN63" i="4"/>
  <c r="AY63" i="4"/>
  <c r="BA63" i="4" s="1"/>
  <c r="AT62" i="4"/>
  <c r="BB62" i="4"/>
  <c r="AE63" i="4"/>
  <c r="AA63" i="4"/>
  <c r="AS63" i="4" s="1"/>
  <c r="CY11" i="4"/>
  <c r="CY12" i="4"/>
  <c r="AL53" i="4"/>
  <c r="AL15" i="4"/>
  <c r="AL52" i="4"/>
  <c r="AL44" i="4"/>
  <c r="AL36" i="4"/>
  <c r="AL28" i="4"/>
  <c r="AL16" i="4"/>
  <c r="AL22" i="4"/>
  <c r="AL59" i="4"/>
  <c r="AL51" i="4"/>
  <c r="AL43" i="4"/>
  <c r="AL35" i="4"/>
  <c r="AL27" i="4"/>
  <c r="AL14" i="4"/>
  <c r="AL50" i="4"/>
  <c r="AL34" i="4"/>
  <c r="AL26" i="4"/>
  <c r="AL42" i="4"/>
  <c r="AL20" i="4"/>
  <c r="AL57" i="4"/>
  <c r="AL49" i="4"/>
  <c r="AL41" i="4"/>
  <c r="AL33" i="4"/>
  <c r="AL25" i="4"/>
  <c r="AL37" i="4"/>
  <c r="AL21" i="4"/>
  <c r="AL56" i="4"/>
  <c r="AL48" i="4"/>
  <c r="AL40" i="4"/>
  <c r="AL32" i="4"/>
  <c r="AL24" i="4"/>
  <c r="AL45" i="4"/>
  <c r="AL19" i="4"/>
  <c r="AL55" i="4"/>
  <c r="AL47" i="4"/>
  <c r="AL31" i="4"/>
  <c r="AL23" i="4"/>
  <c r="AL29" i="4"/>
  <c r="AL58" i="4"/>
  <c r="AL18" i="4"/>
  <c r="AL39" i="4"/>
  <c r="AL17" i="4"/>
  <c r="AL54" i="4"/>
  <c r="AL46" i="4"/>
  <c r="AL38" i="4"/>
  <c r="AL30" i="4"/>
  <c r="AL12" i="4"/>
  <c r="AK12" i="4"/>
  <c r="AL11" i="4"/>
  <c r="AK11" i="4"/>
  <c r="AK13" i="4"/>
  <c r="AL13" i="4"/>
  <c r="AV62" i="4"/>
  <c r="AW62" i="4" s="1"/>
  <c r="B64" i="4"/>
  <c r="BR64" i="4" s="1"/>
  <c r="BS64" i="4" l="1"/>
  <c r="BT64" i="4" s="1"/>
  <c r="BW64" i="4"/>
  <c r="AL62" i="4"/>
  <c r="AB64" i="4"/>
  <c r="AC64" i="4"/>
  <c r="BE64" i="4" s="1"/>
  <c r="BG63" i="4"/>
  <c r="BF63" i="4"/>
  <c r="BL62" i="4"/>
  <c r="BM62" i="4"/>
  <c r="AG64" i="4"/>
  <c r="BK64" i="4" s="1"/>
  <c r="BL63" i="4"/>
  <c r="AR62" i="4"/>
  <c r="AK63" i="4"/>
  <c r="AM63" i="4" s="1"/>
  <c r="AF64" i="4"/>
  <c r="BH64" i="4" s="1"/>
  <c r="BI64" i="4" s="1"/>
  <c r="BI63" i="4"/>
  <c r="AP63" i="4"/>
  <c r="AR63" i="4" s="1"/>
  <c r="BC62" i="4"/>
  <c r="AZ63" i="4"/>
  <c r="AH64" i="4"/>
  <c r="AD64" i="4"/>
  <c r="AN64" i="4"/>
  <c r="AY64" i="4"/>
  <c r="BA64" i="4" s="1"/>
  <c r="AU63" i="4"/>
  <c r="AT63" i="4"/>
  <c r="CZ16" i="4"/>
  <c r="DB16" i="4"/>
  <c r="BD62" i="4"/>
  <c r="BB63" i="4"/>
  <c r="BC63" i="4" s="1"/>
  <c r="AE64" i="4"/>
  <c r="AA64" i="4"/>
  <c r="AS64" i="4" s="1"/>
  <c r="CZ13" i="4"/>
  <c r="DB13" i="4"/>
  <c r="AX62" i="4"/>
  <c r="AV63" i="4"/>
  <c r="AW63" i="4" s="1"/>
  <c r="B65" i="4"/>
  <c r="BR65" i="4" s="1"/>
  <c r="BS65" i="4" l="1"/>
  <c r="BT65" i="4" s="1"/>
  <c r="BW65" i="4"/>
  <c r="AC65" i="4"/>
  <c r="BE65" i="4" s="1"/>
  <c r="AB65" i="4"/>
  <c r="BG64" i="4"/>
  <c r="BF64" i="4"/>
  <c r="AL63" i="4"/>
  <c r="BM63" i="4"/>
  <c r="BL64" i="4"/>
  <c r="AG65" i="4"/>
  <c r="BK65" i="4" s="1"/>
  <c r="AK64" i="4"/>
  <c r="AM64" i="4" s="1"/>
  <c r="AF65" i="4"/>
  <c r="BJ64" i="4"/>
  <c r="AQ63" i="4"/>
  <c r="AP64" i="4"/>
  <c r="AQ64" i="4" s="1"/>
  <c r="AZ64" i="4"/>
  <c r="AN65" i="4"/>
  <c r="AH65" i="4"/>
  <c r="AD65" i="4"/>
  <c r="AY65" i="4"/>
  <c r="AZ65" i="4" s="1"/>
  <c r="AU64" i="4"/>
  <c r="AT64" i="4"/>
  <c r="BD63" i="4"/>
  <c r="BB64" i="4"/>
  <c r="AE65" i="4"/>
  <c r="AA65" i="4"/>
  <c r="AS65" i="4" s="1"/>
  <c r="AX63" i="4"/>
  <c r="AV64" i="4"/>
  <c r="AW64" i="4" s="1"/>
  <c r="B66" i="4"/>
  <c r="BR66" i="4" s="1"/>
  <c r="BS66" i="4" l="1"/>
  <c r="BT66" i="4" s="1"/>
  <c r="BW66" i="4"/>
  <c r="AC66" i="4"/>
  <c r="BE66" i="4" s="1"/>
  <c r="AB66" i="4"/>
  <c r="BG65" i="4"/>
  <c r="BF65" i="4"/>
  <c r="BM65" i="4"/>
  <c r="BM64" i="4"/>
  <c r="AK65" i="4"/>
  <c r="AM65" i="4" s="1"/>
  <c r="AL64" i="4"/>
  <c r="AR64" i="4"/>
  <c r="AF66" i="4"/>
  <c r="BH66" i="4" s="1"/>
  <c r="BI66" i="4" s="1"/>
  <c r="AG66" i="4"/>
  <c r="BK66" i="4" s="1"/>
  <c r="BH65" i="4"/>
  <c r="AP65" i="4"/>
  <c r="AQ65" i="4" s="1"/>
  <c r="BC64" i="4"/>
  <c r="BA65" i="4"/>
  <c r="AN66" i="4"/>
  <c r="AH66" i="4"/>
  <c r="AD66" i="4"/>
  <c r="AY66" i="4"/>
  <c r="BA66" i="4" s="1"/>
  <c r="AU65" i="4"/>
  <c r="AT65" i="4"/>
  <c r="BD64" i="4"/>
  <c r="BB65" i="4"/>
  <c r="BC65" i="4" s="1"/>
  <c r="AE66" i="4"/>
  <c r="AA66" i="4"/>
  <c r="AS66" i="4" s="1"/>
  <c r="AX64" i="4"/>
  <c r="AV65" i="4"/>
  <c r="AW65" i="4" s="1"/>
  <c r="B67" i="4"/>
  <c r="BR67" i="4" s="1"/>
  <c r="BS67" i="4" l="1"/>
  <c r="BT67" i="4" s="1"/>
  <c r="BW67" i="4"/>
  <c r="AC67" i="4"/>
  <c r="BE67" i="4" s="1"/>
  <c r="AB67" i="4"/>
  <c r="BG66" i="4"/>
  <c r="BF66" i="4"/>
  <c r="AL65" i="4"/>
  <c r="AG67" i="4"/>
  <c r="BK67" i="4" s="1"/>
  <c r="BL65" i="4"/>
  <c r="BL66" i="4"/>
  <c r="AK66" i="4"/>
  <c r="AM66" i="4" s="1"/>
  <c r="AR65" i="4"/>
  <c r="BJ65" i="4"/>
  <c r="BJ66" i="4"/>
  <c r="BI65" i="4"/>
  <c r="AF67" i="4"/>
  <c r="AP66" i="4"/>
  <c r="AQ66" i="4" s="1"/>
  <c r="AZ66" i="4"/>
  <c r="AN67" i="4"/>
  <c r="AH67" i="4"/>
  <c r="AD67" i="4"/>
  <c r="AY67" i="4"/>
  <c r="BA67" i="4" s="1"/>
  <c r="AU66" i="4"/>
  <c r="AT66" i="4"/>
  <c r="BD65" i="4"/>
  <c r="BB66" i="4"/>
  <c r="BC66" i="4" s="1"/>
  <c r="AE67" i="4"/>
  <c r="AA67" i="4"/>
  <c r="AS67" i="4" s="1"/>
  <c r="AX65" i="4"/>
  <c r="AV66" i="4"/>
  <c r="AW66" i="4" s="1"/>
  <c r="B68" i="4"/>
  <c r="BR68" i="4" s="1"/>
  <c r="BS68" i="4" l="1"/>
  <c r="BT68" i="4" s="1"/>
  <c r="BW68" i="4"/>
  <c r="AC68" i="4"/>
  <c r="BE68" i="4" s="1"/>
  <c r="AB68" i="4"/>
  <c r="BG67" i="4"/>
  <c r="BF67" i="4"/>
  <c r="AL66" i="4"/>
  <c r="BM66" i="4"/>
  <c r="BL67" i="4"/>
  <c r="AK67" i="4"/>
  <c r="AM67" i="4" s="1"/>
  <c r="AR66" i="4"/>
  <c r="AF68" i="4"/>
  <c r="BH68" i="4" s="1"/>
  <c r="BI68" i="4" s="1"/>
  <c r="AG68" i="4"/>
  <c r="BK68" i="4" s="1"/>
  <c r="BH67" i="4"/>
  <c r="BJ67" i="4" s="1"/>
  <c r="AP67" i="4"/>
  <c r="AQ67" i="4" s="1"/>
  <c r="AZ67" i="4"/>
  <c r="AN68" i="4"/>
  <c r="AH68" i="4"/>
  <c r="AD68" i="4"/>
  <c r="AY68" i="4"/>
  <c r="BA68" i="4" s="1"/>
  <c r="AU67" i="4"/>
  <c r="AT67" i="4"/>
  <c r="BD66" i="4"/>
  <c r="BB67" i="4"/>
  <c r="BC67" i="4" s="1"/>
  <c r="AA68" i="4"/>
  <c r="AS68" i="4" s="1"/>
  <c r="AE68" i="4"/>
  <c r="AX66" i="4"/>
  <c r="AV67" i="4"/>
  <c r="AW67" i="4" s="1"/>
  <c r="B69" i="4"/>
  <c r="BR69" i="4" s="1"/>
  <c r="BS69" i="4" l="1"/>
  <c r="BT69" i="4" s="1"/>
  <c r="BW69" i="4"/>
  <c r="AB69" i="4"/>
  <c r="AC69" i="4"/>
  <c r="BE69" i="4" s="1"/>
  <c r="BF68" i="4"/>
  <c r="BG68" i="4"/>
  <c r="AL67" i="4"/>
  <c r="BL68" i="4"/>
  <c r="BM67" i="4"/>
  <c r="AG69" i="4"/>
  <c r="BK69" i="4" s="1"/>
  <c r="AR67" i="4"/>
  <c r="AK68" i="4"/>
  <c r="AM68" i="4" s="1"/>
  <c r="BJ68" i="4"/>
  <c r="AF69" i="4"/>
  <c r="BI67" i="4"/>
  <c r="AP68" i="4"/>
  <c r="AQ68" i="4" s="1"/>
  <c r="AZ68" i="4"/>
  <c r="AD69" i="4"/>
  <c r="AN69" i="4"/>
  <c r="AH69" i="4"/>
  <c r="AY69" i="4"/>
  <c r="BA69" i="4" s="1"/>
  <c r="AU68" i="4"/>
  <c r="AT68" i="4"/>
  <c r="BD67" i="4"/>
  <c r="BB68" i="4"/>
  <c r="AA69" i="4"/>
  <c r="AS69" i="4" s="1"/>
  <c r="AE69" i="4"/>
  <c r="AX67" i="4"/>
  <c r="AV68" i="4"/>
  <c r="AW68" i="4" s="1"/>
  <c r="B70" i="4"/>
  <c r="BR70" i="4" s="1"/>
  <c r="BS70" i="4" l="1"/>
  <c r="BT70" i="4" s="1"/>
  <c r="BW70" i="4"/>
  <c r="AB70" i="4"/>
  <c r="AC70" i="4"/>
  <c r="BE70" i="4" s="1"/>
  <c r="BG69" i="4"/>
  <c r="BF69" i="4"/>
  <c r="AL68" i="4"/>
  <c r="BL69" i="4"/>
  <c r="BM68" i="4"/>
  <c r="AK69" i="4"/>
  <c r="AM69" i="4" s="1"/>
  <c r="AR68" i="4"/>
  <c r="AG70" i="4"/>
  <c r="BK70" i="4" s="1"/>
  <c r="AF70" i="4"/>
  <c r="BH70" i="4" s="1"/>
  <c r="BJ70" i="4" s="1"/>
  <c r="BH69" i="4"/>
  <c r="BJ69" i="4" s="1"/>
  <c r="AP69" i="4"/>
  <c r="AQ69" i="4" s="1"/>
  <c r="AZ69" i="4"/>
  <c r="AD70" i="4"/>
  <c r="AN70" i="4"/>
  <c r="AH70" i="4"/>
  <c r="AY70" i="4"/>
  <c r="BA70" i="4" s="1"/>
  <c r="AU69" i="4"/>
  <c r="AT69" i="4"/>
  <c r="BD68" i="4"/>
  <c r="BC68" i="4"/>
  <c r="BB69" i="4"/>
  <c r="AE70" i="4"/>
  <c r="AA70" i="4"/>
  <c r="AS70" i="4" s="1"/>
  <c r="AU70" i="4" s="1"/>
  <c r="AX68" i="4"/>
  <c r="AV69" i="4"/>
  <c r="AW69" i="4" s="1"/>
  <c r="B71" i="4"/>
  <c r="BR71" i="4" s="1"/>
  <c r="BS71" i="4" l="1"/>
  <c r="BT71" i="4" s="1"/>
  <c r="BW71" i="4"/>
  <c r="BF70" i="4"/>
  <c r="BG70" i="4"/>
  <c r="AB71" i="4"/>
  <c r="AC71" i="4"/>
  <c r="BE71" i="4" s="1"/>
  <c r="AL69" i="4"/>
  <c r="BL70" i="4"/>
  <c r="BM69" i="4"/>
  <c r="AK70" i="4"/>
  <c r="AL70" i="4" s="1"/>
  <c r="AR69" i="4"/>
  <c r="AG71" i="4"/>
  <c r="BK71" i="4" s="1"/>
  <c r="BI70" i="4"/>
  <c r="BI69" i="4"/>
  <c r="AF71" i="4"/>
  <c r="BH71" i="4" s="1"/>
  <c r="BJ71" i="4" s="1"/>
  <c r="AP70" i="4"/>
  <c r="AQ70" i="4" s="1"/>
  <c r="CZ15" i="4"/>
  <c r="AZ70" i="4"/>
  <c r="AT70" i="4"/>
  <c r="AD71" i="4"/>
  <c r="AH71" i="4"/>
  <c r="AN71" i="4"/>
  <c r="AY71" i="4"/>
  <c r="BA71" i="4" s="1"/>
  <c r="AX69" i="4"/>
  <c r="BD69" i="4"/>
  <c r="BC69" i="4"/>
  <c r="BB70" i="4"/>
  <c r="AE71" i="4"/>
  <c r="AA71" i="4"/>
  <c r="AS71" i="4" s="1"/>
  <c r="AU71" i="4" s="1"/>
  <c r="AV70" i="4"/>
  <c r="AW70" i="4" s="1"/>
  <c r="B72" i="4"/>
  <c r="DB14" i="4" l="1"/>
  <c r="BR72" i="4"/>
  <c r="AB72" i="4"/>
  <c r="AC72" i="4"/>
  <c r="BE72" i="4" s="1"/>
  <c r="BG71" i="4"/>
  <c r="BF71" i="4"/>
  <c r="AM70" i="4"/>
  <c r="BL71" i="4"/>
  <c r="BM70" i="4"/>
  <c r="AG72" i="4"/>
  <c r="BK72" i="4" s="1"/>
  <c r="AK71" i="4"/>
  <c r="AL71" i="4" s="1"/>
  <c r="AR70" i="4"/>
  <c r="BI71" i="4"/>
  <c r="AF72" i="4"/>
  <c r="BH72" i="4" s="1"/>
  <c r="BJ72" i="4" s="1"/>
  <c r="AT71" i="4"/>
  <c r="DB15" i="4"/>
  <c r="AP71" i="4"/>
  <c r="AQ71" i="4" s="1"/>
  <c r="AZ71" i="4"/>
  <c r="AH72" i="4"/>
  <c r="AN72" i="4"/>
  <c r="AD72" i="4"/>
  <c r="AY72" i="4"/>
  <c r="BA72" i="4" s="1"/>
  <c r="BD70" i="4"/>
  <c r="BC70" i="4"/>
  <c r="AX70" i="4"/>
  <c r="BB71" i="4"/>
  <c r="AA72" i="4"/>
  <c r="AS72" i="4" s="1"/>
  <c r="AU72" i="4" s="1"/>
  <c r="AE72" i="4"/>
  <c r="AV71" i="4"/>
  <c r="AW71" i="4" s="1"/>
  <c r="B73" i="4"/>
  <c r="BS72" i="4" l="1"/>
  <c r="BT72" i="4" s="1"/>
  <c r="BW72" i="4"/>
  <c r="DB17" i="4"/>
  <c r="BR73" i="4"/>
  <c r="BG72" i="4"/>
  <c r="BF72" i="4"/>
  <c r="AC73" i="4"/>
  <c r="BE73" i="4" s="1"/>
  <c r="BF73" i="4" s="1"/>
  <c r="AB73" i="4"/>
  <c r="BL72" i="4"/>
  <c r="BM72" i="4"/>
  <c r="BM71" i="4"/>
  <c r="AG73" i="4"/>
  <c r="BK73" i="4" s="1"/>
  <c r="BL73" i="4" s="1"/>
  <c r="AT72" i="4"/>
  <c r="BI72" i="4"/>
  <c r="AM71" i="4"/>
  <c r="AK72" i="4"/>
  <c r="AL72" i="4" s="1"/>
  <c r="AR71" i="4"/>
  <c r="CZ14" i="4"/>
  <c r="AZ72" i="4"/>
  <c r="AF73" i="4"/>
  <c r="BH73" i="4" s="1"/>
  <c r="BJ73" i="4" s="1"/>
  <c r="BD71" i="4"/>
  <c r="BC71" i="4"/>
  <c r="AP72" i="4"/>
  <c r="AQ72" i="4" s="1"/>
  <c r="AX71" i="4"/>
  <c r="AN73" i="4"/>
  <c r="AH73" i="4"/>
  <c r="AD73" i="4"/>
  <c r="AY73" i="4"/>
  <c r="BA73" i="4" s="1"/>
  <c r="BB72" i="4"/>
  <c r="AE73" i="4"/>
  <c r="AA73" i="4"/>
  <c r="AS73" i="4" s="1"/>
  <c r="AU73" i="4" s="1"/>
  <c r="AV72" i="4"/>
  <c r="AW72" i="4" s="1"/>
  <c r="B74" i="4"/>
  <c r="BS73" i="4" l="1"/>
  <c r="BT73" i="4" s="1"/>
  <c r="BW73" i="4"/>
  <c r="CZ18" i="4"/>
  <c r="BR74" i="4"/>
  <c r="AC74" i="4"/>
  <c r="BE74" i="4" s="1"/>
  <c r="AB74" i="4"/>
  <c r="BG73" i="4"/>
  <c r="CZ17" i="4"/>
  <c r="AZ73" i="4"/>
  <c r="AM72" i="4"/>
  <c r="BI73" i="4"/>
  <c r="AT73" i="4"/>
  <c r="AG74" i="4"/>
  <c r="BK74" i="4" s="1"/>
  <c r="BL74" i="4"/>
  <c r="BM73" i="4"/>
  <c r="BD72" i="4"/>
  <c r="BC72" i="4"/>
  <c r="AK73" i="4"/>
  <c r="AL73" i="4" s="1"/>
  <c r="AR72" i="4"/>
  <c r="AX72" i="4"/>
  <c r="AF74" i="4"/>
  <c r="BH74" i="4" s="1"/>
  <c r="BJ74" i="4" s="1"/>
  <c r="AP73" i="4"/>
  <c r="AR73" i="4" s="1"/>
  <c r="AN74" i="4"/>
  <c r="AH74" i="4"/>
  <c r="AD74" i="4"/>
  <c r="AY74" i="4"/>
  <c r="BA74" i="4" s="1"/>
  <c r="BB73" i="4"/>
  <c r="AA74" i="4"/>
  <c r="AS74" i="4" s="1"/>
  <c r="AU74" i="4" s="1"/>
  <c r="AE74" i="4"/>
  <c r="AV73" i="4"/>
  <c r="AW73" i="4" s="1"/>
  <c r="B75" i="4"/>
  <c r="DB18" i="4" s="1"/>
  <c r="BS74" i="4" l="1"/>
  <c r="BT74" i="4" s="1"/>
  <c r="BW74" i="4"/>
  <c r="FC2" i="4" a="1"/>
  <c r="FC6" i="4" s="1"/>
  <c r="BR75" i="4"/>
  <c r="BW75" i="4" s="1"/>
  <c r="AW75" i="4"/>
  <c r="FF2" i="4" a="1"/>
  <c r="FL2" i="4" a="1"/>
  <c r="FM2" i="4" s="1"/>
  <c r="BI74" i="4"/>
  <c r="AT74" i="4"/>
  <c r="BG74" i="4"/>
  <c r="BF74" i="4"/>
  <c r="CJ15" i="4" s="1"/>
  <c r="AB75" i="4"/>
  <c r="AC75" i="4"/>
  <c r="BE75" i="4" s="1"/>
  <c r="BG75" i="4" s="1"/>
  <c r="AZ74" i="4"/>
  <c r="AX73" i="4"/>
  <c r="BD73" i="4"/>
  <c r="BC73" i="4"/>
  <c r="AG75" i="4"/>
  <c r="BK75" i="4" s="1"/>
  <c r="BL75" i="4"/>
  <c r="BM74" i="4"/>
  <c r="AM73" i="4"/>
  <c r="AK74" i="4"/>
  <c r="AQ73" i="4"/>
  <c r="BI75" i="4"/>
  <c r="AF75" i="4"/>
  <c r="BH75" i="4" s="1"/>
  <c r="BJ75" i="4" s="1"/>
  <c r="AP74" i="4"/>
  <c r="AN75" i="4"/>
  <c r="AP75" i="4" s="1"/>
  <c r="AQ75" i="4" s="1"/>
  <c r="AH75" i="4"/>
  <c r="AD75" i="4"/>
  <c r="AZ75" i="4"/>
  <c r="AT75" i="4"/>
  <c r="AY75" i="4"/>
  <c r="BA75" i="4" s="1"/>
  <c r="BB74" i="4"/>
  <c r="AE75" i="4"/>
  <c r="AA75" i="4"/>
  <c r="AS75" i="4" s="1"/>
  <c r="AU75" i="4" s="1"/>
  <c r="AV74" i="4"/>
  <c r="AW74" i="4" s="1"/>
  <c r="B76" i="4"/>
  <c r="DF15" i="4" l="1"/>
  <c r="FD6" i="4"/>
  <c r="FC4" i="4"/>
  <c r="FD2" i="4"/>
  <c r="FC2" i="4"/>
  <c r="FD3" i="4"/>
  <c r="AW76" i="4"/>
  <c r="BR76" i="4"/>
  <c r="FD4" i="4"/>
  <c r="FD5" i="4"/>
  <c r="FC3" i="4"/>
  <c r="FC5" i="4"/>
  <c r="BR2" i="4" a="1"/>
  <c r="BS75" i="4"/>
  <c r="BT75" i="4" s="1"/>
  <c r="CJ19" i="4" s="1"/>
  <c r="FL6" i="4"/>
  <c r="FM3" i="4"/>
  <c r="FL2" i="4"/>
  <c r="FL3" i="4"/>
  <c r="FM6" i="4"/>
  <c r="FM4" i="4"/>
  <c r="FG6" i="4"/>
  <c r="FF5" i="4"/>
  <c r="FG2" i="4"/>
  <c r="FF3" i="4"/>
  <c r="FG3" i="4"/>
  <c r="FF6" i="4"/>
  <c r="FF2" i="4"/>
  <c r="FJ2" i="4" s="1"/>
  <c r="FG4" i="4"/>
  <c r="FG5" i="4"/>
  <c r="FF4" i="4"/>
  <c r="FL5" i="4"/>
  <c r="FL4" i="4"/>
  <c r="FM5" i="4"/>
  <c r="BD74" i="4"/>
  <c r="BC74" i="4"/>
  <c r="CJ17" i="4" s="1"/>
  <c r="AB76" i="4"/>
  <c r="AC76" i="4"/>
  <c r="BE76" i="4" s="1"/>
  <c r="BG76" i="4" s="1"/>
  <c r="AX74" i="4"/>
  <c r="AR74" i="4"/>
  <c r="AQ74" i="4"/>
  <c r="AL74" i="4"/>
  <c r="AM74" i="4"/>
  <c r="AG76" i="4"/>
  <c r="BK76" i="4" s="1"/>
  <c r="BL76" i="4"/>
  <c r="BM75" i="4"/>
  <c r="AK75" i="4"/>
  <c r="AR75" i="4"/>
  <c r="AM76" i="4"/>
  <c r="AF76" i="4"/>
  <c r="BH76" i="4" s="1"/>
  <c r="BJ76" i="4" s="1"/>
  <c r="BI76" i="4"/>
  <c r="AT76" i="4"/>
  <c r="AN76" i="4"/>
  <c r="AP76" i="4" s="1"/>
  <c r="AH76" i="4"/>
  <c r="AD76" i="4"/>
  <c r="AZ76" i="4"/>
  <c r="AY76" i="4"/>
  <c r="BA76" i="4" s="1"/>
  <c r="AQ76" i="4"/>
  <c r="BB75" i="4"/>
  <c r="BD75" i="4" s="1"/>
  <c r="AA76" i="4"/>
  <c r="AS76" i="4" s="1"/>
  <c r="AU76" i="4" s="1"/>
  <c r="AE76" i="4"/>
  <c r="AV75" i="4"/>
  <c r="AX75" i="4" s="1"/>
  <c r="B77" i="4"/>
  <c r="DF17" i="4" l="1"/>
  <c r="BV8" i="4"/>
  <c r="BT7" i="4"/>
  <c r="BS76" i="4"/>
  <c r="BW76" i="4"/>
  <c r="AW77" i="4"/>
  <c r="BR77" i="4"/>
  <c r="DF19" i="4"/>
  <c r="BS2" i="4"/>
  <c r="BR3" i="4"/>
  <c r="BR5" i="4"/>
  <c r="BS6" i="4"/>
  <c r="BS4" i="4"/>
  <c r="BS3" i="4"/>
  <c r="BR6" i="4"/>
  <c r="BR4" i="4"/>
  <c r="BS5" i="4"/>
  <c r="BR2" i="4"/>
  <c r="FK2" i="4"/>
  <c r="FI2" i="4"/>
  <c r="AL75" i="4"/>
  <c r="AM75" i="4"/>
  <c r="AC77" i="4"/>
  <c r="BE77" i="4" s="1"/>
  <c r="BG77" i="4" s="1"/>
  <c r="AB77" i="4"/>
  <c r="AG77" i="4"/>
  <c r="BK77" i="4" s="1"/>
  <c r="BL77" i="4"/>
  <c r="BM76" i="4"/>
  <c r="AK76" i="4"/>
  <c r="AL76" i="4" s="1"/>
  <c r="AR76" i="4"/>
  <c r="AM77" i="4"/>
  <c r="AF77" i="4"/>
  <c r="BH77" i="4" s="1"/>
  <c r="BJ77" i="4" s="1"/>
  <c r="BI77" i="4"/>
  <c r="AT77" i="4"/>
  <c r="AN77" i="4"/>
  <c r="AP77" i="4" s="1"/>
  <c r="AH77" i="4"/>
  <c r="AD77" i="4"/>
  <c r="AZ77" i="4"/>
  <c r="AY77" i="4"/>
  <c r="BA77" i="4" s="1"/>
  <c r="AQ77" i="4"/>
  <c r="BB76" i="4"/>
  <c r="BD76" i="4" s="1"/>
  <c r="AE77" i="4"/>
  <c r="AA77" i="4"/>
  <c r="AS77" i="4" s="1"/>
  <c r="AU77" i="4" s="1"/>
  <c r="AV76" i="4"/>
  <c r="AX76" i="4" s="1"/>
  <c r="B78" i="4"/>
  <c r="BS77" i="4" l="1"/>
  <c r="BW77" i="4"/>
  <c r="BU4" i="4"/>
  <c r="BV59" i="4"/>
  <c r="BV67" i="4"/>
  <c r="BV75" i="4"/>
  <c r="BV65" i="4"/>
  <c r="BV60" i="4"/>
  <c r="BV68" i="4"/>
  <c r="BV76" i="4"/>
  <c r="BV61" i="4"/>
  <c r="BV69" i="4"/>
  <c r="BV77" i="4"/>
  <c r="BV62" i="4"/>
  <c r="BV70" i="4"/>
  <c r="BV55" i="4"/>
  <c r="BV63" i="4"/>
  <c r="BV71" i="4"/>
  <c r="BV56" i="4"/>
  <c r="BV64" i="4"/>
  <c r="BV72" i="4"/>
  <c r="BV58" i="4"/>
  <c r="BV66" i="4"/>
  <c r="BV74" i="4"/>
  <c r="BV57" i="4"/>
  <c r="BV73" i="4"/>
  <c r="BU3" i="4"/>
  <c r="BU2" i="4"/>
  <c r="BV2" i="4"/>
  <c r="BV3" i="4"/>
  <c r="BV4" i="4"/>
  <c r="AW78" i="4"/>
  <c r="BR78" i="4"/>
  <c r="BL78" i="4"/>
  <c r="AB78" i="4"/>
  <c r="AC78" i="4"/>
  <c r="BE78" i="4" s="1"/>
  <c r="BG78" i="4" s="1"/>
  <c r="BM77" i="4"/>
  <c r="AG78" i="4"/>
  <c r="BK78" i="4" s="1"/>
  <c r="AK77" i="4"/>
  <c r="AL77" i="4" s="1"/>
  <c r="AR77" i="4"/>
  <c r="AM78" i="4"/>
  <c r="BI78" i="4"/>
  <c r="AF78" i="4"/>
  <c r="BH78" i="4" s="1"/>
  <c r="BJ78" i="4" s="1"/>
  <c r="AD78" i="4"/>
  <c r="AZ78" i="4"/>
  <c r="AT78" i="4"/>
  <c r="AN78" i="4"/>
  <c r="AP78" i="4" s="1"/>
  <c r="AH78" i="4"/>
  <c r="AY78" i="4"/>
  <c r="BA78" i="4" s="1"/>
  <c r="AQ78" i="4"/>
  <c r="BB77" i="4"/>
  <c r="BD77" i="4" s="1"/>
  <c r="AA78" i="4"/>
  <c r="AS78" i="4" s="1"/>
  <c r="AU78" i="4" s="1"/>
  <c r="AE78" i="4"/>
  <c r="AV77" i="4"/>
  <c r="AX77" i="4" s="1"/>
  <c r="B79" i="4"/>
  <c r="BS78" i="4" l="1"/>
  <c r="BW78" i="4"/>
  <c r="BV78" i="4"/>
  <c r="AW79" i="4"/>
  <c r="BR79" i="4"/>
  <c r="AC79" i="4"/>
  <c r="BE79" i="4" s="1"/>
  <c r="BG79" i="4" s="1"/>
  <c r="AB79" i="4"/>
  <c r="BL79" i="4"/>
  <c r="BM78" i="4"/>
  <c r="AG79" i="4"/>
  <c r="BK79" i="4" s="1"/>
  <c r="AK78" i="4"/>
  <c r="AL78" i="4" s="1"/>
  <c r="AR78" i="4"/>
  <c r="AM79" i="4"/>
  <c r="BI79" i="4"/>
  <c r="AF79" i="4"/>
  <c r="BH79" i="4" s="1"/>
  <c r="BJ79" i="4" s="1"/>
  <c r="AH79" i="4"/>
  <c r="AD79" i="4"/>
  <c r="AZ79" i="4"/>
  <c r="AT79" i="4"/>
  <c r="AN79" i="4"/>
  <c r="AY79" i="4"/>
  <c r="BA79" i="4" s="1"/>
  <c r="AQ79" i="4"/>
  <c r="BB78" i="4"/>
  <c r="BD78" i="4" s="1"/>
  <c r="AE79" i="4"/>
  <c r="AA79" i="4"/>
  <c r="AS79" i="4" s="1"/>
  <c r="AU79" i="4" s="1"/>
  <c r="AV78" i="4"/>
  <c r="AX78" i="4" s="1"/>
  <c r="B80" i="4"/>
  <c r="BR80" i="4" s="1"/>
  <c r="BV79" i="4" l="1"/>
  <c r="BW79" i="4"/>
  <c r="BV80" i="4"/>
  <c r="BW80" i="4"/>
  <c r="BS79" i="4"/>
  <c r="BS80" i="4"/>
  <c r="B81" i="4"/>
  <c r="BR81" i="4" s="1"/>
  <c r="AW80" i="4"/>
  <c r="AB80" i="4"/>
  <c r="AC80" i="4"/>
  <c r="BE80" i="4" s="1"/>
  <c r="BG80" i="4" s="1"/>
  <c r="BL80" i="4"/>
  <c r="BM79" i="4"/>
  <c r="AG80" i="4"/>
  <c r="BK80" i="4" s="1"/>
  <c r="AK79" i="4"/>
  <c r="AL79" i="4" s="1"/>
  <c r="AM80" i="4"/>
  <c r="BI80" i="4"/>
  <c r="AF80" i="4"/>
  <c r="BH80" i="4" s="1"/>
  <c r="BJ80" i="4" s="1"/>
  <c r="AP79" i="4"/>
  <c r="AR79" i="4" s="1"/>
  <c r="AH80" i="4"/>
  <c r="AD80" i="4"/>
  <c r="AZ80" i="4"/>
  <c r="AN80" i="4"/>
  <c r="AT80" i="4"/>
  <c r="AY80" i="4"/>
  <c r="BA80" i="4" s="1"/>
  <c r="AQ80" i="4"/>
  <c r="BB79" i="4"/>
  <c r="BD79" i="4" s="1"/>
  <c r="AA80" i="4"/>
  <c r="AS80" i="4" s="1"/>
  <c r="AE80" i="4"/>
  <c r="AV79" i="4"/>
  <c r="AX79" i="4" s="1"/>
  <c r="BV81" i="4" l="1"/>
  <c r="BW81" i="4"/>
  <c r="BS81" i="4"/>
  <c r="B82" i="4"/>
  <c r="AW81" i="4"/>
  <c r="AU80" i="4"/>
  <c r="AC81" i="4"/>
  <c r="BE81" i="4" s="1"/>
  <c r="BG81" i="4" s="1"/>
  <c r="AB81" i="4"/>
  <c r="BL81" i="4"/>
  <c r="BM80" i="4"/>
  <c r="AG81" i="4"/>
  <c r="BK81" i="4" s="1"/>
  <c r="AK80" i="4"/>
  <c r="AL80" i="4" s="1"/>
  <c r="AM81" i="4"/>
  <c r="BI81" i="4"/>
  <c r="AF81" i="4"/>
  <c r="BH81" i="4" s="1"/>
  <c r="BJ81" i="4" s="1"/>
  <c r="AP80" i="4"/>
  <c r="AR80" i="4" s="1"/>
  <c r="AN81" i="4"/>
  <c r="AP81" i="4" s="1"/>
  <c r="AZ81" i="4"/>
  <c r="AH81" i="4"/>
  <c r="AD81" i="4"/>
  <c r="AT81" i="4"/>
  <c r="AY81" i="4"/>
  <c r="BA81" i="4" s="1"/>
  <c r="AQ81" i="4"/>
  <c r="BB80" i="4"/>
  <c r="BD80" i="4" s="1"/>
  <c r="AE81" i="4"/>
  <c r="AA81" i="4"/>
  <c r="AS81" i="4" s="1"/>
  <c r="AU81" i="4" s="1"/>
  <c r="AV80" i="4"/>
  <c r="AX80" i="4" s="1"/>
  <c r="AW82" i="4" l="1"/>
  <c r="BR82" i="4"/>
  <c r="AC82" i="4"/>
  <c r="BE82" i="4" s="1"/>
  <c r="BG82" i="4" s="1"/>
  <c r="AB82" i="4"/>
  <c r="BM81" i="4"/>
  <c r="BL82" i="4"/>
  <c r="AG82" i="4"/>
  <c r="BK82" i="4" s="1"/>
  <c r="AK81" i="4"/>
  <c r="AL81" i="4" s="1"/>
  <c r="AR81" i="4"/>
  <c r="AM82" i="4"/>
  <c r="AF82" i="4"/>
  <c r="BH82" i="4" s="1"/>
  <c r="BJ82" i="4" s="1"/>
  <c r="BI82" i="4"/>
  <c r="AN82" i="4"/>
  <c r="AP82" i="4" s="1"/>
  <c r="AH82" i="4"/>
  <c r="AD82" i="4"/>
  <c r="AZ82" i="4"/>
  <c r="AT82" i="4"/>
  <c r="AY82" i="4"/>
  <c r="BA82" i="4" s="1"/>
  <c r="AQ82" i="4"/>
  <c r="BB81" i="4"/>
  <c r="BD81" i="4" s="1"/>
  <c r="AA82" i="4"/>
  <c r="AS82" i="4" s="1"/>
  <c r="AU82" i="4" s="1"/>
  <c r="AE82" i="4"/>
  <c r="AV82" i="4"/>
  <c r="AV81" i="4"/>
  <c r="B83" i="4"/>
  <c r="BV82" i="4" l="1"/>
  <c r="BW82" i="4"/>
  <c r="BS82" i="4"/>
  <c r="AW83" i="4"/>
  <c r="BR83" i="4"/>
  <c r="BW83" i="4" s="1"/>
  <c r="AX81" i="4"/>
  <c r="AC83" i="4"/>
  <c r="BE83" i="4" s="1"/>
  <c r="BG83" i="4" s="1"/>
  <c r="AB83" i="4"/>
  <c r="BM82" i="4"/>
  <c r="BL83" i="4"/>
  <c r="AG83" i="4"/>
  <c r="BK83" i="4" s="1"/>
  <c r="AK82" i="4"/>
  <c r="AL82" i="4" s="1"/>
  <c r="AR82" i="4"/>
  <c r="AM83" i="4"/>
  <c r="BI83" i="4"/>
  <c r="AF83" i="4"/>
  <c r="BH83" i="4" s="1"/>
  <c r="BJ83" i="4" s="1"/>
  <c r="AN83" i="4"/>
  <c r="AP83" i="4" s="1"/>
  <c r="AH83" i="4"/>
  <c r="AT83" i="4"/>
  <c r="AD83" i="4"/>
  <c r="AZ83" i="4"/>
  <c r="AY83" i="4"/>
  <c r="BA83" i="4" s="1"/>
  <c r="AQ83" i="4"/>
  <c r="BB82" i="4"/>
  <c r="BD82" i="4" s="1"/>
  <c r="AE83" i="4"/>
  <c r="AA83" i="4"/>
  <c r="AS83" i="4" s="1"/>
  <c r="AU83" i="4" s="1"/>
  <c r="AX82" i="4"/>
  <c r="B84" i="4"/>
  <c r="BV83" i="4" l="1"/>
  <c r="BS83" i="4"/>
  <c r="AW84" i="4"/>
  <c r="BR84" i="4"/>
  <c r="AC84" i="4"/>
  <c r="BE84" i="4" s="1"/>
  <c r="BG84" i="4" s="1"/>
  <c r="AB84" i="4"/>
  <c r="BL84" i="4"/>
  <c r="BM83" i="4"/>
  <c r="AG84" i="4"/>
  <c r="BK84" i="4" s="1"/>
  <c r="AK83" i="4"/>
  <c r="AL83" i="4" s="1"/>
  <c r="AR83" i="4"/>
  <c r="AM84" i="4"/>
  <c r="BI84" i="4"/>
  <c r="AF84" i="4"/>
  <c r="BH84" i="4" s="1"/>
  <c r="BJ84" i="4" s="1"/>
  <c r="AT84" i="4"/>
  <c r="AN84" i="4"/>
  <c r="AP84" i="4" s="1"/>
  <c r="AH84" i="4"/>
  <c r="AD84" i="4"/>
  <c r="AZ84" i="4"/>
  <c r="AY84" i="4"/>
  <c r="BA84" i="4" s="1"/>
  <c r="AQ84" i="4"/>
  <c r="BB83" i="4"/>
  <c r="BD83" i="4" s="1"/>
  <c r="AA84" i="4"/>
  <c r="AS84" i="4" s="1"/>
  <c r="AU84" i="4" s="1"/>
  <c r="AE84" i="4"/>
  <c r="AV83" i="4"/>
  <c r="AX83" i="4" s="1"/>
  <c r="B85" i="4"/>
  <c r="BV84" i="4" l="1"/>
  <c r="BW84" i="4"/>
  <c r="BS84" i="4"/>
  <c r="AW85" i="4"/>
  <c r="BR85" i="4"/>
  <c r="AB85" i="4"/>
  <c r="AC85" i="4"/>
  <c r="BE85" i="4" s="1"/>
  <c r="BG85" i="4" s="1"/>
  <c r="BL85" i="4"/>
  <c r="BM84" i="4"/>
  <c r="AG85" i="4"/>
  <c r="BK85" i="4" s="1"/>
  <c r="AK84" i="4"/>
  <c r="AL84" i="4" s="1"/>
  <c r="AR84" i="4"/>
  <c r="AM85" i="4"/>
  <c r="BI85" i="4"/>
  <c r="AF85" i="4"/>
  <c r="BH85" i="4" s="1"/>
  <c r="BJ85" i="4" s="1"/>
  <c r="AT85" i="4"/>
  <c r="AZ85" i="4"/>
  <c r="AN85" i="4"/>
  <c r="AP85" i="4" s="1"/>
  <c r="AH85" i="4"/>
  <c r="AD85" i="4"/>
  <c r="AY85" i="4"/>
  <c r="BA85" i="4" s="1"/>
  <c r="AQ85" i="4"/>
  <c r="BB84" i="4"/>
  <c r="BD84" i="4" s="1"/>
  <c r="AE85" i="4"/>
  <c r="AA85" i="4"/>
  <c r="AS85" i="4" s="1"/>
  <c r="AU85" i="4" s="1"/>
  <c r="AV84" i="4"/>
  <c r="AX84" i="4" s="1"/>
  <c r="B86" i="4"/>
  <c r="BV85" i="4" l="1"/>
  <c r="BW85" i="4"/>
  <c r="BS85" i="4"/>
  <c r="AW86" i="4"/>
  <c r="BR86" i="4"/>
  <c r="AB86" i="4"/>
  <c r="AC86" i="4"/>
  <c r="BE86" i="4" s="1"/>
  <c r="BG86" i="4" s="1"/>
  <c r="BL86" i="4"/>
  <c r="BM85" i="4"/>
  <c r="AG86" i="4"/>
  <c r="BK86" i="4" s="1"/>
  <c r="AK85" i="4"/>
  <c r="AL85" i="4" s="1"/>
  <c r="AR85" i="4"/>
  <c r="AM86" i="4"/>
  <c r="BI86" i="4"/>
  <c r="AF86" i="4"/>
  <c r="BH86" i="4" s="1"/>
  <c r="BJ86" i="4" s="1"/>
  <c r="AD86" i="4"/>
  <c r="AZ86" i="4"/>
  <c r="AT86" i="4"/>
  <c r="AN86" i="4"/>
  <c r="AP86" i="4" s="1"/>
  <c r="AH86" i="4"/>
  <c r="AY86" i="4"/>
  <c r="BA86" i="4" s="1"/>
  <c r="AQ86" i="4"/>
  <c r="BB85" i="4"/>
  <c r="BD85" i="4" s="1"/>
  <c r="AA86" i="4"/>
  <c r="AS86" i="4" s="1"/>
  <c r="AU86" i="4" s="1"/>
  <c r="AE86" i="4"/>
  <c r="AV85" i="4"/>
  <c r="AX85" i="4" s="1"/>
  <c r="B87" i="4"/>
  <c r="BV86" i="4" l="1"/>
  <c r="BW86" i="4"/>
  <c r="BS86" i="4"/>
  <c r="AW87" i="4"/>
  <c r="BR87" i="4"/>
  <c r="AB87" i="4"/>
  <c r="AC87" i="4"/>
  <c r="BE87" i="4" s="1"/>
  <c r="BG87" i="4" s="1"/>
  <c r="BL87" i="4"/>
  <c r="BM86" i="4"/>
  <c r="AG87" i="4"/>
  <c r="BK87" i="4" s="1"/>
  <c r="AK86" i="4"/>
  <c r="AL86" i="4" s="1"/>
  <c r="AR86" i="4"/>
  <c r="AM87" i="4"/>
  <c r="BI87" i="4"/>
  <c r="AF87" i="4"/>
  <c r="BH87" i="4" s="1"/>
  <c r="BJ87" i="4" s="1"/>
  <c r="AD87" i="4"/>
  <c r="AZ87" i="4"/>
  <c r="AT87" i="4"/>
  <c r="AH87" i="4"/>
  <c r="AN87" i="4"/>
  <c r="AY87" i="4"/>
  <c r="BA87" i="4" s="1"/>
  <c r="AQ87" i="4"/>
  <c r="BB86" i="4"/>
  <c r="BD86" i="4" s="1"/>
  <c r="AE87" i="4"/>
  <c r="AA87" i="4"/>
  <c r="AS87" i="4" s="1"/>
  <c r="AU87" i="4" s="1"/>
  <c r="AV86" i="4"/>
  <c r="AX86" i="4" s="1"/>
  <c r="B88" i="4"/>
  <c r="BV87" i="4" l="1"/>
  <c r="BW87" i="4"/>
  <c r="BS87" i="4"/>
  <c r="AW88" i="4"/>
  <c r="BR88" i="4"/>
  <c r="AB88" i="4"/>
  <c r="AC88" i="4"/>
  <c r="BE88" i="4" s="1"/>
  <c r="BG88" i="4" s="1"/>
  <c r="BL88" i="4"/>
  <c r="BM87" i="4"/>
  <c r="AG88" i="4"/>
  <c r="BK88" i="4" s="1"/>
  <c r="AK87" i="4"/>
  <c r="AL87" i="4" s="1"/>
  <c r="AM88" i="4"/>
  <c r="BI88" i="4"/>
  <c r="AF88" i="4"/>
  <c r="BH88" i="4" s="1"/>
  <c r="BJ88" i="4" s="1"/>
  <c r="AP87" i="4"/>
  <c r="AR87" i="4" s="1"/>
  <c r="AH88" i="4"/>
  <c r="AZ88" i="4"/>
  <c r="AD88" i="4"/>
  <c r="AT88" i="4"/>
  <c r="AN88" i="4"/>
  <c r="AY88" i="4"/>
  <c r="BA88" i="4" s="1"/>
  <c r="AQ88" i="4"/>
  <c r="BB87" i="4"/>
  <c r="BD87" i="4" s="1"/>
  <c r="AA88" i="4"/>
  <c r="AS88" i="4" s="1"/>
  <c r="AU88" i="4" s="1"/>
  <c r="AE88" i="4"/>
  <c r="AV87" i="4"/>
  <c r="AX87" i="4" s="1"/>
  <c r="B89" i="4"/>
  <c r="BV88" i="4" l="1"/>
  <c r="BW88" i="4"/>
  <c r="BS88" i="4"/>
  <c r="AW89" i="4"/>
  <c r="BR89" i="4"/>
  <c r="AC89" i="4"/>
  <c r="BE89" i="4" s="1"/>
  <c r="BG89" i="4" s="1"/>
  <c r="AB89" i="4"/>
  <c r="BL89" i="4"/>
  <c r="BM88" i="4"/>
  <c r="AG89" i="4"/>
  <c r="BK89" i="4" s="1"/>
  <c r="AK88" i="4"/>
  <c r="AL88" i="4" s="1"/>
  <c r="AM89" i="4"/>
  <c r="BI89" i="4"/>
  <c r="AF89" i="4"/>
  <c r="BH89" i="4" s="1"/>
  <c r="BJ89" i="4" s="1"/>
  <c r="AP88" i="4"/>
  <c r="AR88" i="4" s="1"/>
  <c r="AN89" i="4"/>
  <c r="AP89" i="4" s="1"/>
  <c r="AH89" i="4"/>
  <c r="AZ89" i="4"/>
  <c r="AD89" i="4"/>
  <c r="AT89" i="4"/>
  <c r="AY89" i="4"/>
  <c r="BA89" i="4" s="1"/>
  <c r="AQ89" i="4"/>
  <c r="BB88" i="4"/>
  <c r="BD88" i="4" s="1"/>
  <c r="AE89" i="4"/>
  <c r="AA89" i="4"/>
  <c r="AS89" i="4" s="1"/>
  <c r="AU89" i="4" s="1"/>
  <c r="AV88" i="4"/>
  <c r="AX88" i="4" s="1"/>
  <c r="B90" i="4"/>
  <c r="BV89" i="4" l="1"/>
  <c r="BW89" i="4"/>
  <c r="BS89" i="4"/>
  <c r="AW90" i="4"/>
  <c r="BR90" i="4"/>
  <c r="AC90" i="4"/>
  <c r="BE90" i="4" s="1"/>
  <c r="BG90" i="4" s="1"/>
  <c r="AB90" i="4"/>
  <c r="BL90" i="4"/>
  <c r="BM89" i="4"/>
  <c r="AG90" i="4"/>
  <c r="BK90" i="4" s="1"/>
  <c r="AK89" i="4"/>
  <c r="AL89" i="4" s="1"/>
  <c r="AR89" i="4"/>
  <c r="AM90" i="4"/>
  <c r="BI90" i="4"/>
  <c r="AF90" i="4"/>
  <c r="BH90" i="4" s="1"/>
  <c r="BJ90" i="4" s="1"/>
  <c r="AN90" i="4"/>
  <c r="AP90" i="4" s="1"/>
  <c r="AH90" i="4"/>
  <c r="AD90" i="4"/>
  <c r="AZ90" i="4"/>
  <c r="AT90" i="4"/>
  <c r="AY90" i="4"/>
  <c r="BA90" i="4" s="1"/>
  <c r="AQ90" i="4"/>
  <c r="BB89" i="4"/>
  <c r="BD89" i="4" s="1"/>
  <c r="AA90" i="4"/>
  <c r="AS90" i="4" s="1"/>
  <c r="AU90" i="4" s="1"/>
  <c r="AE90" i="4"/>
  <c r="AV89" i="4"/>
  <c r="AX89" i="4" s="1"/>
  <c r="B91" i="4"/>
  <c r="BV90" i="4" l="1"/>
  <c r="BW90" i="4"/>
  <c r="BS90" i="4"/>
  <c r="AW91" i="4"/>
  <c r="BR91" i="4"/>
  <c r="AC91" i="4"/>
  <c r="BE91" i="4" s="1"/>
  <c r="BG91" i="4" s="1"/>
  <c r="AB91" i="4"/>
  <c r="BL91" i="4"/>
  <c r="BM90" i="4"/>
  <c r="AG91" i="4"/>
  <c r="BK91" i="4" s="1"/>
  <c r="AK90" i="4"/>
  <c r="AL90" i="4" s="1"/>
  <c r="AR90" i="4"/>
  <c r="AM91" i="4"/>
  <c r="BI91" i="4"/>
  <c r="AF91" i="4"/>
  <c r="BH91" i="4" s="1"/>
  <c r="BJ91" i="4" s="1"/>
  <c r="AN91" i="4"/>
  <c r="AP91" i="4" s="1"/>
  <c r="AH91" i="4"/>
  <c r="AT91" i="4"/>
  <c r="AD91" i="4"/>
  <c r="AZ91" i="4"/>
  <c r="AY91" i="4"/>
  <c r="BA91" i="4" s="1"/>
  <c r="AQ91" i="4"/>
  <c r="BB90" i="4"/>
  <c r="BD90" i="4" s="1"/>
  <c r="AE91" i="4"/>
  <c r="AA91" i="4"/>
  <c r="AS91" i="4" s="1"/>
  <c r="AU91" i="4" s="1"/>
  <c r="AV90" i="4"/>
  <c r="AX90" i="4" s="1"/>
  <c r="B92" i="4"/>
  <c r="BV91" i="4" l="1"/>
  <c r="BW91" i="4"/>
  <c r="BS91" i="4"/>
  <c r="AW92" i="4"/>
  <c r="BR92" i="4"/>
  <c r="AB92" i="4"/>
  <c r="AC92" i="4"/>
  <c r="BE92" i="4" s="1"/>
  <c r="BG92" i="4" s="1"/>
  <c r="BM91" i="4"/>
  <c r="BL92" i="4"/>
  <c r="AG92" i="4"/>
  <c r="BK92" i="4" s="1"/>
  <c r="AK91" i="4"/>
  <c r="AL91" i="4" s="1"/>
  <c r="AR91" i="4"/>
  <c r="AM92" i="4"/>
  <c r="AF92" i="4"/>
  <c r="BH92" i="4" s="1"/>
  <c r="BJ92" i="4" s="1"/>
  <c r="BI92" i="4"/>
  <c r="AT92" i="4"/>
  <c r="AN92" i="4"/>
  <c r="AP92" i="4" s="1"/>
  <c r="AH92" i="4"/>
  <c r="AD92" i="4"/>
  <c r="AZ92" i="4"/>
  <c r="AY92" i="4"/>
  <c r="BA92" i="4" s="1"/>
  <c r="AQ92" i="4"/>
  <c r="BB91" i="4"/>
  <c r="BD91" i="4" s="1"/>
  <c r="AA92" i="4"/>
  <c r="AS92" i="4" s="1"/>
  <c r="AU92" i="4" s="1"/>
  <c r="AE92" i="4"/>
  <c r="AV91" i="4"/>
  <c r="AX91" i="4" s="1"/>
  <c r="B93" i="4"/>
  <c r="BV92" i="4" l="1"/>
  <c r="BW92" i="4"/>
  <c r="BS92" i="4"/>
  <c r="AW93" i="4"/>
  <c r="BR93" i="4"/>
  <c r="AB93" i="4"/>
  <c r="AC93" i="4"/>
  <c r="BE93" i="4" s="1"/>
  <c r="BG93" i="4" s="1"/>
  <c r="BL93" i="4"/>
  <c r="BM92" i="4"/>
  <c r="AG93" i="4"/>
  <c r="BK93" i="4" s="1"/>
  <c r="AK92" i="4"/>
  <c r="AL92" i="4" s="1"/>
  <c r="AR92" i="4"/>
  <c r="AM93" i="4"/>
  <c r="BI93" i="4"/>
  <c r="AF93" i="4"/>
  <c r="BH93" i="4" s="1"/>
  <c r="BJ93" i="4" s="1"/>
  <c r="AT93" i="4"/>
  <c r="AD93" i="4"/>
  <c r="AN93" i="4"/>
  <c r="AP93" i="4" s="1"/>
  <c r="AH93" i="4"/>
  <c r="AZ93" i="4"/>
  <c r="AY93" i="4"/>
  <c r="BA93" i="4" s="1"/>
  <c r="AQ93" i="4"/>
  <c r="BB92" i="4"/>
  <c r="BD92" i="4" s="1"/>
  <c r="AE93" i="4"/>
  <c r="AA93" i="4"/>
  <c r="AS93" i="4" s="1"/>
  <c r="AU93" i="4" s="1"/>
  <c r="AV92" i="4"/>
  <c r="AX92" i="4" s="1"/>
  <c r="B94" i="4"/>
  <c r="BV93" i="4" l="1"/>
  <c r="BW93" i="4"/>
  <c r="BS93" i="4"/>
  <c r="AW94" i="4"/>
  <c r="BR94" i="4"/>
  <c r="AB94" i="4"/>
  <c r="AC94" i="4"/>
  <c r="BE94" i="4" s="1"/>
  <c r="BG94" i="4" s="1"/>
  <c r="BL94" i="4"/>
  <c r="BM93" i="4"/>
  <c r="AG94" i="4"/>
  <c r="BK94" i="4" s="1"/>
  <c r="AK93" i="4"/>
  <c r="AL93" i="4" s="1"/>
  <c r="AR93" i="4"/>
  <c r="AM94" i="4"/>
  <c r="BI94" i="4"/>
  <c r="AF94" i="4"/>
  <c r="BH94" i="4" s="1"/>
  <c r="BJ94" i="4" s="1"/>
  <c r="AD94" i="4"/>
  <c r="AZ94" i="4"/>
  <c r="AT94" i="4"/>
  <c r="AN94" i="4"/>
  <c r="AH94" i="4"/>
  <c r="AY94" i="4"/>
  <c r="BA94" i="4" s="1"/>
  <c r="AQ94" i="4"/>
  <c r="BB93" i="4"/>
  <c r="BD93" i="4" s="1"/>
  <c r="AA94" i="4"/>
  <c r="AS94" i="4" s="1"/>
  <c r="AU94" i="4" s="1"/>
  <c r="AE94" i="4"/>
  <c r="AV93" i="4"/>
  <c r="AX93" i="4" s="1"/>
  <c r="B95" i="4"/>
  <c r="BV94" i="4" l="1"/>
  <c r="BW94" i="4"/>
  <c r="BS94" i="4"/>
  <c r="AW95" i="4"/>
  <c r="BR95" i="4"/>
  <c r="AB95" i="4"/>
  <c r="AC95" i="4"/>
  <c r="BE95" i="4" s="1"/>
  <c r="BG95" i="4" s="1"/>
  <c r="BM94" i="4"/>
  <c r="BL95" i="4"/>
  <c r="AG95" i="4"/>
  <c r="BK95" i="4" s="1"/>
  <c r="AK94" i="4"/>
  <c r="AL94" i="4" s="1"/>
  <c r="AM95" i="4"/>
  <c r="BI95" i="4"/>
  <c r="AF95" i="4"/>
  <c r="BH95" i="4" s="1"/>
  <c r="BJ95" i="4" s="1"/>
  <c r="AP94" i="4"/>
  <c r="AR94" i="4" s="1"/>
  <c r="AD95" i="4"/>
  <c r="AZ95" i="4"/>
  <c r="AT95" i="4"/>
  <c r="AH95" i="4"/>
  <c r="AN95" i="4"/>
  <c r="AY95" i="4"/>
  <c r="BA95" i="4" s="1"/>
  <c r="AQ95" i="4"/>
  <c r="BB94" i="4"/>
  <c r="BD94" i="4" s="1"/>
  <c r="AE95" i="4"/>
  <c r="AA95" i="4"/>
  <c r="AS95" i="4" s="1"/>
  <c r="AU95" i="4" s="1"/>
  <c r="AV94" i="4"/>
  <c r="AX94" i="4" s="1"/>
  <c r="B96" i="4"/>
  <c r="BV95" i="4" l="1"/>
  <c r="BW95" i="4"/>
  <c r="BS95" i="4"/>
  <c r="AW96" i="4"/>
  <c r="BR96" i="4"/>
  <c r="AC96" i="4"/>
  <c r="BE96" i="4" s="1"/>
  <c r="BG96" i="4" s="1"/>
  <c r="AB96" i="4"/>
  <c r="BM95" i="4"/>
  <c r="BL96" i="4"/>
  <c r="AG96" i="4"/>
  <c r="BK96" i="4" s="1"/>
  <c r="AK95" i="4"/>
  <c r="AL95" i="4" s="1"/>
  <c r="AM96" i="4"/>
  <c r="BI96" i="4"/>
  <c r="AF96" i="4"/>
  <c r="BH96" i="4" s="1"/>
  <c r="BJ96" i="4" s="1"/>
  <c r="AP95" i="4"/>
  <c r="AR95" i="4" s="1"/>
  <c r="AH96" i="4"/>
  <c r="AZ96" i="4"/>
  <c r="AD96" i="4"/>
  <c r="AT96" i="4"/>
  <c r="AN96" i="4"/>
  <c r="AY96" i="4"/>
  <c r="BA96" i="4" s="1"/>
  <c r="AQ96" i="4"/>
  <c r="BB95" i="4"/>
  <c r="BD95" i="4" s="1"/>
  <c r="AA96" i="4"/>
  <c r="AS96" i="4" s="1"/>
  <c r="AU96" i="4" s="1"/>
  <c r="AE96" i="4"/>
  <c r="AV95" i="4"/>
  <c r="AX95" i="4" s="1"/>
  <c r="B97" i="4"/>
  <c r="BV96" i="4" l="1"/>
  <c r="BW96" i="4"/>
  <c r="BS96" i="4"/>
  <c r="AW97" i="4"/>
  <c r="BR97" i="4"/>
  <c r="AC97" i="4"/>
  <c r="BE97" i="4" s="1"/>
  <c r="BG97" i="4" s="1"/>
  <c r="AB97" i="4"/>
  <c r="BM96" i="4"/>
  <c r="BL97" i="4"/>
  <c r="AG97" i="4"/>
  <c r="BK97" i="4" s="1"/>
  <c r="AK96" i="4"/>
  <c r="AL96" i="4" s="1"/>
  <c r="AM97" i="4"/>
  <c r="BI97" i="4"/>
  <c r="AF97" i="4"/>
  <c r="BH97" i="4" s="1"/>
  <c r="BJ97" i="4" s="1"/>
  <c r="AP96" i="4"/>
  <c r="AR96" i="4" s="1"/>
  <c r="AN97" i="4"/>
  <c r="AP97" i="4" s="1"/>
  <c r="AZ97" i="4"/>
  <c r="AH97" i="4"/>
  <c r="AD97" i="4"/>
  <c r="AT97" i="4"/>
  <c r="AY97" i="4"/>
  <c r="BA97" i="4" s="1"/>
  <c r="AQ97" i="4"/>
  <c r="BB96" i="4"/>
  <c r="BD96" i="4" s="1"/>
  <c r="AE97" i="4"/>
  <c r="AA97" i="4"/>
  <c r="AS97" i="4" s="1"/>
  <c r="AU97" i="4" s="1"/>
  <c r="AV96" i="4"/>
  <c r="AX96" i="4" s="1"/>
  <c r="B98" i="4"/>
  <c r="BV97" i="4" l="1"/>
  <c r="BW97" i="4"/>
  <c r="BS97" i="4"/>
  <c r="AW98" i="4"/>
  <c r="BR98" i="4"/>
  <c r="AC98" i="4"/>
  <c r="BE98" i="4" s="1"/>
  <c r="BG98" i="4" s="1"/>
  <c r="AB98" i="4"/>
  <c r="BL98" i="4"/>
  <c r="BM97" i="4"/>
  <c r="AG98" i="4"/>
  <c r="BK98" i="4" s="1"/>
  <c r="AK97" i="4"/>
  <c r="AL97" i="4" s="1"/>
  <c r="AR97" i="4"/>
  <c r="AM98" i="4"/>
  <c r="BI98" i="4"/>
  <c r="AF98" i="4"/>
  <c r="BH98" i="4" s="1"/>
  <c r="BJ98" i="4" s="1"/>
  <c r="AN98" i="4"/>
  <c r="AP98" i="4" s="1"/>
  <c r="AH98" i="4"/>
  <c r="AD98" i="4"/>
  <c r="AZ98" i="4"/>
  <c r="AT98" i="4"/>
  <c r="AY98" i="4"/>
  <c r="BA98" i="4" s="1"/>
  <c r="AQ98" i="4"/>
  <c r="BB97" i="4"/>
  <c r="BD97" i="4" s="1"/>
  <c r="AA98" i="4"/>
  <c r="AS98" i="4" s="1"/>
  <c r="AU98" i="4" s="1"/>
  <c r="AE98" i="4"/>
  <c r="AV97" i="4"/>
  <c r="AX97" i="4" s="1"/>
  <c r="B99" i="4"/>
  <c r="BV98" i="4" l="1"/>
  <c r="BW98" i="4"/>
  <c r="BS98" i="4"/>
  <c r="AW99" i="4"/>
  <c r="BR99" i="4"/>
  <c r="AB99" i="4"/>
  <c r="AC99" i="4"/>
  <c r="BE99" i="4" s="1"/>
  <c r="BG99" i="4" s="1"/>
  <c r="BL99" i="4"/>
  <c r="BM98" i="4"/>
  <c r="AG99" i="4"/>
  <c r="BK99" i="4" s="1"/>
  <c r="AK98" i="4"/>
  <c r="AL98" i="4" s="1"/>
  <c r="AR98" i="4"/>
  <c r="AM99" i="4"/>
  <c r="BI99" i="4"/>
  <c r="AF99" i="4"/>
  <c r="BH99" i="4" s="1"/>
  <c r="BJ99" i="4" s="1"/>
  <c r="AN99" i="4"/>
  <c r="AP99" i="4" s="1"/>
  <c r="AT99" i="4"/>
  <c r="AH99" i="4"/>
  <c r="AD99" i="4"/>
  <c r="AZ99" i="4"/>
  <c r="AY99" i="4"/>
  <c r="BA99" i="4" s="1"/>
  <c r="AQ99" i="4"/>
  <c r="BB98" i="4"/>
  <c r="BD98" i="4" s="1"/>
  <c r="AE99" i="4"/>
  <c r="AA99" i="4"/>
  <c r="AS99" i="4" s="1"/>
  <c r="AU99" i="4" s="1"/>
  <c r="AV98" i="4"/>
  <c r="AX98" i="4" s="1"/>
  <c r="B100" i="4"/>
  <c r="BV99" i="4" l="1"/>
  <c r="BW99" i="4"/>
  <c r="BS99" i="4"/>
  <c r="AW100" i="4"/>
  <c r="BR100" i="4"/>
  <c r="AC100" i="4"/>
  <c r="BE100" i="4" s="1"/>
  <c r="BG100" i="4" s="1"/>
  <c r="AB100" i="4"/>
  <c r="BL100" i="4"/>
  <c r="BM99" i="4"/>
  <c r="AG100" i="4"/>
  <c r="BK100" i="4" s="1"/>
  <c r="AK99" i="4"/>
  <c r="AL99" i="4" s="1"/>
  <c r="AR99" i="4"/>
  <c r="AM100" i="4"/>
  <c r="BI100" i="4"/>
  <c r="AF100" i="4"/>
  <c r="BH100" i="4" s="1"/>
  <c r="BJ100" i="4" s="1"/>
  <c r="AT100" i="4"/>
  <c r="AN100" i="4"/>
  <c r="AP100" i="4" s="1"/>
  <c r="AH100" i="4"/>
  <c r="AD100" i="4"/>
  <c r="AZ100" i="4"/>
  <c r="AY100" i="4"/>
  <c r="BA100" i="4" s="1"/>
  <c r="AQ100" i="4"/>
  <c r="BB99" i="4"/>
  <c r="BD99" i="4" s="1"/>
  <c r="AA100" i="4"/>
  <c r="AS100" i="4" s="1"/>
  <c r="AU100" i="4" s="1"/>
  <c r="AE100" i="4"/>
  <c r="AV99" i="4"/>
  <c r="AX99" i="4" s="1"/>
  <c r="B101" i="4"/>
  <c r="BV100" i="4" l="1"/>
  <c r="BW100" i="4"/>
  <c r="BS100" i="4"/>
  <c r="AW101" i="4"/>
  <c r="BR101" i="4"/>
  <c r="AB101" i="4"/>
  <c r="AC101" i="4"/>
  <c r="BE101" i="4" s="1"/>
  <c r="BG101" i="4" s="1"/>
  <c r="BL101" i="4"/>
  <c r="BM100" i="4"/>
  <c r="AG101" i="4"/>
  <c r="BK101" i="4" s="1"/>
  <c r="AK100" i="4"/>
  <c r="AL100" i="4" s="1"/>
  <c r="AR100" i="4"/>
  <c r="AM101" i="4"/>
  <c r="BI101" i="4"/>
  <c r="AF101" i="4"/>
  <c r="BH101" i="4" s="1"/>
  <c r="BJ101" i="4" s="1"/>
  <c r="AT101" i="4"/>
  <c r="AN101" i="4"/>
  <c r="AP101" i="4" s="1"/>
  <c r="AD101" i="4"/>
  <c r="AZ101" i="4"/>
  <c r="AH101" i="4"/>
  <c r="AY101" i="4"/>
  <c r="BA101" i="4" s="1"/>
  <c r="AQ101" i="4"/>
  <c r="BB100" i="4"/>
  <c r="BD100" i="4" s="1"/>
  <c r="AE101" i="4"/>
  <c r="AA101" i="4"/>
  <c r="AS101" i="4" s="1"/>
  <c r="AU101" i="4" s="1"/>
  <c r="AV100" i="4"/>
  <c r="AX100" i="4" s="1"/>
  <c r="B102" i="4"/>
  <c r="BV101" i="4" l="1"/>
  <c r="BW101" i="4"/>
  <c r="BS101" i="4"/>
  <c r="AW102" i="4"/>
  <c r="BR102" i="4"/>
  <c r="AB102" i="4"/>
  <c r="AC102" i="4"/>
  <c r="BE102" i="4" s="1"/>
  <c r="BG102" i="4" s="1"/>
  <c r="BL102" i="4"/>
  <c r="BM101" i="4"/>
  <c r="AG102" i="4"/>
  <c r="BK102" i="4" s="1"/>
  <c r="AK101" i="4"/>
  <c r="AL101" i="4" s="1"/>
  <c r="AR101" i="4"/>
  <c r="AM102" i="4"/>
  <c r="BI102" i="4"/>
  <c r="AF102" i="4"/>
  <c r="BH102" i="4" s="1"/>
  <c r="BJ102" i="4" s="1"/>
  <c r="AD102" i="4"/>
  <c r="AZ102" i="4"/>
  <c r="AT102" i="4"/>
  <c r="AN102" i="4"/>
  <c r="AH102" i="4"/>
  <c r="AY102" i="4"/>
  <c r="BA102" i="4" s="1"/>
  <c r="AQ102" i="4"/>
  <c r="BB101" i="4"/>
  <c r="BD101" i="4" s="1"/>
  <c r="AA102" i="4"/>
  <c r="AS102" i="4" s="1"/>
  <c r="AU102" i="4" s="1"/>
  <c r="AE102" i="4"/>
  <c r="AV101" i="4"/>
  <c r="AX101" i="4" s="1"/>
  <c r="B103" i="4"/>
  <c r="BV102" i="4" l="1"/>
  <c r="BW102" i="4"/>
  <c r="BS102" i="4"/>
  <c r="AW103" i="4"/>
  <c r="BR103" i="4"/>
  <c r="AB103" i="4"/>
  <c r="AC103" i="4"/>
  <c r="BE103" i="4" s="1"/>
  <c r="BG103" i="4" s="1"/>
  <c r="BL103" i="4"/>
  <c r="BM102" i="4"/>
  <c r="AG103" i="4"/>
  <c r="BK103" i="4" s="1"/>
  <c r="AK102" i="4"/>
  <c r="AL102" i="4" s="1"/>
  <c r="AM103" i="4"/>
  <c r="BI103" i="4"/>
  <c r="AF103" i="4"/>
  <c r="BH103" i="4" s="1"/>
  <c r="BJ103" i="4" s="1"/>
  <c r="AP102" i="4"/>
  <c r="AR102" i="4" s="1"/>
  <c r="AD103" i="4"/>
  <c r="AZ103" i="4"/>
  <c r="AT103" i="4"/>
  <c r="AH103" i="4"/>
  <c r="AN103" i="4"/>
  <c r="AY103" i="4"/>
  <c r="BA103" i="4" s="1"/>
  <c r="AQ103" i="4"/>
  <c r="BB102" i="4"/>
  <c r="BD102" i="4" s="1"/>
  <c r="AE103" i="4"/>
  <c r="AA103" i="4"/>
  <c r="AS103" i="4" s="1"/>
  <c r="AU103" i="4" s="1"/>
  <c r="AV102" i="4"/>
  <c r="AX102" i="4" s="1"/>
  <c r="B104" i="4"/>
  <c r="BV103" i="4" l="1"/>
  <c r="BW103" i="4"/>
  <c r="BS103" i="4"/>
  <c r="AW104" i="4"/>
  <c r="BR104" i="4"/>
  <c r="AC104" i="4"/>
  <c r="BE104" i="4" s="1"/>
  <c r="BG104" i="4" s="1"/>
  <c r="AB104" i="4"/>
  <c r="BL104" i="4"/>
  <c r="BM103" i="4"/>
  <c r="AG104" i="4"/>
  <c r="BK104" i="4" s="1"/>
  <c r="AK103" i="4"/>
  <c r="AL103" i="4" s="1"/>
  <c r="AM104" i="4"/>
  <c r="BI104" i="4"/>
  <c r="AF104" i="4"/>
  <c r="BH104" i="4" s="1"/>
  <c r="BJ104" i="4" s="1"/>
  <c r="AP103" i="4"/>
  <c r="AR103" i="4" s="1"/>
  <c r="AH104" i="4"/>
  <c r="AZ104" i="4"/>
  <c r="AN104" i="4"/>
  <c r="AP104" i="4" s="1"/>
  <c r="AD104" i="4"/>
  <c r="AT104" i="4"/>
  <c r="AY104" i="4"/>
  <c r="BA104" i="4" s="1"/>
  <c r="AQ104" i="4"/>
  <c r="BB103" i="4"/>
  <c r="BD103" i="4" s="1"/>
  <c r="AA104" i="4"/>
  <c r="AS104" i="4" s="1"/>
  <c r="AU104" i="4" s="1"/>
  <c r="AE104" i="4"/>
  <c r="AV103" i="4"/>
  <c r="AX103" i="4" s="1"/>
  <c r="B105" i="4"/>
  <c r="BV104" i="4" l="1"/>
  <c r="BW104" i="4"/>
  <c r="BS104" i="4"/>
  <c r="AW105" i="4"/>
  <c r="BR105" i="4"/>
  <c r="AC105" i="4"/>
  <c r="BE105" i="4" s="1"/>
  <c r="BG105" i="4" s="1"/>
  <c r="AB105" i="4"/>
  <c r="BL105" i="4"/>
  <c r="BM104" i="4"/>
  <c r="AG105" i="4"/>
  <c r="BK105" i="4" s="1"/>
  <c r="AK104" i="4"/>
  <c r="AL104" i="4" s="1"/>
  <c r="AR104" i="4"/>
  <c r="AM105" i="4"/>
  <c r="BI105" i="4"/>
  <c r="AF105" i="4"/>
  <c r="BH105" i="4" s="1"/>
  <c r="BJ105" i="4" s="1"/>
  <c r="AN105" i="4"/>
  <c r="AP105" i="4" s="1"/>
  <c r="AH105" i="4"/>
  <c r="AZ105" i="4"/>
  <c r="AD105" i="4"/>
  <c r="AT105" i="4"/>
  <c r="AY105" i="4"/>
  <c r="BA105" i="4" s="1"/>
  <c r="AQ105" i="4"/>
  <c r="BB104" i="4"/>
  <c r="BD104" i="4" s="1"/>
  <c r="AE105" i="4"/>
  <c r="AA105" i="4"/>
  <c r="AS105" i="4" s="1"/>
  <c r="AU105" i="4" s="1"/>
  <c r="AV104" i="4"/>
  <c r="AX104" i="4" s="1"/>
  <c r="B106" i="4"/>
  <c r="BV105" i="4" l="1"/>
  <c r="BW105" i="4"/>
  <c r="BS105" i="4"/>
  <c r="AW106" i="4"/>
  <c r="BR106" i="4"/>
  <c r="AC106" i="4"/>
  <c r="BE106" i="4" s="1"/>
  <c r="BG106" i="4" s="1"/>
  <c r="AB106" i="4"/>
  <c r="BL106" i="4"/>
  <c r="BM105" i="4"/>
  <c r="AG106" i="4"/>
  <c r="BK106" i="4" s="1"/>
  <c r="AK105" i="4"/>
  <c r="AL105" i="4" s="1"/>
  <c r="AR105" i="4"/>
  <c r="AM106" i="4"/>
  <c r="AF106" i="4"/>
  <c r="BH106" i="4" s="1"/>
  <c r="BJ106" i="4" s="1"/>
  <c r="BI106" i="4"/>
  <c r="AN106" i="4"/>
  <c r="AP106" i="4" s="1"/>
  <c r="AH106" i="4"/>
  <c r="AD106" i="4"/>
  <c r="AZ106" i="4"/>
  <c r="AT106" i="4"/>
  <c r="AY106" i="4"/>
  <c r="BA106" i="4" s="1"/>
  <c r="AQ106" i="4"/>
  <c r="BB105" i="4"/>
  <c r="BD105" i="4" s="1"/>
  <c r="AA106" i="4"/>
  <c r="AS106" i="4" s="1"/>
  <c r="AU106" i="4" s="1"/>
  <c r="AE106" i="4"/>
  <c r="AV105" i="4"/>
  <c r="AX105" i="4" s="1"/>
  <c r="B107" i="4"/>
  <c r="BV106" i="4" l="1"/>
  <c r="BW106" i="4"/>
  <c r="BS106" i="4"/>
  <c r="AW107" i="4"/>
  <c r="BR107" i="4"/>
  <c r="AC107" i="4"/>
  <c r="BE107" i="4" s="1"/>
  <c r="BG107" i="4" s="1"/>
  <c r="AB107" i="4"/>
  <c r="BL107" i="4"/>
  <c r="BM106" i="4"/>
  <c r="AG107" i="4"/>
  <c r="BK107" i="4" s="1"/>
  <c r="AK106" i="4"/>
  <c r="AL106" i="4" s="1"/>
  <c r="AR106" i="4"/>
  <c r="AM107" i="4"/>
  <c r="BI107" i="4"/>
  <c r="AF107" i="4"/>
  <c r="BH107" i="4" s="1"/>
  <c r="BJ107" i="4" s="1"/>
  <c r="AT107" i="4"/>
  <c r="AN107" i="4"/>
  <c r="AH107" i="4"/>
  <c r="AD107" i="4"/>
  <c r="AZ107" i="4"/>
  <c r="AY107" i="4"/>
  <c r="BA107" i="4" s="1"/>
  <c r="AQ107" i="4"/>
  <c r="BB106" i="4"/>
  <c r="BD106" i="4" s="1"/>
  <c r="AE107" i="4"/>
  <c r="AA107" i="4"/>
  <c r="AS107" i="4" s="1"/>
  <c r="AU107" i="4" s="1"/>
  <c r="AV106" i="4"/>
  <c r="AX106" i="4" s="1"/>
  <c r="B108" i="4"/>
  <c r="BV107" i="4" l="1"/>
  <c r="BW107" i="4"/>
  <c r="BS107" i="4"/>
  <c r="AW108" i="4"/>
  <c r="BR108" i="4"/>
  <c r="AC108" i="4"/>
  <c r="BE108" i="4" s="1"/>
  <c r="BG108" i="4" s="1"/>
  <c r="AB108" i="4"/>
  <c r="BL108" i="4"/>
  <c r="BM107" i="4"/>
  <c r="AG108" i="4"/>
  <c r="BK108" i="4" s="1"/>
  <c r="AK107" i="4"/>
  <c r="AL107" i="4" s="1"/>
  <c r="AM108" i="4"/>
  <c r="AF108" i="4"/>
  <c r="BH108" i="4" s="1"/>
  <c r="BJ108" i="4" s="1"/>
  <c r="BI108" i="4"/>
  <c r="AP107" i="4"/>
  <c r="AR107" i="4" s="1"/>
  <c r="AT108" i="4"/>
  <c r="AN108" i="4"/>
  <c r="AH108" i="4"/>
  <c r="AD108" i="4"/>
  <c r="AZ108" i="4"/>
  <c r="AY108" i="4"/>
  <c r="BA108" i="4" s="1"/>
  <c r="AQ108" i="4"/>
  <c r="BB107" i="4"/>
  <c r="BD107" i="4" s="1"/>
  <c r="AA108" i="4"/>
  <c r="AS108" i="4" s="1"/>
  <c r="AU108" i="4" s="1"/>
  <c r="AE108" i="4"/>
  <c r="AV107" i="4"/>
  <c r="AX107" i="4" s="1"/>
  <c r="B109" i="4"/>
  <c r="BV108" i="4" l="1"/>
  <c r="BW108" i="4"/>
  <c r="BS108" i="4"/>
  <c r="AW109" i="4"/>
  <c r="BR109" i="4"/>
  <c r="AB109" i="4"/>
  <c r="AC109" i="4"/>
  <c r="BE109" i="4" s="1"/>
  <c r="BG109" i="4" s="1"/>
  <c r="BL109" i="4"/>
  <c r="BM108" i="4"/>
  <c r="AG109" i="4"/>
  <c r="BK109" i="4" s="1"/>
  <c r="AK108" i="4"/>
  <c r="AL108" i="4" s="1"/>
  <c r="AM109" i="4"/>
  <c r="BI109" i="4"/>
  <c r="AF109" i="4"/>
  <c r="BH109" i="4" s="1"/>
  <c r="BJ109" i="4" s="1"/>
  <c r="AP108" i="4"/>
  <c r="AR108" i="4" s="1"/>
  <c r="AT109" i="4"/>
  <c r="AD109" i="4"/>
  <c r="AZ109" i="4"/>
  <c r="AN109" i="4"/>
  <c r="AH109" i="4"/>
  <c r="AY109" i="4"/>
  <c r="BA109" i="4" s="1"/>
  <c r="AQ109" i="4"/>
  <c r="BB108" i="4"/>
  <c r="BD108" i="4" s="1"/>
  <c r="AE109" i="4"/>
  <c r="AA109" i="4"/>
  <c r="AS109" i="4" s="1"/>
  <c r="AU109" i="4" s="1"/>
  <c r="AV108" i="4"/>
  <c r="AX108" i="4" s="1"/>
  <c r="B110" i="4"/>
  <c r="BV109" i="4" l="1"/>
  <c r="BW109" i="4"/>
  <c r="BS109" i="4"/>
  <c r="AW110" i="4"/>
  <c r="BR110" i="4"/>
  <c r="AB110" i="4"/>
  <c r="AC110" i="4"/>
  <c r="BE110" i="4" s="1"/>
  <c r="BG110" i="4" s="1"/>
  <c r="BM109" i="4"/>
  <c r="BL110" i="4"/>
  <c r="AG110" i="4"/>
  <c r="BK110" i="4" s="1"/>
  <c r="AK109" i="4"/>
  <c r="AL109" i="4" s="1"/>
  <c r="AM110" i="4"/>
  <c r="BI110" i="4"/>
  <c r="AF110" i="4"/>
  <c r="BH110" i="4" s="1"/>
  <c r="BJ110" i="4" s="1"/>
  <c r="AP109" i="4"/>
  <c r="AR109" i="4" s="1"/>
  <c r="AD110" i="4"/>
  <c r="AZ110" i="4"/>
  <c r="AT110" i="4"/>
  <c r="AN110" i="4"/>
  <c r="AH110" i="4"/>
  <c r="AY110" i="4"/>
  <c r="BA110" i="4" s="1"/>
  <c r="AQ110" i="4"/>
  <c r="BB109" i="4"/>
  <c r="BD109" i="4" s="1"/>
  <c r="AA110" i="4"/>
  <c r="AS110" i="4" s="1"/>
  <c r="AU110" i="4" s="1"/>
  <c r="AE110" i="4"/>
  <c r="AV109" i="4"/>
  <c r="AX109" i="4" s="1"/>
  <c r="B111" i="4"/>
  <c r="BV110" i="4" l="1"/>
  <c r="BW110" i="4"/>
  <c r="BS110" i="4"/>
  <c r="AW111" i="4"/>
  <c r="BR111" i="4"/>
  <c r="AB111" i="4"/>
  <c r="AC111" i="4"/>
  <c r="BE111" i="4" s="1"/>
  <c r="BG111" i="4" s="1"/>
  <c r="BL111" i="4"/>
  <c r="BM110" i="4"/>
  <c r="AG111" i="4"/>
  <c r="BK111" i="4" s="1"/>
  <c r="AK110" i="4"/>
  <c r="AL110" i="4" s="1"/>
  <c r="AM111" i="4"/>
  <c r="BI111" i="4"/>
  <c r="AF111" i="4"/>
  <c r="BH111" i="4" s="1"/>
  <c r="BJ111" i="4" s="1"/>
  <c r="AP110" i="4"/>
  <c r="AR110" i="4" s="1"/>
  <c r="AZ111" i="4"/>
  <c r="AD111" i="4"/>
  <c r="AH111" i="4"/>
  <c r="AT111" i="4"/>
  <c r="AN111" i="4"/>
  <c r="AY111" i="4"/>
  <c r="BA111" i="4" s="1"/>
  <c r="AQ111" i="4"/>
  <c r="BB110" i="4"/>
  <c r="BD110" i="4" s="1"/>
  <c r="AE111" i="4"/>
  <c r="AA111" i="4"/>
  <c r="AS111" i="4" s="1"/>
  <c r="AU111" i="4" s="1"/>
  <c r="AV110" i="4"/>
  <c r="AX110" i="4" s="1"/>
  <c r="B112" i="4"/>
  <c r="BV111" i="4" l="1"/>
  <c r="BW111" i="4"/>
  <c r="BS111" i="4"/>
  <c r="AW112" i="4"/>
  <c r="BR112" i="4"/>
  <c r="AB112" i="4"/>
  <c r="AC112" i="4"/>
  <c r="BE112" i="4" s="1"/>
  <c r="BG112" i="4" s="1"/>
  <c r="BL112" i="4"/>
  <c r="BM111" i="4"/>
  <c r="AG112" i="4"/>
  <c r="BK112" i="4" s="1"/>
  <c r="AK111" i="4"/>
  <c r="AL111" i="4" s="1"/>
  <c r="AM112" i="4"/>
  <c r="BI112" i="4"/>
  <c r="AF112" i="4"/>
  <c r="BH112" i="4" s="1"/>
  <c r="BJ112" i="4" s="1"/>
  <c r="AP111" i="4"/>
  <c r="AR111" i="4" s="1"/>
  <c r="AH112" i="4"/>
  <c r="AZ112" i="4"/>
  <c r="AN112" i="4"/>
  <c r="AD112" i="4"/>
  <c r="AT112" i="4"/>
  <c r="AY112" i="4"/>
  <c r="BA112" i="4" s="1"/>
  <c r="AQ112" i="4"/>
  <c r="BB111" i="4"/>
  <c r="BD111" i="4" s="1"/>
  <c r="AA112" i="4"/>
  <c r="AS112" i="4" s="1"/>
  <c r="AU112" i="4" s="1"/>
  <c r="AE112" i="4"/>
  <c r="AV111" i="4"/>
  <c r="AX111" i="4" s="1"/>
  <c r="B113" i="4"/>
  <c r="BV112" i="4" l="1"/>
  <c r="BW112" i="4"/>
  <c r="BS112" i="4"/>
  <c r="AW113" i="4"/>
  <c r="BR113" i="4"/>
  <c r="AC113" i="4"/>
  <c r="BE113" i="4" s="1"/>
  <c r="BG113" i="4" s="1"/>
  <c r="AB113" i="4"/>
  <c r="BM112" i="4"/>
  <c r="BL113" i="4"/>
  <c r="AG113" i="4"/>
  <c r="BK113" i="4" s="1"/>
  <c r="AK112" i="4"/>
  <c r="AL112" i="4" s="1"/>
  <c r="AM113" i="4"/>
  <c r="BI113" i="4"/>
  <c r="AF113" i="4"/>
  <c r="BH113" i="4" s="1"/>
  <c r="BJ113" i="4" s="1"/>
  <c r="AP112" i="4"/>
  <c r="AR112" i="4" s="1"/>
  <c r="AN113" i="4"/>
  <c r="AP113" i="4" s="1"/>
  <c r="AH113" i="4"/>
  <c r="AD113" i="4"/>
  <c r="AZ113" i="4"/>
  <c r="AT113" i="4"/>
  <c r="AY113" i="4"/>
  <c r="BA113" i="4" s="1"/>
  <c r="AQ113" i="4"/>
  <c r="BB112" i="4"/>
  <c r="BD112" i="4" s="1"/>
  <c r="AE113" i="4"/>
  <c r="AA113" i="4"/>
  <c r="AS113" i="4" s="1"/>
  <c r="AU113" i="4" s="1"/>
  <c r="AV112" i="4"/>
  <c r="AX112" i="4" s="1"/>
  <c r="B114" i="4"/>
  <c r="BV113" i="4" l="1"/>
  <c r="BW113" i="4"/>
  <c r="BS113" i="4"/>
  <c r="AW114" i="4"/>
  <c r="BR114" i="4"/>
  <c r="AC114" i="4"/>
  <c r="BE114" i="4" s="1"/>
  <c r="BG114" i="4" s="1"/>
  <c r="AB114" i="4"/>
  <c r="BM113" i="4"/>
  <c r="BL114" i="4"/>
  <c r="AG114" i="4"/>
  <c r="BK114" i="4" s="1"/>
  <c r="AK113" i="4"/>
  <c r="AL113" i="4" s="1"/>
  <c r="AR113" i="4"/>
  <c r="AM114" i="4"/>
  <c r="BI114" i="4"/>
  <c r="AF114" i="4"/>
  <c r="BH114" i="4" s="1"/>
  <c r="BJ114" i="4" s="1"/>
  <c r="AN114" i="4"/>
  <c r="AH114" i="4"/>
  <c r="AD114" i="4"/>
  <c r="AZ114" i="4"/>
  <c r="AT114" i="4"/>
  <c r="AY114" i="4"/>
  <c r="BA114" i="4" s="1"/>
  <c r="AQ114" i="4"/>
  <c r="BB113" i="4"/>
  <c r="BD113" i="4" s="1"/>
  <c r="AA114" i="4"/>
  <c r="AS114" i="4" s="1"/>
  <c r="AU114" i="4" s="1"/>
  <c r="AE114" i="4"/>
  <c r="AV113" i="4"/>
  <c r="AX113" i="4" s="1"/>
  <c r="B115" i="4"/>
  <c r="BV114" i="4" l="1"/>
  <c r="BW114" i="4"/>
  <c r="BS114" i="4"/>
  <c r="AW115" i="4"/>
  <c r="BR115" i="4"/>
  <c r="AC115" i="4"/>
  <c r="BE115" i="4" s="1"/>
  <c r="BG115" i="4" s="1"/>
  <c r="AB115" i="4"/>
  <c r="BM114" i="4"/>
  <c r="BL115" i="4"/>
  <c r="AG115" i="4"/>
  <c r="BK115" i="4" s="1"/>
  <c r="AK114" i="4"/>
  <c r="AL114" i="4" s="1"/>
  <c r="AM115" i="4"/>
  <c r="BI115" i="4"/>
  <c r="AF115" i="4"/>
  <c r="BH115" i="4" s="1"/>
  <c r="BJ115" i="4" s="1"/>
  <c r="AP114" i="4"/>
  <c r="AR114" i="4" s="1"/>
  <c r="AT115" i="4"/>
  <c r="AN115" i="4"/>
  <c r="AH115" i="4"/>
  <c r="AD115" i="4"/>
  <c r="AZ115" i="4"/>
  <c r="AY115" i="4"/>
  <c r="BA115" i="4" s="1"/>
  <c r="AQ115" i="4"/>
  <c r="BB114" i="4"/>
  <c r="BD114" i="4" s="1"/>
  <c r="AE115" i="4"/>
  <c r="AA115" i="4"/>
  <c r="AS115" i="4" s="1"/>
  <c r="AU115" i="4" s="1"/>
  <c r="AV114" i="4"/>
  <c r="AX114" i="4" s="1"/>
  <c r="B116" i="4"/>
  <c r="BV115" i="4" l="1"/>
  <c r="BW115" i="4"/>
  <c r="BS115" i="4"/>
  <c r="AW116" i="4"/>
  <c r="BR116" i="4"/>
  <c r="AB116" i="4"/>
  <c r="AC116" i="4"/>
  <c r="BE116" i="4" s="1"/>
  <c r="BG116" i="4" s="1"/>
  <c r="BL116" i="4"/>
  <c r="BM115" i="4"/>
  <c r="AG116" i="4"/>
  <c r="BK116" i="4" s="1"/>
  <c r="CM19" i="4" a="1"/>
  <c r="CM19" i="4" s="1"/>
  <c r="AK115" i="4"/>
  <c r="AL115" i="4" s="1"/>
  <c r="AM116" i="4"/>
  <c r="BI116" i="4"/>
  <c r="AF116" i="4"/>
  <c r="BH116" i="4" s="1"/>
  <c r="BJ116" i="4" s="1"/>
  <c r="AP115" i="4"/>
  <c r="AR115" i="4" s="1"/>
  <c r="AT116" i="4"/>
  <c r="AN116" i="4"/>
  <c r="AH116" i="4"/>
  <c r="AD116" i="4"/>
  <c r="AZ116" i="4"/>
  <c r="AY116" i="4"/>
  <c r="BA116" i="4" s="1"/>
  <c r="AQ116" i="4"/>
  <c r="BB115" i="4"/>
  <c r="BD115" i="4" s="1"/>
  <c r="AA116" i="4"/>
  <c r="AS116" i="4" s="1"/>
  <c r="AU116" i="4" s="1"/>
  <c r="AE116" i="4"/>
  <c r="AV115" i="4"/>
  <c r="AX115" i="4" s="1"/>
  <c r="B117" i="4"/>
  <c r="BR117" i="4" s="1"/>
  <c r="BV116" i="4" l="1"/>
  <c r="BW116" i="4"/>
  <c r="BV117" i="4"/>
  <c r="BW117" i="4"/>
  <c r="BU8" i="4" s="1"/>
  <c r="BT6" i="4" s="1"/>
  <c r="CM13" i="4" a="1"/>
  <c r="CM13" i="4" s="1"/>
  <c r="DH13" i="4" s="1"/>
  <c r="CM12" i="4" a="1"/>
  <c r="CM12" i="4" s="1"/>
  <c r="DE12" i="4" s="1"/>
  <c r="CM20" i="4" a="1"/>
  <c r="CM20" i="4" s="1"/>
  <c r="DE20" i="4" s="1"/>
  <c r="CS18" i="4" a="1"/>
  <c r="CS18" i="4" s="1"/>
  <c r="CS19" i="4" a="1"/>
  <c r="CS19" i="4" s="1"/>
  <c r="BS117" i="4"/>
  <c r="BS116" i="4"/>
  <c r="DE19" i="4"/>
  <c r="DH19" i="4"/>
  <c r="CM11" i="4" a="1"/>
  <c r="CM11" i="4" s="1"/>
  <c r="AW117" i="4"/>
  <c r="CJ14" i="4" s="1"/>
  <c r="AC117" i="4"/>
  <c r="BE117" i="4" s="1"/>
  <c r="AB117" i="4"/>
  <c r="BM116" i="4"/>
  <c r="BL117" i="4"/>
  <c r="CJ20" i="4" s="1"/>
  <c r="CS20" i="4" a="1"/>
  <c r="CS20" i="4" s="1"/>
  <c r="AG117" i="4"/>
  <c r="BK117" i="4" s="1"/>
  <c r="CR19" i="4" a="1"/>
  <c r="CR19" i="4" s="1"/>
  <c r="CX19" i="4" s="1"/>
  <c r="CR20" i="4" a="1"/>
  <c r="CR20" i="4" s="1"/>
  <c r="AK116" i="4"/>
  <c r="AL116" i="4" s="1"/>
  <c r="CM14" i="4" a="1"/>
  <c r="CM14" i="4" s="1"/>
  <c r="BI117" i="4"/>
  <c r="CJ18" i="4" s="1"/>
  <c r="AF117" i="4"/>
  <c r="BH117" i="4" s="1"/>
  <c r="CO18" i="4" s="1" a="1"/>
  <c r="CR18" i="4" a="1"/>
  <c r="CR18" i="4" s="1"/>
  <c r="CM18" i="4" a="1"/>
  <c r="CM18" i="4" s="1"/>
  <c r="CS12" i="4" a="1"/>
  <c r="CS12" i="4" s="1"/>
  <c r="AP116" i="4"/>
  <c r="AR116" i="4" s="1"/>
  <c r="AM117" i="4"/>
  <c r="CJ11" i="4" s="1"/>
  <c r="CM16" i="4" a="1"/>
  <c r="CM16" i="4" s="1"/>
  <c r="CS11" i="4" a="1"/>
  <c r="CS11" i="4" s="1"/>
  <c r="CS16" i="4" a="1"/>
  <c r="CS16" i="4" s="1"/>
  <c r="CM17" i="4" a="1"/>
  <c r="CM17" i="4" s="1"/>
  <c r="AD117" i="4"/>
  <c r="AT117" i="4"/>
  <c r="AN117" i="4"/>
  <c r="AH117" i="4"/>
  <c r="AZ117" i="4"/>
  <c r="CJ16" i="4" s="1" a="1"/>
  <c r="AY117" i="4"/>
  <c r="AQ117" i="4"/>
  <c r="CJ12" i="4" s="1"/>
  <c r="CR16" i="4" a="1"/>
  <c r="CR16" i="4" s="1"/>
  <c r="CR17" i="4" a="1"/>
  <c r="CR17" i="4" s="1"/>
  <c r="BB116" i="4"/>
  <c r="BD116" i="4" s="1"/>
  <c r="AA117" i="4"/>
  <c r="AS117" i="4" s="1"/>
  <c r="AE117" i="4"/>
  <c r="CS17" i="4" a="1"/>
  <c r="CS17" i="4" s="1"/>
  <c r="EK72" i="4" a="1"/>
  <c r="EK72" i="4" s="1"/>
  <c r="CR11" i="4" a="1"/>
  <c r="CR11" i="4" s="1"/>
  <c r="CR14" i="4" a="1"/>
  <c r="CR14" i="4" s="1"/>
  <c r="CS15" i="4" a="1"/>
  <c r="CS15" i="4" s="1"/>
  <c r="CM15" i="4" a="1"/>
  <c r="CM15" i="4" s="1"/>
  <c r="CR12" i="4" a="1"/>
  <c r="CR12" i="4" s="1"/>
  <c r="AV116" i="4"/>
  <c r="AX116" i="4" s="1"/>
  <c r="CR13" i="4" a="1"/>
  <c r="CR13" i="4" s="1"/>
  <c r="CS13" i="4" a="1"/>
  <c r="CS13" i="4" s="1"/>
  <c r="CS14" i="4" a="1"/>
  <c r="CS14" i="4" s="1"/>
  <c r="CR15" i="4" a="1"/>
  <c r="CR15" i="4" s="1"/>
  <c r="DF20" i="4" l="1"/>
  <c r="E2" i="4"/>
  <c r="DF18" i="4"/>
  <c r="DF14" i="4"/>
  <c r="DC18" i="4"/>
  <c r="DF12" i="4"/>
  <c r="DF11" i="4"/>
  <c r="DH11" i="4"/>
  <c r="DE11" i="4"/>
  <c r="DE13" i="4"/>
  <c r="DH12" i="4"/>
  <c r="DE18" i="4"/>
  <c r="DH18" i="4"/>
  <c r="DE17" i="4"/>
  <c r="DH17" i="4"/>
  <c r="DE16" i="4"/>
  <c r="DH16" i="4"/>
  <c r="DH14" i="4"/>
  <c r="DE14" i="4"/>
  <c r="CK6" i="4"/>
  <c r="DE15" i="4"/>
  <c r="DH15" i="4"/>
  <c r="BG117" i="4"/>
  <c r="CO15" i="4"/>
  <c r="CO20" i="4"/>
  <c r="AK117" i="4"/>
  <c r="AL117" i="4" s="1"/>
  <c r="BJ117" i="4"/>
  <c r="CO18" i="4"/>
  <c r="DA13" i="4"/>
  <c r="DA18" i="4"/>
  <c r="DG7" i="4"/>
  <c r="AP117" i="4"/>
  <c r="CO12" i="4" s="1"/>
  <c r="BA117" i="4"/>
  <c r="CO16" i="4"/>
  <c r="AU117" i="4"/>
  <c r="CO13" i="4"/>
  <c r="DA15" i="4"/>
  <c r="DA14" i="4"/>
  <c r="DA17" i="4"/>
  <c r="DA16" i="4"/>
  <c r="CJ13" i="4"/>
  <c r="EH72" i="4"/>
  <c r="DG9" i="4"/>
  <c r="DC16" i="4"/>
  <c r="DC17" i="4"/>
  <c r="BB117" i="4"/>
  <c r="DC15" i="4"/>
  <c r="DC14" i="4"/>
  <c r="DC13" i="4"/>
  <c r="DG8" i="4"/>
  <c r="AV117" i="4"/>
  <c r="CT15" i="4"/>
  <c r="AK119" i="4"/>
  <c r="CT13" i="4"/>
  <c r="CT20" i="4"/>
  <c r="CT12" i="4"/>
  <c r="CT16" i="4"/>
  <c r="DF13" i="4" l="1"/>
  <c r="CO11" i="4"/>
  <c r="CX15" i="4"/>
  <c r="CX20" i="4"/>
  <c r="BM117" i="4"/>
  <c r="AR117" i="4"/>
  <c r="DD12" i="4"/>
  <c r="BA5" i="4"/>
  <c r="BA6" i="4"/>
  <c r="CX12" i="4"/>
  <c r="DD11" i="4"/>
  <c r="BD117" i="4"/>
  <c r="CO17" i="4"/>
  <c r="CX16" i="4"/>
  <c r="AX117" i="4"/>
  <c r="CO14" i="4"/>
  <c r="CX13" i="4"/>
  <c r="CJ16" i="4"/>
  <c r="CT11" i="4"/>
  <c r="CT17" i="4"/>
  <c r="CT18" i="4"/>
  <c r="CT14" i="4"/>
  <c r="DF16" i="4" l="1"/>
  <c r="CX11" i="4"/>
  <c r="DD14" i="4"/>
  <c r="CX18" i="4"/>
  <c r="CX17" i="4"/>
  <c r="CX14" i="4"/>
</calcChain>
</file>

<file path=xl/comments1.xml><?xml version="1.0" encoding="utf-8"?>
<comments xmlns="http://schemas.openxmlformats.org/spreadsheetml/2006/main">
  <authors>
    <author>Kevin1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Kevin1:</t>
        </r>
        <r>
          <rPr>
            <sz val="9"/>
            <color indexed="81"/>
            <rFont val="Tahoma"/>
            <family val="2"/>
          </rPr>
          <t xml:space="preserve">
Value of 1 will divide the cases by population, in logisitic output and case column. Might Best to be 0 maybe when Solver run</t>
        </r>
      </text>
    </comment>
    <comment ref="Y10" authorId="0" shapeId="0">
      <text>
        <r>
          <rPr>
            <b/>
            <sz val="9"/>
            <color indexed="81"/>
            <rFont val="Tahoma"/>
            <family val="2"/>
          </rPr>
          <t>Kevin1: Switch to any country or state/province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Kevin1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Kevin1:</t>
        </r>
        <r>
          <rPr>
            <sz val="9"/>
            <color indexed="81"/>
            <rFont val="Tahoma"/>
            <family val="2"/>
          </rPr>
          <t xml:space="preserve">
These were expected form in the myData headings
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Kevin1:</t>
        </r>
        <r>
          <rPr>
            <sz val="9"/>
            <color indexed="81"/>
            <rFont val="Tahoma"/>
            <family val="2"/>
          </rPr>
          <t xml:space="preserve">
This are names as per JH WHO data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Kevin1:</t>
        </r>
        <r>
          <rPr>
            <sz val="9"/>
            <color indexed="81"/>
            <rFont val="Tahoma"/>
            <family val="2"/>
          </rPr>
          <t xml:space="preserve">
Names in JH data, or specials like Tests, Generic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Kevin1:</t>
        </r>
        <r>
          <rPr>
            <sz val="9"/>
            <color indexed="81"/>
            <rFont val="Tahoma"/>
            <family val="2"/>
          </rPr>
          <t xml:space="preserve">
Names in myData table headings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Kevin1:</t>
        </r>
        <r>
          <rPr>
            <sz val="9"/>
            <color indexed="81"/>
            <rFont val="Tahoma"/>
            <family val="2"/>
          </rPr>
          <t xml:space="preserve">
This is the first date to load into myData</t>
        </r>
      </text>
    </comment>
  </commentList>
</comments>
</file>

<file path=xl/sharedStrings.xml><?xml version="1.0" encoding="utf-8"?>
<sst xmlns="http://schemas.openxmlformats.org/spreadsheetml/2006/main" count="3849" uniqueCount="1895">
  <si>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</si>
  <si>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</si>
  <si>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</si>
  <si>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</si>
  <si>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</si>
  <si>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</si>
  <si>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</si>
  <si>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</si>
  <si>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</si>
  <si>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</si>
  <si>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</si>
  <si>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</si>
  <si>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</si>
  <si>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</si>
  <si>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</si>
  <si>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</si>
  <si>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</si>
  <si>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</si>
  <si>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</si>
  <si>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</si>
  <si>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</si>
  <si>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</si>
  <si>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</si>
  <si>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</si>
  <si>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</si>
  <si>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</si>
  <si>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</si>
  <si>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</si>
  <si>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</si>
  <si>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</si>
  <si>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</si>
  <si>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</si>
  <si>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</si>
  <si>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</si>
  <si>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</si>
  <si>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</si>
  <si>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</si>
  <si>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US</t>
  </si>
  <si>
    <t>Macau</t>
  </si>
  <si>
    <t>Hong Kong</t>
  </si>
  <si>
    <t>Singapore</t>
  </si>
  <si>
    <t>Vietnam</t>
  </si>
  <si>
    <t>France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</si>
  <si>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</si>
  <si>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</si>
  <si>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</si>
  <si>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</si>
  <si>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</si>
  <si>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</si>
  <si>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</si>
  <si>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</si>
  <si>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</si>
  <si>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</si>
  <si>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</si>
  <si>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</si>
  <si>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</si>
  <si>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</si>
  <si>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</si>
  <si>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</si>
  <si>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Russia</t>
  </si>
  <si>
    <t>Sweden</t>
  </si>
  <si>
    <t>Spain</t>
  </si>
  <si>
    <t>South Australia</t>
  </si>
  <si>
    <t>Belgium</t>
  </si>
  <si>
    <t>Egypt</t>
  </si>
  <si>
    <t>Iran</t>
  </si>
  <si>
    <t>From Diamond Princess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</si>
  <si>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</si>
  <si>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</si>
  <si>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</si>
  <si>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</si>
  <si>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</si>
  <si>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</si>
  <si>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</si>
  <si>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</si>
  <si>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</si>
  <si>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</si>
  <si>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</si>
  <si>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</si>
  <si>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</si>
  <si>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</si>
  <si>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</si>
  <si>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</si>
  <si>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</si>
  <si>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</si>
  <si>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</si>
  <si>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</si>
  <si>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</si>
  <si>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</si>
  <si>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</si>
  <si>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</si>
  <si>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</si>
  <si>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</si>
  <si>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</si>
  <si>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</si>
  <si>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</si>
  <si>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</si>
  <si>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</si>
  <si>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</si>
  <si>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</si>
  <si>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</si>
  <si>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</si>
  <si>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</si>
  <si>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</si>
  <si>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</si>
  <si>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</si>
  <si>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</si>
  <si>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</si>
  <si>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</si>
  <si>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</si>
  <si>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</si>
  <si>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</si>
  <si>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</si>
  <si>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</si>
  <si>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</si>
  <si>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Saint Barthelemy</t>
  </si>
  <si>
    <t>Hungary</t>
  </si>
  <si>
    <t>Northern Territory</t>
  </si>
  <si>
    <t>Faroe Islands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</si>
  <si>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</si>
  <si>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</si>
  <si>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</si>
  <si>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</si>
  <si>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</si>
  <si>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</si>
  <si>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</si>
  <si>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</si>
  <si>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</si>
  <si>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</si>
  <si>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</si>
  <si>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</si>
  <si>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</si>
  <si>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</si>
  <si>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French Guiana</t>
  </si>
  <si>
    <t>Malta</t>
  </si>
  <si>
    <t>Martinique</t>
  </si>
  <si>
    <t>Bulgaria</t>
  </si>
  <si>
    <t>Maldives</t>
  </si>
  <si>
    <t>Bangladesh</t>
  </si>
  <si>
    <t>Moldova</t>
  </si>
  <si>
    <t>Paraguay</t>
  </si>
  <si>
    <t>Ontario</t>
  </si>
  <si>
    <t>Alberta</t>
  </si>
  <si>
    <t>Quebec</t>
  </si>
  <si>
    <t>Albania</t>
  </si>
  <si>
    <t>Cyprus</t>
  </si>
  <si>
    <t>Brunei</t>
  </si>
  <si>
    <t>Diamond Princess</t>
  </si>
  <si>
    <t>Grand Princess</t>
  </si>
  <si>
    <t>Burkina Faso</t>
  </si>
  <si>
    <t>Holy See</t>
  </si>
  <si>
    <t>Mongolia</t>
  </si>
  <si>
    <t>Panama</t>
  </si>
  <si>
    <t>NSW</t>
  </si>
  <si>
    <t>Date</t>
  </si>
  <si>
    <t>Day 0</t>
  </si>
  <si>
    <t>b</t>
  </si>
  <si>
    <t>d</t>
  </si>
  <si>
    <t>Po</t>
  </si>
  <si>
    <r>
      <t>Asymptote</t>
    </r>
    <r>
      <rPr>
        <sz val="10"/>
        <rFont val="Symbol"/>
        <family val="1"/>
        <charset val="2"/>
      </rPr>
      <t xml:space="preserve"> b/d</t>
    </r>
  </si>
  <si>
    <t>Mean Sq Err</t>
  </si>
  <si>
    <t>(beta/Po)-delta</t>
  </si>
  <si>
    <t>delta*1000</t>
  </si>
  <si>
    <t>Days# Italy</t>
  </si>
  <si>
    <t>Day # NSW</t>
  </si>
  <si>
    <t>NSW LogiP(t)</t>
  </si>
  <si>
    <t>NSW Sq Err</t>
  </si>
  <si>
    <t>Asymptote b/d</t>
  </si>
  <si>
    <t>Day# Aust</t>
  </si>
  <si>
    <t>australia data day by day</t>
  </si>
  <si>
    <t>https://www.health.gov.au/news/health-alerts/novel-coronavirus-2019-ncov-health-alert#current-status</t>
  </si>
  <si>
    <t>P(t) = b / {d+[( b/Po - d ) ]* exp(-b*t)}</t>
  </si>
  <si>
    <t>Points</t>
  </si>
  <si>
    <t>Last Date</t>
  </si>
  <si>
    <t>Italy LogiP(t)</t>
  </si>
  <si>
    <t>Italy Sq Err</t>
  </si>
  <si>
    <t>China</t>
  </si>
  <si>
    <t>Czechia</t>
  </si>
  <si>
    <t>Taiwan*</t>
  </si>
  <si>
    <t>Bolivia</t>
  </si>
  <si>
    <t>St Martin</t>
  </si>
  <si>
    <t>Honduras</t>
  </si>
  <si>
    <t>New Brunswick</t>
  </si>
  <si>
    <t>Congo (Kinshasa)</t>
  </si>
  <si>
    <t>Cote d'Ivoire</t>
  </si>
  <si>
    <t>Jamaica</t>
  </si>
  <si>
    <t>Reunion</t>
  </si>
  <si>
    <t>Turkey</t>
  </si>
  <si>
    <t>AtDate</t>
  </si>
  <si>
    <t>NSW Under Investigation'</t>
  </si>
  <si>
    <t>NSW statistics, including test count and under investigation</t>
  </si>
  <si>
    <t>https://www.health.nsw.gov.au/news/Pages/20200312_00.aspx</t>
  </si>
  <si>
    <t xml:space="preserve">Increase NSW Tests/Day </t>
  </si>
  <si>
    <t>IncreasNSW Investig</t>
  </si>
  <si>
    <t>Korea South</t>
  </si>
  <si>
    <t>Cuba</t>
  </si>
  <si>
    <t>Guyana</t>
  </si>
  <si>
    <t>Australian Capital Territory</t>
  </si>
  <si>
    <t>Kazakhstan</t>
  </si>
  <si>
    <t>French Polynesia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</si>
  <si>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</si>
  <si>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</si>
  <si>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</si>
  <si>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</si>
  <si>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</si>
  <si>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</si>
  <si>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</si>
  <si>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</si>
  <si>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</si>
  <si>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USA</t>
  </si>
  <si>
    <t>US LogiP(t)</t>
  </si>
  <si>
    <t>US Sq Err</t>
  </si>
  <si>
    <t>Days# US</t>
  </si>
  <si>
    <t>SOLVER SOLUTION  APPLIES CONSTRAINTS VIA beta, delta, Po, so must update formulas when changing country row in E25:K25</t>
  </si>
  <si>
    <t>Asymptote</t>
  </si>
  <si>
    <t>32.9 k</t>
  </si>
  <si>
    <t>23.7 M</t>
  </si>
  <si>
    <t>Preview</t>
  </si>
  <si>
    <t>Sheet (and graph link)</t>
  </si>
  <si>
    <t>Chart Title</t>
  </si>
  <si>
    <t>Chart Series</t>
  </si>
  <si>
    <t>US Confirmed Cases, US Logistic Prediction</t>
  </si>
  <si>
    <t>NSW Confirmed Cases</t>
  </si>
  <si>
    <t>NSW Logistic Prediction</t>
  </si>
  <si>
    <t>NSW Confirmed Cases, NSW Logistic Prediction</t>
  </si>
  <si>
    <t>US Confirmed Cases</t>
  </si>
  <si>
    <t>US Logistic Prediction</t>
  </si>
  <si>
    <t>Italy Confirmed Cases</t>
  </si>
  <si>
    <t>ItalyLogistic Prediction</t>
  </si>
  <si>
    <t>Italy Confirmed Cases, ItalyLogistic Prediction</t>
  </si>
  <si>
    <t>Italy Logistic Prediction</t>
  </si>
  <si>
    <t>Italy Confirmed Cases, Italy Logistic Prediction</t>
  </si>
  <si>
    <t>Logistic Prediction</t>
  </si>
  <si>
    <t>COVID19 NSW Cases</t>
  </si>
  <si>
    <t>NSW Confirmed Cases, Logistic Prediction</t>
  </si>
  <si>
    <t>chtFutureItalyEarly</t>
  </si>
  <si>
    <t>chtFutureItaly</t>
  </si>
  <si>
    <t>chtFutureUSEarly</t>
  </si>
  <si>
    <t>chtFutureUS</t>
  </si>
  <si>
    <t>chtFutureNSWEarly</t>
  </si>
  <si>
    <t>chtFutureNSW</t>
  </si>
  <si>
    <t>Chart Index Chart 1</t>
  </si>
  <si>
    <t>OCAL HEALTH DISTRICTS </t>
  </si>
  <si>
    <t>OCCUPANC Y  </t>
  </si>
  <si>
    <t>ACUTE   </t>
  </si>
  <si>
    <t>ACUTE  </t>
  </si>
  <si>
    <t>NON-ADMITTED </t>
  </si>
  <si>
    <t>EMERGENCY </t>
  </si>
  <si>
    <t>                                                  R ATE   </t>
  </si>
  <si>
    <t>B E D  DAY S </t>
  </si>
  <si>
    <t>6 </t>
  </si>
  <si>
    <t>OVERNIGHT BED </t>
  </si>
  <si>
    <t>PATIENT SERVICE </t>
  </si>
  <si>
    <t>DEP T.  </t>
  </si>
  <si>
    <t>                                                 JUNE 18 </t>
  </si>
  <si>
    <t>DAY S </t>
  </si>
  <si>
    <t>EVENTS </t>
  </si>
  <si>
    <t>7 </t>
  </si>
  <si>
    <t>ATTENDANCES </t>
  </si>
  <si>
    <t>8 </t>
  </si>
  <si>
    <t>Justice and Forensic Mental Health Network </t>
  </si>
  <si>
    <t>n/a </t>
  </si>
  <si>
    <t>12,299 </t>
  </si>
  <si>
    <t>11,707 </t>
  </si>
  <si>
    <t>2,040,917 </t>
  </si>
  <si>
    <t>Sydney Children’s Hospitals Network </t>
  </si>
  <si>
    <t>94.2% </t>
  </si>
  <si>
    <t>175,539 </t>
  </si>
  <si>
    <t>152,810 </t>
  </si>
  <si>
    <t>440,545 </t>
  </si>
  <si>
    <t>95,658 </t>
  </si>
  <si>
    <t>South Western Sydney Local Health District </t>
  </si>
  <si>
    <t>98.5% </t>
  </si>
  <si>
    <t>656,898 </t>
  </si>
  <si>
    <t>548,960 </t>
  </si>
  <si>
    <t>1,129,620 </t>
  </si>
  <si>
    <t>284,379 </t>
  </si>
  <si>
    <t>South Eastern Sydney Local Health District </t>
  </si>
  <si>
    <t>95.5% </t>
  </si>
  <si>
    <t>483,112 </t>
  </si>
  <si>
    <t>412,339 </t>
  </si>
  <si>
    <t>1,278,989 </t>
  </si>
  <si>
    <t>2 2 7, 8 45 </t>
  </si>
  <si>
    <t>Illawarra Shoalhaven Local Health District </t>
  </si>
  <si>
    <t>96.1% </t>
  </si>
  <si>
    <t>260,883 </t>
  </si>
  <si>
    <t>224,031 </t>
  </si>
  <si>
    <t>653 , 474 </t>
  </si>
  <si>
    <t>159,718 </t>
  </si>
  <si>
    <t>Western Sydney Local Health District </t>
  </si>
  <si>
    <t>99.1% </t>
  </si>
  <si>
    <t>491,034 </t>
  </si>
  <si>
    <t>406,780 </t>
  </si>
  <si>
    <t>1,360,101 </t>
  </si>
  <si>
    <t>192,506 </t>
  </si>
  <si>
    <t>Nepean Blue Mountains Local Health District </t>
  </si>
  <si>
    <t>92.8% </t>
  </si>
  <si>
    <t>247,743 </t>
  </si>
  <si>
    <t>215,678 </t>
  </si>
  <si>
    <t>649,155 </t>
  </si>
  <si>
    <t>1 2 7, 6 8 4 </t>
  </si>
  <si>
    <t>Northern Sydney Local Health District </t>
  </si>
  <si>
    <t>93.8% </t>
  </si>
  <si>
    <t>508,146 </t>
  </si>
  <si>
    <t>4 47, 4 9 4 </t>
  </si>
  <si>
    <t>1,066,542 </t>
  </si>
  <si>
    <t>218,260 </t>
  </si>
  <si>
    <t>St Vincent’s Health Network </t>
  </si>
  <si>
    <t>89.2% </t>
  </si>
  <si>
    <t>1 7 7, 9 1 2  </t>
  </si>
  <si>
    <t>153,957 </t>
  </si>
  <si>
    <t>351,219 </t>
  </si>
  <si>
    <t>48,395 </t>
  </si>
  <si>
    <t>Sydney Local Health District </t>
  </si>
  <si>
    <t>88.3% </t>
  </si>
  <si>
    <t>521,053 </t>
  </si>
  <si>
    <t>441,924 </t>
  </si>
  <si>
    <t>1,316,622 </t>
  </si>
  <si>
    <t>164,421 </t>
  </si>
  <si>
    <t>Central Coast Local Health District </t>
  </si>
  <si>
    <t>92.5% </t>
  </si>
  <si>
    <t>249,244 </t>
  </si>
  <si>
    <t>209,940 </t>
  </si>
  <si>
    <t>6 5 7, 9 6 4 </t>
  </si>
  <si>
    <t>136,105 </t>
  </si>
  <si>
    <t>Hunter New England Local Health District </t>
  </si>
  <si>
    <t>76.0% </t>
  </si>
  <si>
    <t>633,096 </t>
  </si>
  <si>
    <t>539,904 </t>
  </si>
  <si>
    <t>2,119,776 </t>
  </si>
  <si>
    <t>418,963 </t>
  </si>
  <si>
    <t>Northern NSW Local Health District </t>
  </si>
  <si>
    <t>271,064 </t>
  </si>
  <si>
    <t>223,514 </t>
  </si>
  <si>
    <t>5 47, 5 3 9 </t>
  </si>
  <si>
    <t>206,851 </t>
  </si>
  <si>
    <t>Mid North Coast Local Health District </t>
  </si>
  <si>
    <t>94.8% </t>
  </si>
  <si>
    <t>264,339 </t>
  </si>
  <si>
    <t>226,375 </t>
  </si>
  <si>
    <t>552,832 </t>
  </si>
  <si>
    <t>126,363 </t>
  </si>
  <si>
    <t>Southern NSW Local Health District </t>
  </si>
  <si>
    <t>80.4% </t>
  </si>
  <si>
    <t>1 07, 0 6 5  </t>
  </si>
  <si>
    <t>83,172 </t>
  </si>
  <si>
    <t>320,525 </t>
  </si>
  <si>
    <t>112,768 </t>
  </si>
  <si>
    <t>Murrumbidgee Local Health District </t>
  </si>
  <si>
    <t>83.1% </t>
  </si>
  <si>
    <t>164,365 </t>
  </si>
  <si>
    <t>135,711 </t>
  </si>
  <si>
    <t>431,703 </t>
  </si>
  <si>
    <t>1 47, 9 6 4 </t>
  </si>
  <si>
    <t>Western NSW Local Health District </t>
  </si>
  <si>
    <t>80.7% </t>
  </si>
  <si>
    <t>213,434 </t>
  </si>
  <si>
    <t>180,063 </t>
  </si>
  <si>
    <t>675,082 </t>
  </si>
  <si>
    <t>1 8 7,1 1 3 </t>
  </si>
  <si>
    <t>Beds</t>
  </si>
  <si>
    <t>Far West Local Health District </t>
  </si>
  <si>
    <t>46.7% </t>
  </si>
  <si>
    <t>22,329 </t>
  </si>
  <si>
    <t>1 7, 9 1 9 </t>
  </si>
  <si>
    <t>108,848 </t>
  </si>
  <si>
    <t>25,715 </t>
  </si>
  <si>
    <t>TOTAL NSW </t>
  </si>
  <si>
    <t>90.2% </t>
  </si>
  <si>
    <t>5,459,555 </t>
  </si>
  <si>
    <t>4,632,278 </t>
  </si>
  <si>
    <t>15,701,453 </t>
  </si>
  <si>
    <t>Days# China</t>
  </si>
  <si>
    <t>Uruguay</t>
  </si>
  <si>
    <t>Ghana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</si>
  <si>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</si>
  <si>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</si>
  <si>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</si>
  <si>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</si>
  <si>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</si>
  <si>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</si>
  <si>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</si>
  <si>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</si>
  <si>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</si>
  <si>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</si>
  <si>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</si>
  <si>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</si>
  <si>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</si>
  <si>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China LogiP(t)</t>
  </si>
  <si>
    <t>China Sq Err</t>
  </si>
  <si>
    <t>beta</t>
  </si>
  <si>
    <t>betaChina</t>
  </si>
  <si>
    <t>betaItaly</t>
  </si>
  <si>
    <t>betaNSW</t>
  </si>
  <si>
    <t>betaPodelta</t>
  </si>
  <si>
    <t>betaPodeltaChina</t>
  </si>
  <si>
    <t>betaPodeltaItaly</t>
  </si>
  <si>
    <t>betaPodeltaNSW</t>
  </si>
  <si>
    <t>betaPodeltaUS</t>
  </si>
  <si>
    <t>betaUS</t>
  </si>
  <si>
    <t>ChinaCases</t>
  </si>
  <si>
    <t>=OFFSET(tblData[[#Headers],[China]],1,0,COUNTA(tblData[China]),1)</t>
  </si>
  <si>
    <t>ChinaDates</t>
  </si>
  <si>
    <t>=OFFSET(tblData[[#Headers],[Date]],1,0,COUNTA(tblData[China]),1)</t>
  </si>
  <si>
    <t>ChinaLogi</t>
  </si>
  <si>
    <t>=OFFSET(tblData[[#Headers],[China LogiP(t)]],1,0,COUNTA(tblData[Date]),1)</t>
  </si>
  <si>
    <t>=OFFSET(tblData[[#Headers],[Date]],1,0,COUNTA(tblData[Date]),1)</t>
  </si>
  <si>
    <t>delta</t>
  </si>
  <si>
    <t>deltaChina</t>
  </si>
  <si>
    <t>deltaItaly</t>
  </si>
  <si>
    <t>deltaNSW</t>
  </si>
  <si>
    <t>deltaUS</t>
  </si>
  <si>
    <t>ItalyCases</t>
  </si>
  <si>
    <t>=OFFSET(tblData[[#Headers],[Italy]],MATCH(0,tblData[Italy],0),0,COUNTA(tblData[Italy]),1)</t>
  </si>
  <si>
    <t>ItalyDates</t>
  </si>
  <si>
    <t>=OFFSET(tblData[[#Headers],[Date]],MATCH(0,tblData[Italy],0),0,COUNTA(tblData[Italy]),1)</t>
  </si>
  <si>
    <t>ItalyLogi</t>
  </si>
  <si>
    <t>=OFFSET(tblData[[#Headers],[Italy LogiP(t)]],MATCH(0,tblData[Italy],0),0,COUNTA(tblData[Date])-MATCH(0,tblData[Italy],0)+1,1)</t>
  </si>
  <si>
    <t>ItalyLogiDates</t>
  </si>
  <si>
    <t>=OFFSET(tblData[[#Headers],[Date]],MATCH(0,tblData[Italy],0),0,COUNTA(tblData[Date])-MATCH(0,tblData[Italy],0)+1,1)</t>
  </si>
  <si>
    <t>msqChina</t>
  </si>
  <si>
    <t>msqItaly</t>
  </si>
  <si>
    <t>msqNSW</t>
  </si>
  <si>
    <t>msqUS</t>
  </si>
  <si>
    <t>NSWCases</t>
  </si>
  <si>
    <t>=OFFSET(tblData[[#Headers],[NSW]],MATCH(0,tblData[NSW],0),0,COUNTA(tblData[New South Wales])-MATCH(0,tblData[NSW],0)+1,1)</t>
  </si>
  <si>
    <t>NSWDates</t>
  </si>
  <si>
    <t>=OFFSET(tblData[[#Headers],[Date]],MATCH(0,tblData[NSW],0),0,COUNTA(tblData[New South Wales])-MATCH(0,tblData[NSW],0)+1,1)</t>
  </si>
  <si>
    <t>NSWLogi</t>
  </si>
  <si>
    <t>=OFFSET(tblData[[#Headers],[NSW LogiP(t)]],MATCH(0,tblData[NSW],0),0,COUNTA(tblData[Date])-MATCH(0,tblData[NSW],0)+1,1)</t>
  </si>
  <si>
    <t>NSWLogiDates</t>
  </si>
  <si>
    <t>=OFFSET(tblData[[#Headers],[Date]],MATCH(0,tblData[NSW],0),0,COUNTA(tblData[Date])-MATCH(0,tblData[NSW],0)+1,1)</t>
  </si>
  <si>
    <t>PoChina</t>
  </si>
  <si>
    <t>PoItaly</t>
  </si>
  <si>
    <t>PoNSW</t>
  </si>
  <si>
    <t>PoUS</t>
  </si>
  <si>
    <t>USCases</t>
  </si>
  <si>
    <t>USDates</t>
  </si>
  <si>
    <t>USDays</t>
  </si>
  <si>
    <t>USLogi</t>
  </si>
  <si>
    <t>USLogiDates</t>
  </si>
  <si>
    <t>myData</t>
  </si>
  <si>
    <t>myData!beta</t>
  </si>
  <si>
    <t>=myData!$A$2</t>
  </si>
  <si>
    <t>myData!betaChina</t>
  </si>
  <si>
    <t>myData!betaItaly</t>
  </si>
  <si>
    <t>myData!betaNSW</t>
  </si>
  <si>
    <t>myData!betaPodelta</t>
  </si>
  <si>
    <t>=myData!$F$2</t>
  </si>
  <si>
    <t>myData!betaPodeltaChina</t>
  </si>
  <si>
    <t>myData!betaPodeltaItaly</t>
  </si>
  <si>
    <t>myData!betaPodeltaNSW</t>
  </si>
  <si>
    <t>myData!betaPodeltaUS</t>
  </si>
  <si>
    <t>myData!betaUS</t>
  </si>
  <si>
    <t>myData!ChinaCases</t>
  </si>
  <si>
    <t>myData!ChinaDates</t>
  </si>
  <si>
    <t>myData!ChinaLogi</t>
  </si>
  <si>
    <t>myData!delta</t>
  </si>
  <si>
    <t>=myData!$B$2</t>
  </si>
  <si>
    <t>myData!deltaChina</t>
  </si>
  <si>
    <t>myData!deltaItaly</t>
  </si>
  <si>
    <t>myData!deltaNSW</t>
  </si>
  <si>
    <t>myData!deltaUS</t>
  </si>
  <si>
    <t>myData!ItalyCases</t>
  </si>
  <si>
    <t>myData!ItalyDates</t>
  </si>
  <si>
    <t>myData!ItalyLogi</t>
  </si>
  <si>
    <t>myData!ItalyLogiDates</t>
  </si>
  <si>
    <t>myData!msqChina</t>
  </si>
  <si>
    <t>myData!msqItaly</t>
  </si>
  <si>
    <t>myData!msqNSW</t>
  </si>
  <si>
    <t>myData!msqUS</t>
  </si>
  <si>
    <t>myData!NSWCases</t>
  </si>
  <si>
    <t>myData!NSWDates</t>
  </si>
  <si>
    <t>myData!NSWLogi</t>
  </si>
  <si>
    <t>myData!NSWLogiDates</t>
  </si>
  <si>
    <t>myData!Po</t>
  </si>
  <si>
    <t>=myData!$C$2</t>
  </si>
  <si>
    <t>myData!PoChina</t>
  </si>
  <si>
    <t>myData!PoItaly</t>
  </si>
  <si>
    <t>myData!PoNSW</t>
  </si>
  <si>
    <t>myData!PoUS</t>
  </si>
  <si>
    <t>myData!USCases</t>
  </si>
  <si>
    <t>myData!USDates</t>
  </si>
  <si>
    <t>myData!USDays</t>
  </si>
  <si>
    <t>myData!USLogi</t>
  </si>
  <si>
    <t>myData!USLogiDates</t>
  </si>
  <si>
    <t>80.9 k</t>
  </si>
  <si>
    <t>36.4 k</t>
  </si>
  <si>
    <t xml:space="preserve">698  </t>
  </si>
  <si>
    <t xml:space="preserve">542  </t>
  </si>
  <si>
    <t>149 k</t>
  </si>
  <si>
    <t>10.0 k</t>
  </si>
  <si>
    <t>Parameter List</t>
  </si>
  <si>
    <t>ChartLabel</t>
  </si>
  <si>
    <t>Logistic Eqn</t>
  </si>
  <si>
    <t>Message</t>
  </si>
  <si>
    <t>Solver found a solution. All constraints and optimality conditions are satisfied.</t>
  </si>
  <si>
    <t>Solver has converged to the current solution. All constraints are satisfied.</t>
  </si>
  <si>
    <t>Solver cannot improve the current solution. All constraints are satisfied.</t>
  </si>
  <si>
    <t>Stop chosen when the maximum iteration limit was reached.</t>
  </si>
  <si>
    <t>The Objective Cell values do not converge.</t>
  </si>
  <si>
    <t>Solver could not find a feasible solution.</t>
  </si>
  <si>
    <t>Solver stopped at user's request.</t>
  </si>
  <si>
    <t>The linearity conditions required by this LP Solver are not satisfied.</t>
  </si>
  <si>
    <t>The problem is too large for Solver to handle.</t>
  </si>
  <si>
    <t>Solver encountered an error value in a target or constraint cell.</t>
  </si>
  <si>
    <t>Stop chosen when the maximum time limit was reached.</t>
  </si>
  <si>
    <t>There is not enough memory available to solve the problem.</t>
  </si>
  <si>
    <t>Error in model. Please verify that all cells and constraints are valid.</t>
  </si>
  <si>
    <t>Solver found an integer solution within tolerance. All constraints are satisfied.</t>
  </si>
  <si>
    <t>Stop chosen when the maximum number of feasible [integer] solutions was reached.</t>
  </si>
  <si>
    <t>Stop chosen when the maximum number of feasible [integer] subproblems was reached.</t>
  </si>
  <si>
    <t>Solver converged in probability to a global solution.</t>
  </si>
  <si>
    <t>All variables must have both upper and lower bounds.</t>
  </si>
  <si>
    <t>Variable bounds conflict in binary or all different constraint.</t>
  </si>
  <si>
    <t>Lower and upper bounds on variables allow no feasible solution.</t>
  </si>
  <si>
    <t>Value</t>
  </si>
  <si>
    <t>Country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</si>
  <si>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</si>
  <si>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</si>
  <si>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</si>
  <si>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</si>
  <si>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</si>
  <si>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</si>
  <si>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</si>
  <si>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MaxCases</t>
  </si>
  <si>
    <t>SeriesLabel</t>
  </si>
  <si>
    <t>Sort Order</t>
  </si>
  <si>
    <t>chtFutureAll</t>
  </si>
  <si>
    <t>SERIES("NSW Confirmed Cases",myData!NSWDates,myData!NSWCases,1)</t>
  </si>
  <si>
    <t>NSW Limit 149 k</t>
  </si>
  <si>
    <t>SERIES(myData!NSWSeries,myData!NSWLogiDates,myData!NSWLogi,2)</t>
  </si>
  <si>
    <t>SERIES("Italy Confirmed Cases",myData!ItalyDates,myData!ItalyCases,3)</t>
  </si>
  <si>
    <t>Italy Limit 40.1 k</t>
  </si>
  <si>
    <t>SERIES(myData!ItalySeries,myData!ItalyLogiDates,myData!ItalyLogi,4)</t>
  </si>
  <si>
    <t>SERIES("US Confirmed Cases",myData!USDates,myData!USCases,5)</t>
  </si>
  <si>
    <t>USA Limit 7.25 k</t>
  </si>
  <si>
    <t>SERIES(myData!USSeries,myData!USLogiDates,myData!USLogi,6)</t>
  </si>
  <si>
    <t>China Limit 80.9 k</t>
  </si>
  <si>
    <t>SERIES(myData!ChinaSeries,myData!ChinaLogiDates,myData!ChinaLogi,7)</t>
  </si>
  <si>
    <t>China Cases</t>
  </si>
  <si>
    <t>SERIES("China Cases",myData!ChinaDates,myData!ChinaCases,8)</t>
  </si>
  <si>
    <t>COVID19 Best Fits 14-Mar-2020</t>
  </si>
  <si>
    <t>NSW Confirmed Cases, NSW Limit 149 k, Italy Confirmed Cases, Italy Limit 40.1 k, US Confirmed Cases, USA Limit 7.25 k, China Limit 80.9 k, China Cases</t>
  </si>
  <si>
    <t>SERIES("Italy Confirmed Cases",myData!ItalyDates,myData!ItalyCases,1)</t>
  </si>
  <si>
    <t>SERIES("ItalyLogistic Prediction",myData!ItalyLogiDates,myData!ItalyLogi,2)</t>
  </si>
  <si>
    <t>COVID19 Italy P(t) = b / {d+[( b/Po - d ) ]* exp(-b*t)}
b=0.262, d=6.55E-06, P0=.4406 Limit=40.1 k
 15-Mar</t>
  </si>
  <si>
    <t>SERIES("Italy Logistic Prediction",myData!ItalyLogiDates,myData!ItalyLogi,2)</t>
  </si>
  <si>
    <t>SERIES("US Confirmed Cases",myData!USDates,myData!USCases,1)</t>
  </si>
  <si>
    <t>SERIES("US Logistic Prediction",myData!USLogiDates,myData!USLogi,2)</t>
  </si>
  <si>
    <t>COVID19 USA P(t) = b / {d+[( b/Po - d ) ]* exp(-b*t)}
b=0.342, d=4.72E-05, P0=.0532 Limit=7.25 k
 15-Mar</t>
  </si>
  <si>
    <t>SERIES("NSW Logistic Prediction",myData!NSWLogiDates,myData!NSWLogi,2)</t>
  </si>
  <si>
    <t>COVID19 NSW P(t) = b / {d+[( b/Po - d ) ]* exp(-b*t)}
b=0.185, d=1.23E-06, P0=.0132 Limit=149 k
 15-Mar</t>
  </si>
  <si>
    <t>chtFutureChina</t>
  </si>
  <si>
    <t>China Logi Prediction</t>
  </si>
  <si>
    <t>SERIES("China Logi Prediction",myData!ChinaLogiDates,myData!ChinaLogi,1)</t>
  </si>
  <si>
    <t>China Confirmed Cases</t>
  </si>
  <si>
    <t>SERIES("China Confirmed Cases",myData!ChinaDates,myData!ChinaCases,2)</t>
  </si>
  <si>
    <t>COVID19 China P(t) = b / {d+[( b/Po - d ) ]* exp(-b*t)}
b=0.222, d=2.75E-06, P0=1537.6493 Limit=80.9 k
 15-Mar</t>
  </si>
  <si>
    <t>China Logi Prediction, China Confirmed Cases</t>
  </si>
  <si>
    <t>SERIES("Logistic Prediction",myData!NSWLogiDates,myData!NSWLogi,2)</t>
  </si>
  <si>
    <t>NSW Test Logi</t>
  </si>
  <si>
    <t>NSW Test Sq Err</t>
  </si>
  <si>
    <t>NSW Test Day Number</t>
  </si>
  <si>
    <t>Population</t>
  </si>
  <si>
    <t>Apply Population Scaling</t>
  </si>
  <si>
    <t>Population Divisor</t>
  </si>
  <si>
    <t>NSW Cases per Capita</t>
  </si>
  <si>
    <t>Italy Cases per Capita</t>
  </si>
  <si>
    <t>Use Count</t>
  </si>
  <si>
    <t>myData!Asymptote</t>
  </si>
  <si>
    <t>=myData!$D$2</t>
  </si>
  <si>
    <t>=myData!$E$15</t>
  </si>
  <si>
    <t>=myData!$E$13</t>
  </si>
  <si>
    <t>=myData!$E$12</t>
  </si>
  <si>
    <t>=myData!$J$15</t>
  </si>
  <si>
    <t>=myData!$J$13</t>
  </si>
  <si>
    <t>=myData!$J$12</t>
  </si>
  <si>
    <t>betaPodeltaTest</t>
  </si>
  <si>
    <t>myData!betaPodeltaTest</t>
  </si>
  <si>
    <t>=myData!$AH$2</t>
  </si>
  <si>
    <t>=myData!$J$14</t>
  </si>
  <si>
    <t>betaTest</t>
  </si>
  <si>
    <t>myData!betaTest</t>
  </si>
  <si>
    <t>=myData!$AC$2</t>
  </si>
  <si>
    <t>=myData!$E$14</t>
  </si>
  <si>
    <t>ChinaLogiDates</t>
  </si>
  <si>
    <t>myData!ChinaLogiDates</t>
  </si>
  <si>
    <t>ChinaSeries</t>
  </si>
  <si>
    <t>myData!ChinaSeries</t>
  </si>
  <si>
    <t>=myData!$T$15</t>
  </si>
  <si>
    <t>Countries</t>
  </si>
  <si>
    <t>=solvMsgs!$E$1:$E$5</t>
  </si>
  <si>
    <t>=myData!$F$15</t>
  </si>
  <si>
    <t>=myData!$F$13</t>
  </si>
  <si>
    <t>=myData!$F$12</t>
  </si>
  <si>
    <t>deltaTest</t>
  </si>
  <si>
    <t>myData!deltaTest</t>
  </si>
  <si>
    <t>=myData!$AD$2</t>
  </si>
  <si>
    <t>=myData!$F$14</t>
  </si>
  <si>
    <t>ItalySeries</t>
  </si>
  <si>
    <t>myData!ItalySeries</t>
  </si>
  <si>
    <t>=myData!$T$13</t>
  </si>
  <si>
    <t>=myData!$I$15</t>
  </si>
  <si>
    <t>=myData!$I$13</t>
  </si>
  <si>
    <t>=myData!$I$12</t>
  </si>
  <si>
    <t>msqTest</t>
  </si>
  <si>
    <t>myData!msqTest</t>
  </si>
  <si>
    <t>=myData!$AG$2</t>
  </si>
  <si>
    <t>=myData!$I$14</t>
  </si>
  <si>
    <t>mySolverPar</t>
  </si>
  <si>
    <t>myData!mySolverPar</t>
  </si>
  <si>
    <t>=myData!$A$2:$E$2</t>
  </si>
  <si>
    <t>NSWSeries</t>
  </si>
  <si>
    <t>myData!NSWSeries</t>
  </si>
  <si>
    <t>=myData!$T$12</t>
  </si>
  <si>
    <t>=myData!$G$15</t>
  </si>
  <si>
    <t>=myData!$G$13</t>
  </si>
  <si>
    <t>=myData!$G$12</t>
  </si>
  <si>
    <t>PopScaling</t>
  </si>
  <si>
    <t>myData!PopScaling</t>
  </si>
  <si>
    <t>=myData!$J$2</t>
  </si>
  <si>
    <t>PoTest</t>
  </si>
  <si>
    <t>myData!PoTest</t>
  </si>
  <si>
    <t>=myData!$AE$2</t>
  </si>
  <si>
    <t>=myData!$G$14</t>
  </si>
  <si>
    <t>SolverMsg</t>
  </si>
  <si>
    <t>=solvMsgs!$A$1:$B$21</t>
  </si>
  <si>
    <t>USSeries</t>
  </si>
  <si>
    <t>myData!USSeries</t>
  </si>
  <si>
    <t>=myData!$T$14</t>
  </si>
  <si>
    <t>Old String</t>
  </si>
  <si>
    <t>New String</t>
  </si>
  <si>
    <t>WS Scope</t>
  </si>
  <si>
    <t>Name</t>
  </si>
  <si>
    <t>WorkSheet Names</t>
  </si>
  <si>
    <t>RefersTo</t>
  </si>
  <si>
    <t>RefersToLocal</t>
  </si>
  <si>
    <t>[China]</t>
  </si>
  <si>
    <t>[China LogiP(t)]</t>
  </si>
  <si>
    <t>[China LogiP(t) Per Capita]</t>
  </si>
  <si>
    <t>China Cases Per Capita</t>
  </si>
  <si>
    <t>US Cases Per Capita</t>
  </si>
  <si>
    <t>=OFFSET(tblData[[#Headers],[US Cases]],MATCH(0,tblData[US Cases],0),0,COUNTA(tblData[US Cases]),1)</t>
  </si>
  <si>
    <t>=OFFSET(tblData[[#Headers],[Date]],MATCH(0,tblData[US Cases],0),0,COUNTA(tblData[US Cases]),1)</t>
  </si>
  <si>
    <t>=OFFSET(tblData[[#Headers],[Days'# US]],MATCH(0,tblData[US Cases],0),0,COUNTA(tblData[US Cases]),1)</t>
  </si>
  <si>
    <t>=OFFSET(tblData[[#Headers],[US LogiP(t)]],MATCH(0,tblData[US Cases],0),0,COUNTA(tblData[Date])-MATCH(0,tblData[US Cases],0)+1,1)</t>
  </si>
  <si>
    <t>=OFFSET(tblData[[#Headers],[Date]],MATCH(0,tblData[US Cases],0),0,COUNTA(tblData[Date])-MATCH(0,tblData[US Cases],0)+1,1)</t>
  </si>
  <si>
    <t>[US Cases]</t>
  </si>
  <si>
    <t>[US Cases per Capita]</t>
  </si>
  <si>
    <t>[US LogiP(t)]</t>
  </si>
  <si>
    <t>[US LogiP(t) Per Capita]</t>
  </si>
  <si>
    <t>[Italy]</t>
  </si>
  <si>
    <t>[Italy LogiP(t]]</t>
  </si>
  <si>
    <t>[Italy LogiP(t) Per Capita]</t>
  </si>
  <si>
    <t>[NSW]</t>
  </si>
  <si>
    <t>[NSW LogitP(t)]</t>
  </si>
  <si>
    <t>[NSW LogiP(t} Per Capita]</t>
  </si>
  <si>
    <t>[China Cases Per Capita]</t>
  </si>
  <si>
    <t>=OFFSET(tblData[[#Headers],[China Cases Per Capita]],1,0,COUNTA(tblData[China Cases Per Capita]),1)</t>
  </si>
  <si>
    <t>Italy LogiP(t) Per Capita</t>
  </si>
  <si>
    <t>China LogiP(t) Per Capita</t>
  </si>
  <si>
    <t>Nsw LogiP(t) Per Capita</t>
  </si>
  <si>
    <t>=OFFSET(tblData[[#Headers],[China LogiP(t) Per Capita]],1,0,COUNTA(tblData[Date]),1)</t>
  </si>
  <si>
    <t>[Italy Cases Per Capita]</t>
  </si>
  <si>
    <t>[NSW Cases Per Capita]</t>
  </si>
  <si>
    <t>=OFFSET(tblData[[#Headers],[Italy Cases Per Capita]],MATCH(0,tblData[Italy Cases Per Capita],0),0,COUNTA(tblData[Italy Cases Per Capita]),1)</t>
  </si>
  <si>
    <t>=OFFSET(tblData[[#Headers],[NSW Cases Per Capita]],MATCH(0,tblData[NSW Cases Per Capita],0),0,COUNTA(tblData[New South Wales])-MATCH(0,tblData[NSW Cases Per Capita],0)+1,1)</t>
  </si>
  <si>
    <t>=OFFSET(tblData[[#Headers],[US Cases per Capita]],MATCH(0,tblData[US Cases per Capita],0),0,COUNTA(tblData[US Cases per Capita]),1)</t>
  </si>
  <si>
    <t>US LogiP(t) Per Capita</t>
  </si>
  <si>
    <t>PerPerson</t>
  </si>
  <si>
    <t>Asymp PerP</t>
  </si>
  <si>
    <t>NSW population</t>
  </si>
  <si>
    <t>NSW population (norm)</t>
  </si>
  <si>
    <t>1.91 G</t>
  </si>
  <si>
    <t>2.36 G</t>
  </si>
  <si>
    <t>b=0.191, d=1.00E-10, P0=.0101 Limit=2.36 G</t>
  </si>
  <si>
    <t>NSW Limit 2.36 G</t>
  </si>
  <si>
    <t>42.7 k</t>
  </si>
  <si>
    <t>7.06 k</t>
  </si>
  <si>
    <t>b=0.262, d=6.14E-06, P0=.4409 Limit=7.06 k</t>
  </si>
  <si>
    <t>Italy Limit 7.06 k</t>
  </si>
  <si>
    <t>7.93 k</t>
  </si>
  <si>
    <t xml:space="preserve">241  </t>
  </si>
  <si>
    <t xml:space="preserve">b=0.361, d=4.56E-05, P0=.0293 Limit=241  </t>
  </si>
  <si>
    <t xml:space="preserve">USA Limit 241  </t>
  </si>
  <si>
    <t xml:space="preserve">562  </t>
  </si>
  <si>
    <t xml:space="preserve">b=0.222, d=2.75E-06, P0=1537.6493 Limit=562  </t>
  </si>
  <si>
    <t xml:space="preserve">China Limit 562  </t>
  </si>
  <si>
    <t>Notes</t>
  </si>
  <si>
    <t xml:space="preserve"> - Prediction without last day</t>
  </si>
  <si>
    <t>1.90 G</t>
  </si>
  <si>
    <t>b=0.19, d=1.00E-10, P0=.0101 Limit=1.90 G</t>
  </si>
  <si>
    <t>NSW Limit 1.90 G</t>
  </si>
  <si>
    <t>COVID19 NSW P(t) = b / {d+[( b/Po - d ) ]* exp(-b*t)}
b=0.19, d=1.00E-10, P0=.0101 Limit=1.90 G
 16-Mar</t>
  </si>
  <si>
    <t>Day0</t>
  </si>
  <si>
    <t>History of Fits Table</t>
  </si>
  <si>
    <t>Tests</t>
  </si>
  <si>
    <t>Au</t>
  </si>
  <si>
    <t>Au Cases Per Capita</t>
  </si>
  <si>
    <t>Au LogiP(t)</t>
  </si>
  <si>
    <t>AU Sq Err</t>
  </si>
  <si>
    <t>Au LogiP(t) Per Capita</t>
  </si>
  <si>
    <t>1.98 G</t>
  </si>
  <si>
    <t>782 M</t>
  </si>
  <si>
    <t>b=0.198, d=1.00E-10, P0=.0152 Limit=782 M</t>
  </si>
  <si>
    <t>Australia Limit 782 M</t>
  </si>
  <si>
    <t>COVID19 Australia P(t) = b / {d+[( b/Po - d ) ]* exp(-b*t)}
b=0.198, d=1.00E-10, P0=.0152 Limit=782 M
 18-Mar, Cases per 10 M population</t>
  </si>
  <si>
    <t>2.02 G</t>
  </si>
  <si>
    <t>2.50 G</t>
  </si>
  <si>
    <t>b=0.202, d=1.00E-10, P0=.0058 Limit=2.50 G</t>
  </si>
  <si>
    <t>NSW Limit 2.50 G</t>
  </si>
  <si>
    <t>COVID19 NSW P(t) = b / {d+[( b/Po - d ) ]* exp(-b*t)}
b=0.202, d=1.00E-10, P0=.0058 Limit=2.50 G
 18-Mar, Cases per 10 M population</t>
  </si>
  <si>
    <t>44.8 k</t>
  </si>
  <si>
    <t>7.41 k</t>
  </si>
  <si>
    <t>b=0.262, d=5.84E-06, P0=.441 Limit=7.41 k</t>
  </si>
  <si>
    <t>Italy Limit 7.41 k</t>
  </si>
  <si>
    <t>COVID19 Italy P(t) = b / {d+[( b/Po - d ) ]* exp(-b*t)}
b=0.262, d=5.84E-06, P0=.441 Limit=7.41 k
 17-Mar, Cases per 10 M population</t>
  </si>
  <si>
    <t>2.77 G</t>
  </si>
  <si>
    <t>84.1 M</t>
  </si>
  <si>
    <t>b=0.277, d=1.00E-10, P0=.2947 Limit=84.1 M</t>
  </si>
  <si>
    <t>USA Limit 84.1 M</t>
  </si>
  <si>
    <t>COVID19 USA P(t) = b / {d+[( b/Po - d ) ]* exp(-b*t)}
b=0.277, d=1.00E-10, P0=.2947 Limit=84.1 M
 17-Mar, Cases per 10 M population
 - Prediction without last day</t>
  </si>
  <si>
    <t>COVID19 China P(t) = b / {d+[( b/Po - d ) ]* exp(-b*t)}
b=0.222, d=2.75E-06, P0=1537.6493 Limit=562  
 17-Mar, Cases per 10 M population</t>
  </si>
  <si>
    <t>Date of NSW Case Match</t>
  </si>
  <si>
    <t>Data of AUS Case Match</t>
  </si>
  <si>
    <t>Days NSW is Behind</t>
  </si>
  <si>
    <t>Days AU is Behind</t>
  </si>
  <si>
    <t>Max Cases Per Capita</t>
  </si>
  <si>
    <t>COVID19 Australia 
b=0.198, d=1.00E-10, P0=.0152 Limit=782 M
 19-Mar, Cases per 10 M population</t>
  </si>
  <si>
    <t>At Thu 19-Mar Australia 251 cases per 10M was 18 days behind Italy, 0 days behind USA &amp; 40 days behind China</t>
  </si>
  <si>
    <t>COVID19 NSW 
b=0.202, d=1.00E-10, P0=.0058 Limit=2.50 G
 19-Mar, Cases per 10 M population</t>
  </si>
  <si>
    <t>At Thu 19-Mar Australia 380 cases per 10M was 16 days behind Italy, 2 days ahead of USA &amp; 35 days behind China</t>
  </si>
  <si>
    <t>COVID19 Italy 
b=0.262, d=5.84E-06, P0=.441 Limit=7.41 k
 18-Mar, Cases per 10 M population</t>
  </si>
  <si>
    <t>2.99 M</t>
  </si>
  <si>
    <t>90.8 k</t>
  </si>
  <si>
    <t>b=0.27, d=9.02E-08, P0=.2896 Limit=90.8 k</t>
  </si>
  <si>
    <t>USA Limit 90.8 k</t>
  </si>
  <si>
    <t>COVID19 USA 
b=0.27, d=9.02E-08, P0=.2896 Limit=90.8 k
 18-Mar, Cases per 10 M population
 - Prediction without last day</t>
  </si>
  <si>
    <t>COVID19 China 
b=0.222, d=2.75E-06, P0=1537.6493 Limit=562  
 18-Mar, Cases per 10 M population</t>
  </si>
  <si>
    <t>Tests Limit 2.50 G</t>
  </si>
  <si>
    <t>COVID19  NSWTests 
b=0.202, d=1.00E-10, P0=.0058 Limit=2.50 G
 18-Mar, Cases per 10 M population</t>
  </si>
  <si>
    <t>XY Data for Plotting Population Limit</t>
  </si>
  <si>
    <t>United Kingdom</t>
  </si>
  <si>
    <t>_FilterDatabase</t>
  </si>
  <si>
    <t>Names</t>
  </si>
  <si>
    <t>Names!_FilterDatabase</t>
  </si>
  <si>
    <t>=Names!$A$1:$P$56</t>
  </si>
  <si>
    <t>time_series_19-covid-Confirmed'</t>
  </si>
  <si>
    <t>time_series_19-covid-Confirmed'!_FilterDatabase</t>
  </si>
  <si>
    <t>='time_series_19-covid-Confirmed'!$A$1:$DP$453</t>
  </si>
  <si>
    <t>AuCases</t>
  </si>
  <si>
    <t>myData!AuCases</t>
  </si>
  <si>
    <t>=OFFSET(tblData[[#Headers],[Au Cases Per Capita]],MATCH(0,tblData[Au Cases Per Capita],0),0,COUNTA(tblData[New South Wales])-MATCH(0,tblData[NSW Cases per Capita],0)+1,1)</t>
  </si>
  <si>
    <t>AuDates</t>
  </si>
  <si>
    <t>myData!AuDates</t>
  </si>
  <si>
    <t>=myData!NSWDates</t>
  </si>
  <si>
    <t>AuLogi</t>
  </si>
  <si>
    <t>myData!AuLogi</t>
  </si>
  <si>
    <t>=OFFSET(tblData[[#Headers],[Au LogiP(t) Per Capita]],MATCH(0,tblData[NSW],0),0,COUNTA(tblData[Date])-MATCH(0,tblData[NSW],0)+1,1)</t>
  </si>
  <si>
    <t>AuLogiDates</t>
  </si>
  <si>
    <t>myData!AuLogiDates</t>
  </si>
  <si>
    <t>AuMaxCasespc</t>
  </si>
  <si>
    <t>myData!AuMaxCasespc</t>
  </si>
  <si>
    <t>=myData!$BV$11</t>
  </si>
  <si>
    <t>AuPop</t>
  </si>
  <si>
    <t>myData!AuPop</t>
  </si>
  <si>
    <t>=myData!$W$8</t>
  </si>
  <si>
    <t>AuSeries</t>
  </si>
  <si>
    <t>myData!AuSeries</t>
  </si>
  <si>
    <t>=myData!$BS$11</t>
  </si>
  <si>
    <t>betaAu</t>
  </si>
  <si>
    <t>myData!betaAu</t>
  </si>
  <si>
    <t>=myData!$BC$11</t>
  </si>
  <si>
    <t>=myData!$BC$15</t>
  </si>
  <si>
    <t>=myData!$BC$13</t>
  </si>
  <si>
    <t>=myData!$BC$12</t>
  </si>
  <si>
    <t>betaPodeltaAu</t>
  </si>
  <si>
    <t>myData!betaPodeltaAu</t>
  </si>
  <si>
    <t>=myData!$BH$11</t>
  </si>
  <si>
    <t>=myData!$BH$15</t>
  </si>
  <si>
    <t>=myData!$BH$13</t>
  </si>
  <si>
    <t>=myData!$BH$12</t>
  </si>
  <si>
    <t>=myData!$BH$14</t>
  </si>
  <si>
    <t>betaTests</t>
  </si>
  <si>
    <t>myData!betaTests</t>
  </si>
  <si>
    <t>=myData!$BC$16</t>
  </si>
  <si>
    <t>=myData!$BC$14</t>
  </si>
  <si>
    <t>ChinaPop</t>
  </si>
  <si>
    <t>myData!ChinaPop</t>
  </si>
  <si>
    <t>=myData!$R$8</t>
  </si>
  <si>
    <t>=myData!$BS$15</t>
  </si>
  <si>
    <t>=solvMsgs!$E$1:$E$7</t>
  </si>
  <si>
    <t>deltaAu</t>
  </si>
  <si>
    <t>myData!deltaAu</t>
  </si>
  <si>
    <t>=myData!$BD$11</t>
  </si>
  <si>
    <t>=myData!$BD$15</t>
  </si>
  <si>
    <t>=myData!$BD$13</t>
  </si>
  <si>
    <t>=myData!$BD$12</t>
  </si>
  <si>
    <t>deltaTests</t>
  </si>
  <si>
    <t>myData!deltaTests</t>
  </si>
  <si>
    <t>=myData!$BD$16</t>
  </si>
  <si>
    <t>=myData!$BD$14</t>
  </si>
  <si>
    <t>=OFFSET(tblData[[#Headers],[Italy Cases per Capita]],MATCH(0,tblData[Italy Cases per Capita],0),0,COUNTA(tblData[Italy Cases per Capita]),1)</t>
  </si>
  <si>
    <t>=OFFSET(tblData[[#Headers],[Italy LogiP(t) Per Capita]],MATCH(0,tblData[Italy],0),0,COUNTA(tblData[Date])-MATCH(0,tblData[Italy],0)+1,1)</t>
  </si>
  <si>
    <t>ItalyPop</t>
  </si>
  <si>
    <t>myData!ItalyPop</t>
  </si>
  <si>
    <t>=myData!$N$8</t>
  </si>
  <si>
    <t>=myData!$BS$13</t>
  </si>
  <si>
    <t>MaxAusCases</t>
  </si>
  <si>
    <t>myData!MaxAusCases</t>
  </si>
  <si>
    <t>=myData!$BM$11</t>
  </si>
  <si>
    <t>MaxNSWCases</t>
  </si>
  <si>
    <t>myData!MaxNSWCases</t>
  </si>
  <si>
    <t>=myData!$BM$12</t>
  </si>
  <si>
    <t>msqAu</t>
  </si>
  <si>
    <t>myData!msqAu</t>
  </si>
  <si>
    <t>=myData!$BG$11</t>
  </si>
  <si>
    <t>=myData!$BG$15</t>
  </si>
  <si>
    <t>=myData!$BG$13</t>
  </si>
  <si>
    <t>=myData!$BG$12</t>
  </si>
  <si>
    <t>msqTests</t>
  </si>
  <si>
    <t>myData!msqTests</t>
  </si>
  <si>
    <t>=myData!$BG$16</t>
  </si>
  <si>
    <t>=myData!$BG$14</t>
  </si>
  <si>
    <t>=OFFSET(tblData[[#Headers],[NSW Cases per Capita]],MATCH(0,tblData[NSW Cases per Capita],0),0,COUNTA(tblData[New South Wales])-MATCH(0,tblData[NSW Cases per Capita],0)+1,1)</t>
  </si>
  <si>
    <t>=OFFSET(tblData[[#Headers],[Nsw LogiP(t) Per Capita]],MATCH(0,tblData[NSW],0),0,COUNTA(tblData[Date])-MATCH(0,tblData[NSW],0)+1,1)</t>
  </si>
  <si>
    <t>NSWMaxCasespc</t>
  </si>
  <si>
    <t>myData!NSWMaxCasespc</t>
  </si>
  <si>
    <t>=myData!$BV$12</t>
  </si>
  <si>
    <t>NSWpop</t>
  </si>
  <si>
    <t>myData!NSWpop</t>
  </si>
  <si>
    <t>=myData!$L$8</t>
  </si>
  <si>
    <t>=myData!$BS$12</t>
  </si>
  <si>
    <t>myData!PerPerson</t>
  </si>
  <si>
    <t>=myData!$C$7</t>
  </si>
  <si>
    <t>PerPersonLabel</t>
  </si>
  <si>
    <t>=myData!$D$7</t>
  </si>
  <si>
    <t>PoAu</t>
  </si>
  <si>
    <t>myData!PoAu</t>
  </si>
  <si>
    <t>=myData!$BE$11</t>
  </si>
  <si>
    <t>=myData!$BE$15</t>
  </si>
  <si>
    <t>=myData!$BE$13</t>
  </si>
  <si>
    <t>=myData!$BE$12</t>
  </si>
  <si>
    <t>PoTests</t>
  </si>
  <si>
    <t>myData!PoTests</t>
  </si>
  <si>
    <t>=myData!$BE$16</t>
  </si>
  <si>
    <t>=myData!$BE$14</t>
  </si>
  <si>
    <t>solver_adj</t>
  </si>
  <si>
    <t>myData!solver_adj</t>
  </si>
  <si>
    <t>=myData!$AC$2:$AE$2</t>
  </si>
  <si>
    <t>solver_cvg</t>
  </si>
  <si>
    <t>myData!solver_cvg</t>
  </si>
  <si>
    <t>=0.0001</t>
  </si>
  <si>
    <t>solver_drv</t>
  </si>
  <si>
    <t>myData!solver_drv</t>
  </si>
  <si>
    <t>=1</t>
  </si>
  <si>
    <t>solver_eng</t>
  </si>
  <si>
    <t>myData!solver_eng</t>
  </si>
  <si>
    <t>solver_est</t>
  </si>
  <si>
    <t>myData!solver_est</t>
  </si>
  <si>
    <t>solver_itr</t>
  </si>
  <si>
    <t>myData!solver_itr</t>
  </si>
  <si>
    <t>=2147483647</t>
  </si>
  <si>
    <t>solver_lhs1</t>
  </si>
  <si>
    <t>myData!solver_lhs1</t>
  </si>
  <si>
    <t>solver_lhs2</t>
  </si>
  <si>
    <t>myData!solver_lhs2</t>
  </si>
  <si>
    <t>solver_lhs3</t>
  </si>
  <si>
    <t>myData!solver_lhs3</t>
  </si>
  <si>
    <t>solver_lhs4</t>
  </si>
  <si>
    <t>myData!solver_lhs4</t>
  </si>
  <si>
    <t>solver_lhs5</t>
  </si>
  <si>
    <t>myData!solver_lhs5</t>
  </si>
  <si>
    <t>solver_mip</t>
  </si>
  <si>
    <t>myData!solver_mip</t>
  </si>
  <si>
    <t>solver_mni</t>
  </si>
  <si>
    <t>myData!solver_mni</t>
  </si>
  <si>
    <t>=30</t>
  </si>
  <si>
    <t>solver_mrt</t>
  </si>
  <si>
    <t>myData!solver_mrt</t>
  </si>
  <si>
    <t>=0.075</t>
  </si>
  <si>
    <t>solver_msl</t>
  </si>
  <si>
    <t>myData!solver_msl</t>
  </si>
  <si>
    <t>=2</t>
  </si>
  <si>
    <t>solver_neg</t>
  </si>
  <si>
    <t>myData!solver_neg</t>
  </si>
  <si>
    <t>solver_nod</t>
  </si>
  <si>
    <t>myData!solver_nod</t>
  </si>
  <si>
    <t>solver_num</t>
  </si>
  <si>
    <t>myData!solver_num</t>
  </si>
  <si>
    <t>=3</t>
  </si>
  <si>
    <t>solver_nwt</t>
  </si>
  <si>
    <t>myData!solver_nwt</t>
  </si>
  <si>
    <t>solver_opt</t>
  </si>
  <si>
    <t>myData!solver_opt</t>
  </si>
  <si>
    <t>solver_pre</t>
  </si>
  <si>
    <t>myData!solver_pre</t>
  </si>
  <si>
    <t>=0.000001</t>
  </si>
  <si>
    <t>solver_rbv</t>
  </si>
  <si>
    <t>myData!solver_rbv</t>
  </si>
  <si>
    <t>solver_rel1</t>
  </si>
  <si>
    <t>myData!solver_rel1</t>
  </si>
  <si>
    <t>solver_rel2</t>
  </si>
  <si>
    <t>myData!solver_rel2</t>
  </si>
  <si>
    <t>solver_rel3</t>
  </si>
  <si>
    <t>myData!solver_rel3</t>
  </si>
  <si>
    <t>solver_rel4</t>
  </si>
  <si>
    <t>myData!solver_rel4</t>
  </si>
  <si>
    <t>solver_rel5</t>
  </si>
  <si>
    <t>myData!solver_rel5</t>
  </si>
  <si>
    <t>solver_rhs1</t>
  </si>
  <si>
    <t>myData!solver_rhs1</t>
  </si>
  <si>
    <t>=0.000000001</t>
  </si>
  <si>
    <t>solver_rhs2</t>
  </si>
  <si>
    <t>myData!solver_rhs2</t>
  </si>
  <si>
    <t>=0</t>
  </si>
  <si>
    <t>solver_rhs3</t>
  </si>
  <si>
    <t>myData!solver_rhs3</t>
  </si>
  <si>
    <t>solver_rhs4</t>
  </si>
  <si>
    <t>myData!solver_rhs4</t>
  </si>
  <si>
    <t>=0.0000000001</t>
  </si>
  <si>
    <t>solver_rhs5</t>
  </si>
  <si>
    <t>myData!solver_rhs5</t>
  </si>
  <si>
    <t>solver_rlx</t>
  </si>
  <si>
    <t>myData!solver_rlx</t>
  </si>
  <si>
    <t>solver_rsd</t>
  </si>
  <si>
    <t>myData!solver_rsd</t>
  </si>
  <si>
    <t>solver_scl</t>
  </si>
  <si>
    <t>myData!solver_scl</t>
  </si>
  <si>
    <t>solver_sho</t>
  </si>
  <si>
    <t>myData!solver_sho</t>
  </si>
  <si>
    <t>solver_ssz</t>
  </si>
  <si>
    <t>myData!solver_ssz</t>
  </si>
  <si>
    <t>=100</t>
  </si>
  <si>
    <t>solver_tim</t>
  </si>
  <si>
    <t>myData!solver_tim</t>
  </si>
  <si>
    <t>solver_tol</t>
  </si>
  <si>
    <t>myData!solver_tol</t>
  </si>
  <si>
    <t>=0.01</t>
  </si>
  <si>
    <t>solver_typ</t>
  </si>
  <si>
    <t>myData!solver_typ</t>
  </si>
  <si>
    <t>solver_val</t>
  </si>
  <si>
    <t>myData!solver_val</t>
  </si>
  <si>
    <t>solver_ver</t>
  </si>
  <si>
    <t>myData!solver_ver</t>
  </si>
  <si>
    <t>=OFFSET(tblData[[#Headers],[US Cases Per Capita]],MATCH(0,tblData[US Cases Per Capita],0),0,COUNT(tblData[US]),1)</t>
  </si>
  <si>
    <t>=OFFSET(tblData[[#Headers],[Date]],MATCH(0,tblData[US],0),0,COUNT(tblData[US]),1)</t>
  </si>
  <si>
    <t>=OFFSET(tblData[[#Headers],[Days'# US]],MATCH(0,tblData[US],0),0,COUNTA(tblData[US]),1)</t>
  </si>
  <si>
    <t>=OFFSET(tblData[[#Headers],[US LogiP(t) Per Capita]],MATCH(0,tblData[US],0),0,COUNT(tblData[US LogiP(t) Per Capita]),1)</t>
  </si>
  <si>
    <t>=OFFSET(tblData[[#Headers],[Date]],MATCH(0,tblData[US],0),0,COUNTA(tblData[Date])-MATCH(0,tblData[US],0)+1,1)</t>
  </si>
  <si>
    <t>USpop</t>
  </si>
  <si>
    <t>myData!USpop</t>
  </si>
  <si>
    <t>=myData!$P$8</t>
  </si>
  <si>
    <t>=myData!$BS$14</t>
  </si>
  <si>
    <t>UK</t>
  </si>
  <si>
    <t>Ireland</t>
  </si>
  <si>
    <t>Nova Scotia</t>
  </si>
  <si>
    <t>Benin</t>
  </si>
  <si>
    <t>Greenland</t>
  </si>
  <si>
    <t>Liberia</t>
  </si>
  <si>
    <t>Somalia</t>
  </si>
  <si>
    <t>Tanzania</t>
  </si>
  <si>
    <t>Barbados</t>
  </si>
  <si>
    <t>Montenegro</t>
  </si>
  <si>
    <t>Kyrgyzstan</t>
  </si>
  <si>
    <t>Mauritius</t>
  </si>
  <si>
    <t>Zambia</t>
  </si>
  <si>
    <t>Djibouti</t>
  </si>
  <si>
    <t>Minimum Date</t>
  </si>
  <si>
    <t>JHName</t>
  </si>
  <si>
    <t>Inviidual States</t>
  </si>
  <si>
    <t>Days# UK</t>
  </si>
  <si>
    <t>UK Cases Per Capita</t>
  </si>
  <si>
    <t>SKorea Cases Per Capita</t>
  </si>
  <si>
    <t>Skorea</t>
  </si>
  <si>
    <t>SKorea</t>
  </si>
  <si>
    <t>Days# Skorea</t>
  </si>
  <si>
    <t>SKorea LogiP(t)</t>
  </si>
  <si>
    <t>Skorea Sq Err</t>
  </si>
  <si>
    <t>Skorea LogiP(t) Per Capita</t>
  </si>
  <si>
    <t>UK LogiP(t)</t>
  </si>
  <si>
    <t>UK Sq Err</t>
  </si>
  <si>
    <t>UK LogiP(t) Per Capita</t>
  </si>
  <si>
    <t xml:space="preserve">log fit from 19th Feb </t>
  </si>
  <si>
    <t>203 k</t>
  </si>
  <si>
    <t>80.2 k</t>
  </si>
  <si>
    <t>b=0.203, d=1.00E-06, P0=.0119 Limit=80.2 k</t>
  </si>
  <si>
    <t>Australia Limit 80.2 k</t>
  </si>
  <si>
    <t>COVID19 Australia 
b=0.203, d=1.00E-06, P0=.0119 Limit=80.2 k
 20-Mar, Cases per 10 M population</t>
  </si>
  <si>
    <t>At Fri 20-Mar Australia 345 cases per 10M was 17 days behind Italy, 1 days behind USA &amp; 36 days behind China</t>
  </si>
  <si>
    <t>19.8 M</t>
  </si>
  <si>
    <t>24.6 M</t>
  </si>
  <si>
    <t>b=0.198, d=1.00E-08, P0=.0069 Limit=24.6 M</t>
  </si>
  <si>
    <t>NSW Limit 24.6 M</t>
  </si>
  <si>
    <t>COVID19 NSW 
b=0.198, d=1.00E-08, P0=.0069 Limit=24.6 M
 20-Mar, Cases per 10 M population</t>
  </si>
  <si>
    <t>At Fri 20-Mar NSW 473 cases per 10M was 16 days behind Italy, 0 days ahead of USA &amp; 34 days behind China</t>
  </si>
  <si>
    <t>47.3 k</t>
  </si>
  <si>
    <t>7.82 k</t>
  </si>
  <si>
    <t>b=0.261, d=5.53E-06, P0=.4412 Limit=7.82 k</t>
  </si>
  <si>
    <t>Italy Limit 7.82 k</t>
  </si>
  <si>
    <t>COVID19 Italy 
b=0.261, d=5.53E-06, P0=.4412 Limit=7.82 k
 19-Mar, Cases per 10 M population</t>
  </si>
  <si>
    <t>117 k</t>
  </si>
  <si>
    <t>3.56 k</t>
  </si>
  <si>
    <t>b=0.27, d=2.30E-06, P0=.2896 Limit=3.56 k</t>
  </si>
  <si>
    <t>USA Limit 3.56 k</t>
  </si>
  <si>
    <t>COVID19 USA 
b=0.27, d=2.30E-06, P0=.2896 Limit=3.56 k
 19-Mar, Cases per 10 M population
 - Prediction without last day</t>
  </si>
  <si>
    <t xml:space="preserve">COVID19 China 
b=0.222, d=2.75E-06, P0=1537.6493 Limit=562  
 19-Mar, Cases per 10 M population
</t>
  </si>
  <si>
    <t>8.22 k</t>
  </si>
  <si>
    <t>1.60 k</t>
  </si>
  <si>
    <t>b=0.335, d=4.07E-05, P0=161.5015 Limit=1.60 k</t>
  </si>
  <si>
    <t>Skorea Limit 1.60 k fr 19th Feb</t>
  </si>
  <si>
    <t xml:space="preserve">COVID19 Skorea 
b=0.335, d=4.07E-05, P0=161.5015 Limit=1.60 k
 20-Mar, Cases per 10 M population
log fit from 19th Feb </t>
  </si>
  <si>
    <t>241 k</t>
  </si>
  <si>
    <t>36.3 k</t>
  </si>
  <si>
    <t>b=0.241, d=1.00E-06, P0=.0241 Limit=36.3 k</t>
  </si>
  <si>
    <t>UK Limit 36.3 k</t>
  </si>
  <si>
    <t xml:space="preserve">COVID19 UK 
b=0.241, d=1.00E-06, P0=.0241 Limit=36.3 k
 20-Mar, Cases per 10 M population
</t>
  </si>
  <si>
    <t xml:space="preserve">COVID19 Tests 
b=0.202, d=1.00E-10, P0=.0058 Limit=2.50 G
 20-Mar, Cases per 10 M population
</t>
  </si>
  <si>
    <t>HISTORICAL RUNS -- COPY PASTE VALUES FROM RUN PARAMETERS RANGE TO LAST ROW HERE, THEN SORT.</t>
  </si>
  <si>
    <t>Place</t>
  </si>
  <si>
    <t xml:space="preserve">Date Start Log Fit </t>
  </si>
  <si>
    <t>RunTime</t>
  </si>
  <si>
    <t>Logistic Start2</t>
  </si>
  <si>
    <t>Start Logistic</t>
  </si>
  <si>
    <t>55.4 k</t>
  </si>
  <si>
    <t>9.17 k</t>
  </si>
  <si>
    <t>b=0.26, d=4.70E-06, P0=.442 Limit=9.17 k</t>
  </si>
  <si>
    <t>Italy Limit 9.17 k</t>
  </si>
  <si>
    <t>Channel Islands</t>
  </si>
  <si>
    <t>Gibraltar</t>
  </si>
  <si>
    <t>Cayman Islands</t>
  </si>
  <si>
    <t>Montserrat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</si>
  <si>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</si>
  <si>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</si>
  <si>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</si>
  <si>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</si>
  <si>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</si>
  <si>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</si>
  <si>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</si>
  <si>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</si>
  <si>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</si>
  <si>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</si>
  <si>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</si>
  <si>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</si>
  <si>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</si>
  <si>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</si>
  <si>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</si>
  <si>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At Sat 21-Mar Australia 421 cases per 10M was 17 days behind Italy, 1 days behind USA &amp; 36 days behind China, 22 days behind South Korea, 1 days behind UK</t>
  </si>
  <si>
    <t>At Sat 21-Mar NSW 540 cases per 10M was 16 days behind Italy, 1 days behind USA &amp; 25 days behind China, 21 days behind South Korea, 1 days behind UK</t>
  </si>
  <si>
    <t xml:space="preserve">b=0.222, d=2.74E-06, P0=1537.6493 Limit=562  </t>
  </si>
  <si>
    <t>81.0 k</t>
  </si>
  <si>
    <t>8.32 k</t>
  </si>
  <si>
    <t>1.62 k</t>
  </si>
  <si>
    <t>b=0.326, d=3.91E-05, P0=174.6165 Limit=1.62 k</t>
  </si>
  <si>
    <t>Skorea Limit 1.62 k fr 19th Feb</t>
  </si>
  <si>
    <t>231 M</t>
  </si>
  <si>
    <t>34.7 M</t>
  </si>
  <si>
    <t>b=0.231, d=1.00E-09, P0=.0381 Limit=34.7 M</t>
  </si>
  <si>
    <t>UK Limit 34.7 M</t>
  </si>
  <si>
    <t>2.72 k</t>
  </si>
  <si>
    <t>3.37 k</t>
  </si>
  <si>
    <t>b=0.209, d=7.68E-05, P0=.0043 Limit=3.37 k</t>
  </si>
  <si>
    <t>NSW Limit 3.37 k</t>
  </si>
  <si>
    <t>COVID19 NSW P(t) = b / {d+[( b/Po - d ) ]* exp(-b*t)}
b=0.209, d=7.68E-05, P0=.0043 Limit=3.37 k
 21-Mar, Cases per 10 M population</t>
  </si>
  <si>
    <t xml:space="preserve">COVID19 UK P(t) = b / {d+[( b/Po - d ) ]* exp(-b*t)}
b=0.231, d=1.00E-09, P0=.0381 Limit=34.7 M
 20-Mar, Cases per 10 M population
</t>
  </si>
  <si>
    <t>206 M</t>
  </si>
  <si>
    <t>81.4 M</t>
  </si>
  <si>
    <t>b=0.206, d=1.00E-09, P0=.0102 Limit=81.4 M</t>
  </si>
  <si>
    <t>Australia Limit 81.4 M</t>
  </si>
  <si>
    <t>COVID19 Australia P(t) = b / {d+[( b/Po - d ) ]* exp(-b*t)}
b=0.206, d=1.00E-09, P0=.0102 Limit=81.4 M
 21-Mar, Cases per 10 M population</t>
  </si>
  <si>
    <t>COVID19 Italy P(t) = b / {d+[( b/Po - d ) ]* exp(-b*t)}
b=0.26, d=4.70E-06, P0=.442 Limit=9.17 k
 20-Mar, Cases per 10 M population</t>
  </si>
  <si>
    <t>348 M</t>
  </si>
  <si>
    <t>10.6 M</t>
  </si>
  <si>
    <t>b=0.348, d=1.00E-09, P0=.0171 Limit=10.6 M</t>
  </si>
  <si>
    <t>USA Limit 10.6 M</t>
  </si>
  <si>
    <t>COVID19 USA P(t) = b / {d+[( b/Po - d ) ]* exp(-b*t)}
b=0.348, d=1.00E-09, P0=.0171 Limit=10.6 M
 20-Mar, Cases per 10 M population
 - Prediction without last day</t>
  </si>
  <si>
    <t xml:space="preserve">COVID19 China P(t) = b / {d+[( b/Po - d ) ]* exp(-b*t)}
b=0.222, d=2.74E-06, P0=1537.6493 Limit=562  
 20-Mar, Cases per 10 M population
</t>
  </si>
  <si>
    <t xml:space="preserve">COVID19 Skorea P(t) = b / {d+[( b/Po - d ) ]* exp(-b*t)}
b=0.326, d=3.91E-05, P0=174.6165 Limit=1.62 k
 20-Mar, Cases per 10 M population
log fit from 19th Feb </t>
  </si>
  <si>
    <t xml:space="preserve">COVID19 Tests P(t) = b / {d+[( b/Po - d ) ]* exp(-b*t)}
b=0.202, d=1.00E-10, P0=.0058 Limit=2.50 G
 20-Mar, Cases per 10 M population
</t>
  </si>
  <si>
    <t xml:space="preserve">COVID19 Tests P(t) = b / {d+[( b/Po - d ) ]* exp(-b*t)}
b=0.202, d=1.00E-10, P0=.0058 Limit=2.50 G
 21-Mar, Cases per 10 M population
</t>
  </si>
  <si>
    <t>At Sat 21-Mar Australia 423 cases per 10M was 18 days behind Italy, 2 days behind USA &amp; 37 days behind China, 23 days behind South Korea, 2 days behind UK</t>
  </si>
  <si>
    <t>207 M</t>
  </si>
  <si>
    <t>81.6 M</t>
  </si>
  <si>
    <t>b=0.207, d=1.00E-09, P0=.0099 Limit=81.6 M</t>
  </si>
  <si>
    <t>Australia Limit 81.6 M</t>
  </si>
  <si>
    <t>COVID19 Australia P(t) = b / {d+[( b/Po - d ) ]* exp(-b*t)}
b=0.207, d=1.00E-09, P0=.0099 Limit=81.6 M
 21-Mar, Cases per 10 M population</t>
  </si>
  <si>
    <t>60.6 k</t>
  </si>
  <si>
    <t>b=0.259, d=4.28E-06, P0=.4422 Limit=10.0 k</t>
  </si>
  <si>
    <t>Italy Limit 10.0 k</t>
  </si>
  <si>
    <t>COVID19 Italy P(t) = b / {d+[( b/Po - d ) ]* exp(-b*t)}
b=0.259, d=4.28E-06, P0=.4422 Limit=10.0 k
 21-Mar, Cases per 10 M population</t>
  </si>
  <si>
    <t>385 k</t>
  </si>
  <si>
    <t>11.7 k</t>
  </si>
  <si>
    <t>b=0.348, d=9.04E-07, P0=.0171 Limit=11.7 k</t>
  </si>
  <si>
    <t>USA Limit 11.7 k</t>
  </si>
  <si>
    <t>COVID19 USA P(t) = b / {d+[( b/Po - d ) ]* exp(-b*t)}
b=0.348, d=9.04E-07, P0=.0171 Limit=11.7 k
 21-Mar, Cases per 10 M population
 - Prediction without last day</t>
  </si>
  <si>
    <t xml:space="preserve">COVID19 China P(t) = b / {d+[( b/Po - d ) ]* exp(-b*t)}
b=0.222, d=2.74E-06, P0=1537.6493 Limit=562  
 21-Mar, Cases per 10 M population
</t>
  </si>
  <si>
    <t>8.38 k</t>
  </si>
  <si>
    <t>1.63 k</t>
  </si>
  <si>
    <t>b=0.321, d=3.83E-05, P0=182.7881 Limit=1.63 k</t>
  </si>
  <si>
    <t>Skorea Limit 1.63 k fr 19th Feb</t>
  </si>
  <si>
    <t xml:space="preserve">COVID19 Skorea P(t) = b / {d+[( b/Po - d ) ]* exp(-b*t)}
b=0.321, d=3.83E-05, P0=182.7881 Limit=1.63 k
 21-Mar, Cases per 10 M population
log fit from 19th Feb </t>
  </si>
  <si>
    <t>236 M</t>
  </si>
  <si>
    <t>35.4 M</t>
  </si>
  <si>
    <t>b=0.236, d=1.00E-09, P0=.0303 Limit=35.4 M</t>
  </si>
  <si>
    <t>UK Limit 35.4 M</t>
  </si>
  <si>
    <t xml:space="preserve">COVID19 UK P(t) = b / {d+[( b/Po - d ) ]* exp(-b*t)}
b=0.236, d=1.00E-09, P0=.0303 Limit=35.4 M
 21-Mar, Cases per 10 M population
</t>
  </si>
  <si>
    <t>Eritrea</t>
  </si>
  <si>
    <t>Uganda</t>
  </si>
  <si>
    <t>At Sun 22-Mar Australia 500 cases per 10M was 18 days behind Italy, 2 days behind USA &amp; 34 days behind China, 22 days behind South Korea, 2 days behind UK</t>
  </si>
  <si>
    <t>64.3 k</t>
  </si>
  <si>
    <t>25.3 k</t>
  </si>
  <si>
    <t>b=0.207, d=3.22E-06, P0=.0099 Limit=25.3 k</t>
  </si>
  <si>
    <t>Australia Limit 25.3 k</t>
  </si>
  <si>
    <t>COVID19 Australia P(t) = b / {d+[( b/Po - d ) ]* exp(-b*t)}
b=0.207, d=3.22E-06, P0=.0099 Limit=25.3 k
 22-Mar, Cases per 10 M population</t>
  </si>
  <si>
    <t>At Sun 22-Mar NSW 660 cases per 10M was 16 days behind Italy, 1 days behind USA &amp; 0 days behind China, 21 days behind South Korea, 1 days behind UK</t>
  </si>
  <si>
    <t>3.26 k</t>
  </si>
  <si>
    <t>4.04 k</t>
  </si>
  <si>
    <t>b=0.207, d=6.34E-05, P0=.0048 Limit=4.04 k</t>
  </si>
  <si>
    <t>NSW Limit 4.04 k</t>
  </si>
  <si>
    <t>COVID19 NSW P(t) = b / {d+[( b/Po - d ) ]* exp(-b*t)}
b=0.207, d=6.34E-05, P0=.0048 Limit=4.04 k
 22-Mar, Cases per 10 M population</t>
  </si>
  <si>
    <t>3.37 G</t>
  </si>
  <si>
    <t>102 M</t>
  </si>
  <si>
    <t>b=0.337, d=1.00E-10, P0=.0255 Limit=102 M</t>
  </si>
  <si>
    <t>USA Limit 102 M</t>
  </si>
  <si>
    <t>COVID19 USA P(t) = b / {d+[( b/Po - d ) ]* exp(-b*t)}
b=0.337, d=1.00E-10, P0=.0255 Limit=102 M
 21-Mar, Cases per 10 M population
 - Prediction without last day</t>
  </si>
  <si>
    <t>35.5 M</t>
  </si>
  <si>
    <t>b=0.236, d=1.00E-09, P0=.0297 Limit=35.5 M</t>
  </si>
  <si>
    <t>UK Limit 35.5 M</t>
  </si>
  <si>
    <t xml:space="preserve">COVID19 UK P(t) = b / {d+[( b/Po - d ) ]* exp(-b*t)}
b=0.236, d=1.00E-09, P0=.0297 Limit=35.5 M
 21-Mar, Cases per 10 M population
</t>
  </si>
  <si>
    <t>Limit Cases</t>
  </si>
  <si>
    <t>At Sun 22-Mar Australia 532 cases per 10M was 17 days behind Italy, 2 days behind USA &amp; 29 days behind China, 22 days behind South Korea, 2 days behind UK</t>
  </si>
  <si>
    <t>2.10 G</t>
  </si>
  <si>
    <t>828 M</t>
  </si>
  <si>
    <t xml:space="preserve">b=0.21, d=1.00E-10, P0=.008 Limit=828 M=&gt;2.10 G cases </t>
  </si>
  <si>
    <t>Australia Limit 828 M</t>
  </si>
  <si>
    <t>COVID19 Australia P(t) = b / {d+[( b/Po - d ) ]* exp(-b*t)}
b=0.21, d=1.00E-10, P0=.008 Limit=828 M=&gt;2.10 G cases 
 22-Mar, Cases per 10 M population</t>
  </si>
  <si>
    <t xml:space="preserve">b=0.207, d=6.34E-05, P0=.005 Limit=4.04 k=&gt;3.26 k cases </t>
  </si>
  <si>
    <t>COVID19 NSW P(t) = b / {d+[( b/Po - d ) ]* exp(-b*t)}
b=0.207, d=6.34E-05, P0=.005 Limit=4.04 k=&gt;3.26 k cases 
 22-Mar, Cases per 10 M population</t>
  </si>
  <si>
    <t xml:space="preserve">b=0.259, d=4.28E-06, P0=.442 Limit=10.0 k=&gt;60.6 k cases </t>
  </si>
  <si>
    <t>COVID19 Italy P(t) = b / {d+[( b/Po - d ) ]* exp(-b*t)}
b=0.259, d=4.28E-06, P0=.442 Limit=10.0 k=&gt;60.6 k cases 
 21-Mar, Cases per 10 M population</t>
  </si>
  <si>
    <t xml:space="preserve">b=0.337, d=1.00E-10, P0=.025 Limit=102 M=&gt;3.37 G cases </t>
  </si>
  <si>
    <t>COVID19 USA P(t) = b / {d+[( b/Po - d ) ]* exp(-b*t)}
b=0.337, d=1.00E-10, P0=.025 Limit=102 M=&gt;3.37 G cases 
 21-Mar, Cases per 10 M population</t>
  </si>
  <si>
    <t>164 k</t>
  </si>
  <si>
    <t>4.97 k</t>
  </si>
  <si>
    <t xml:space="preserve">b=0.337, d=2.06E-06, P0=.025 Limit=4.97 k=&gt;164 k cases </t>
  </si>
  <si>
    <t>USA Limit 4.97 k</t>
  </si>
  <si>
    <t>COVID19 USA P(t) = b / {d+[( b/Po - d ) ]* exp(-b*t)}
b=0.337, d=2.06E-06, P0=.025 Limit=4.97 k=&gt;164 k cases 
 21-Mar, Cases per 10 M population</t>
  </si>
  <si>
    <t xml:space="preserve">563  </t>
  </si>
  <si>
    <t xml:space="preserve">b=0.222, d=2.74E-06, P0=1537.649 Limit=563  =&gt;81.0 k cases </t>
  </si>
  <si>
    <t xml:space="preserve">China Limit 563  </t>
  </si>
  <si>
    <t>COVID19 China P(t) = b / {d+[( b/Po - d ) ]* exp(-b*t)}
b=0.222, d=2.74E-06, P0=1537.649 Limit=563  =&gt;81.0 k cases 
 22-Mar, Cases per 10 M population</t>
  </si>
  <si>
    <t xml:space="preserve">, log fit from 19th Feb </t>
  </si>
  <si>
    <t>8.44 k</t>
  </si>
  <si>
    <t>1.64 k</t>
  </si>
  <si>
    <t xml:space="preserve">b=0.315, d=3.74E-05, P0=191.459 Limit=1.64 k=&gt;8.44 k cases , log fit from 19th Feb </t>
  </si>
  <si>
    <t>Skorea Limit 1.64 k fr 19th Feb</t>
  </si>
  <si>
    <t>COVID19 Skorea P(t) = b / {d+[( b/Po - d ) ]* exp(-b*t)}
b=0.315, d=3.74E-05, P0=191.459 Limit=1.64 k=&gt;8.44 k cases , log fit from 19th Feb 
 22-Mar, Cases per 10 M population</t>
  </si>
  <si>
    <t xml:space="preserve">b=0.236, d=1.00E-09, P0=.03 Limit=35.5 M=&gt;236 M cases </t>
  </si>
  <si>
    <t>COVID19 UK P(t) = b / {d+[( b/Po - d ) ]* exp(-b*t)}
b=0.236, d=1.00E-09, P0=.03 Limit=35.5 M=&gt;236 M cases 
 21-Mar, Cases per 10 M population</t>
  </si>
  <si>
    <t>b=0.202, d=1.00E-10, P0=.006 Limit=2.50 G</t>
  </si>
  <si>
    <t>COVID19 Tests P(t) = b / {d+[( b/Po - d ) ]* exp(-b*t)}
b=0.202, d=1.00E-10, P0=.006 Limit=2.50 G
 21-Mar, Cases per 10 M population</t>
  </si>
  <si>
    <t>At Sun 22-Mar Australia 534 cases per 10M was 17 days behind Italy, 2 days behind USA &amp; 29 days behind China, 22 days behind South Korea, 2 days behind UK</t>
  </si>
  <si>
    <t>829 M</t>
  </si>
  <si>
    <t xml:space="preserve">b=0.21, d=1.00E-10, P0=.008 Limit=829 M=&gt;2.10 G cases </t>
  </si>
  <si>
    <t>Australia Limit 829 M</t>
  </si>
  <si>
    <t>COVID19 Australia P(t) = b / {d+[( b/Po - d ) ]* exp(-b*t)}
b=0.21, d=1.00E-10, P0=.008 Limit=829 M=&gt;2.10 G cases 
 22-Mar, Cases per 10 M population</t>
  </si>
  <si>
    <t>NSW Logest</t>
  </si>
  <si>
    <t>aaaTest</t>
  </si>
  <si>
    <t>=MATCH(1,tblData[SKorea Cases Per Capita],0)</t>
  </si>
  <si>
    <t>=OFFSET(tblData[[#Headers],[Au Cases Per Capita]],MATCH(0,tblData[Au Cases Per Capita],0)+1,0,COUNTA(tblData[New South Wales])-MATCH(0,tblData[NSW Cases per Capita],0),1)</t>
  </si>
  <si>
    <t>=OFFSET(tblData[[#Headers],[Au LogiP(t) Per Capita]],MATCH(0,tblData[NSW],0)+1,0,COUNTA(tblData[Date])-MATCH(0,tblData[NSW],0),1)</t>
  </si>
  <si>
    <t>=OFFSET(tblData[[#Headers],[Date]],MATCH(0,tblData[NSW],0)+1,0,COUNTA(tblData[Date])-MATCH(0,tblData[NSW],0),1)</t>
  </si>
  <si>
    <t>=myData!$CG$11</t>
  </si>
  <si>
    <t>betaPodeltaSKorea</t>
  </si>
  <si>
    <t>myData!betaPodeltaSKorea</t>
  </si>
  <si>
    <t>betaPodeltaUK</t>
  </si>
  <si>
    <t>myData!betaPodeltaUK</t>
  </si>
  <si>
    <t>betaSKorea</t>
  </si>
  <si>
    <t>myData!betaSKorea</t>
  </si>
  <si>
    <t>betaUK</t>
  </si>
  <si>
    <t>myData!betaUK</t>
  </si>
  <si>
    <t>=myData!$V$8</t>
  </si>
  <si>
    <t>=myData!$CG$15</t>
  </si>
  <si>
    <t>deltaconstraint</t>
  </si>
  <si>
    <t>myData!deltaconstraint</t>
  </si>
  <si>
    <t>=myData!$B$3</t>
  </si>
  <si>
    <t>deltaSKorea</t>
  </si>
  <si>
    <t>myData!deltaSKorea</t>
  </si>
  <si>
    <t>deltaUK</t>
  </si>
  <si>
    <t>myData!deltaUK</t>
  </si>
  <si>
    <t>HisTableBL</t>
  </si>
  <si>
    <t>myData!HisTableBL</t>
  </si>
  <si>
    <t>HisTableTL</t>
  </si>
  <si>
    <t>myData!HisTableTL</t>
  </si>
  <si>
    <t>=OFFSET(tblData[[#Headers],[Italy Cases per Capita]],MATCH(0,tblData[Italy Cases per Capita],0)+1,0,COUNTA(tblData[Italy Cases per Capita])-1,1)</t>
  </si>
  <si>
    <t>=OFFSET(tblData[[#Headers],[Date]],MATCH(0,tblData[Italy],0)+1,0,COUNTA(tblData[Italy])-1,1)</t>
  </si>
  <si>
    <t>=OFFSET(tblData[[#Headers],[Italy LogiP(t) Per Capita]],MATCH(0,tblData[Italy],0)+2,0,COUNTA(tblData[Date])-MATCH(0,tblData[Italy],0),1)</t>
  </si>
  <si>
    <t>=OFFSET(tblData[[#Headers],[Date]],MATCH(0,tblData[Italy],0)+1,0,COUNTA(tblData[Date])-MATCH(0,tblData[Italy],0),1)</t>
  </si>
  <si>
    <t>=myData!$CG$13</t>
  </si>
  <si>
    <t>ItalyStart</t>
  </si>
  <si>
    <t>myData!ItalyStart</t>
  </si>
  <si>
    <t>LogestBNSW</t>
  </si>
  <si>
    <t>myData!LogestBNSW</t>
  </si>
  <si>
    <t>LogEstMNSW</t>
  </si>
  <si>
    <t>myData!LogEstMNSW</t>
  </si>
  <si>
    <t>LogFormula</t>
  </si>
  <si>
    <t>myData!LogFormula</t>
  </si>
  <si>
    <t>msqSKorea</t>
  </si>
  <si>
    <t>myData!msqSKorea</t>
  </si>
  <si>
    <t>msqUK</t>
  </si>
  <si>
    <t>myData!msqUK</t>
  </si>
  <si>
    <t>=OFFSET(tblData[[#Headers],[NSW Cases per Capita]],MATCH(0,tblData[NSW Cases per Capita],0)+1,0,COUNTA(tblData[New South Wales])-MATCH(0,tblData[NSW Cases per Capita],0),1)</t>
  </si>
  <si>
    <t>=OFFSET(tblData[[#Headers],[Date]],MATCH(0,tblData[NSW],0)+1,0,COUNTA(tblData[New South Wales])-MATCH(0,tblData[NSW],0),1)</t>
  </si>
  <si>
    <t>=OFFSET(tblData[[#Headers],[Nsw LogiP(t) Per Capita]],MATCH(0,tblData[NSW],0)+1,0,COUNTA(tblData[Date])-MATCH(0,tblData[NSW],0),1)</t>
  </si>
  <si>
    <t>=myData!$CG$12</t>
  </si>
  <si>
    <t>=myData!$L$2</t>
  </si>
  <si>
    <t>=myData!$L$3</t>
  </si>
  <si>
    <t>PoSKorea</t>
  </si>
  <si>
    <t>myData!PoSKorea</t>
  </si>
  <si>
    <t>PoUK</t>
  </si>
  <si>
    <t>myData!PoUK</t>
  </si>
  <si>
    <t>RunRange</t>
  </si>
  <si>
    <t>myData!RunRange</t>
  </si>
  <si>
    <t>RunTableTL</t>
  </si>
  <si>
    <t>myData!RunTableTL</t>
  </si>
  <si>
    <t>RunTableTR</t>
  </si>
  <si>
    <t>myData!RunTableTR</t>
  </si>
  <si>
    <t>RunTimeAu</t>
  </si>
  <si>
    <t>myData!RunTimeAu</t>
  </si>
  <si>
    <t>SKoreaCases</t>
  </si>
  <si>
    <t>myData!SKoreaCases</t>
  </si>
  <si>
    <t>=OFFSET(tblData[[#Headers],[SKorea Cases Per Capita]],1,0,COUNT(tblData[SKorea Cases Per Capita]),1)</t>
  </si>
  <si>
    <t>SKoreaDates</t>
  </si>
  <si>
    <t>myData!SKoreaDates</t>
  </si>
  <si>
    <t>=OFFSET(tblData[[#Headers],[Date]],1,0,COUNTA(tblData[SKorea]),1)</t>
  </si>
  <si>
    <t>SKoreaLogi</t>
  </si>
  <si>
    <t>myData!SKoreaLogi</t>
  </si>
  <si>
    <t>SKoreaLogiDates</t>
  </si>
  <si>
    <t>myData!SKoreaLogiDates</t>
  </si>
  <si>
    <t>SKoreaPop</t>
  </si>
  <si>
    <t>myData!SKoreaPop</t>
  </si>
  <si>
    <t>SKoreaSeries</t>
  </si>
  <si>
    <t>myData!SKoreaSeries</t>
  </si>
  <si>
    <t>=myData!$CG$16</t>
  </si>
  <si>
    <t>SKoreaStart</t>
  </si>
  <si>
    <t>myData!SKoreaStart</t>
  </si>
  <si>
    <t>=4</t>
  </si>
  <si>
    <t>=0.001</t>
  </si>
  <si>
    <t>StartDt2Au</t>
  </si>
  <si>
    <t>myData!StartDt2Au</t>
  </si>
  <si>
    <t>StartDt2China</t>
  </si>
  <si>
    <t>myData!StartDt2China</t>
  </si>
  <si>
    <t>StartDt2Italy</t>
  </si>
  <si>
    <t>myData!StartDt2Italy</t>
  </si>
  <si>
    <t>StartDt2Korea</t>
  </si>
  <si>
    <t>myData!StartDt2Korea</t>
  </si>
  <si>
    <t>StartDt2NSW</t>
  </si>
  <si>
    <t>myData!StartDt2NSW</t>
  </si>
  <si>
    <t>StartDt2Tests</t>
  </si>
  <si>
    <t>myData!StartDt2Tests</t>
  </si>
  <si>
    <t>StartDt2UK</t>
  </si>
  <si>
    <t>myData!StartDt2UK</t>
  </si>
  <si>
    <t>StartDt2US</t>
  </si>
  <si>
    <t>myData!StartDt2US</t>
  </si>
  <si>
    <t>TitleAll</t>
  </si>
  <si>
    <t>myData!TitleAll</t>
  </si>
  <si>
    <t>TitleAllSK</t>
  </si>
  <si>
    <t>myData!TitleAllSK</t>
  </si>
  <si>
    <t>UKCases</t>
  </si>
  <si>
    <t>myData!UKCases</t>
  </si>
  <si>
    <t>=OFFSET(tblData[[#Headers],[UK Cases Per Capita]],MATCH(0,tblData[UK Cases Per Capita],0)+1,0,COUNTA(tblData[UK Cases Per Capita])-1,1)</t>
  </si>
  <si>
    <t>UKDates</t>
  </si>
  <si>
    <t>myData!UKDates</t>
  </si>
  <si>
    <t>=OFFSET(tblData[[#Headers],[Date]],MATCH(0,tblData[UK],0)+1,0,COUNTA(tblData[UK])-1,1)</t>
  </si>
  <si>
    <t>UKLogi</t>
  </si>
  <si>
    <t>myData!UKLogi</t>
  </si>
  <si>
    <t>=OFFSET(tblData[[#Headers],[UK LogiP(t) Per Capita]],MATCH(0,tblData[UK],0)+1,0,COUNTA(tblData[Date])-MATCH(0,tblData[UK],0),1)</t>
  </si>
  <si>
    <t>UKLogiDates</t>
  </si>
  <si>
    <t>myData!UKLogiDates</t>
  </si>
  <si>
    <t>=OFFSET(tblData[[#Headers],[Date]],MATCH(0,tblData[UK],0)+1,0,COUNTA(tblData[Date])-MATCH(0,tblData[UK],0),1)</t>
  </si>
  <si>
    <t>UKPop</t>
  </si>
  <si>
    <t>myData!UKPop</t>
  </si>
  <si>
    <t>=myData!$T$8</t>
  </si>
  <si>
    <t>UKSeries</t>
  </si>
  <si>
    <t>myData!UKSeries</t>
  </si>
  <si>
    <t>=myData!$CG$17</t>
  </si>
  <si>
    <t>UKStart</t>
  </si>
  <si>
    <t>myData!UKStart</t>
  </si>
  <si>
    <t>=OFFSET(tblData[[#Headers],[US Cases Per Capita]],MATCH(0,tblData[US Cases Per Capita],0)+1,0,COUNT(tblData[US])-1,1)</t>
  </si>
  <si>
    <t>=OFFSET(tblData[[#Headers],[Date]],MATCH(0,tblData[US],0)+1,0,COUNT(tblData[US])-1,1)</t>
  </si>
  <si>
    <t>=OFFSET(tblData[[#Headers],[Days'# US]],MATCH(0,tblData[US],0)+1,0,COUNTA(tblData[US])-1,1)</t>
  </si>
  <si>
    <t>=OFFSET(tblData[[#Headers],[US LogiP(t) Per Capita]],MATCH(0,tblData[US],0)+1,0,COUNT(tblData[US LogiP(t) Per Capita])-1,1)</t>
  </si>
  <si>
    <t>=OFFSET(tblData[[#Headers],[Date]],MATCH(0,tblData[US],0)+1,0,COUNTA(tblData[Date])-MATCH(0,tblData[US],0),1)</t>
  </si>
  <si>
    <t>=myData!$CG$14</t>
  </si>
  <si>
    <t>Chart Titles</t>
  </si>
  <si>
    <t>Chinese New Year</t>
  </si>
  <si>
    <t>Vert Val</t>
  </si>
  <si>
    <t>COVID19 Tests P(t) = b / {d+[( b/Po - d ) ]* exp(-b*t)}
b=0.202, d=1.00E-10, P0=.006 Limit=2.50 G
 23-Mar, Cases per 10 M population</t>
  </si>
  <si>
    <t>At Mon 23-Mar Australia 638 cases per 10M was 16 days behind Italy, 1 days behind USA &amp; 1 days behind China, 21 days behind South Korea, 1 days behind UK</t>
  </si>
  <si>
    <t>165 k</t>
  </si>
  <si>
    <t>65.0 k</t>
  </si>
  <si>
    <t xml:space="preserve">b=0.21, d=1.27E-06, P0=.008 Limit=65.0 k=&gt;165 k cases </t>
  </si>
  <si>
    <t>Australia Limit 65.0 k</t>
  </si>
  <si>
    <t>COVID19 Australia P(t) = b / {d+[( b/Po - d ) ]* exp(-b*t)}
b=0.21, d=1.27E-06, P0=.008 Limit=65.0 k=&gt;165 k cases 
 23-Mar, Cases per 10 M population</t>
  </si>
  <si>
    <t>At Mon 23-Mar NSW 828 cases per 10M was 16 days behind Italy, 0 days ahead of USA &amp; -1 days behind China, 21 days behind South Korea, 0 days behind UK</t>
  </si>
  <si>
    <t>249 k</t>
  </si>
  <si>
    <t>309 k</t>
  </si>
  <si>
    <t xml:space="preserve">b=0.193, d=7.74E-07, P0=.009 Limit=309 k=&gt;249 k cases </t>
  </si>
  <si>
    <t>NSW Limit 309 k</t>
  </si>
  <si>
    <t>COVID19 NSW P(t) = b / {d+[( b/Po - d ) ]* exp(-b*t)}
b=0.193, d=7.74E-07, P0=.009 Limit=309 k=&gt;249 k cases 
 23-Mar, Cases per 10 M population</t>
  </si>
  <si>
    <t>COVID19 China P(t) = b / {d+[( b/Po - d ) ]* exp(-b*t)}
b=0.222, d=2.74E-06, P0=1537.649 Limit=563  =&gt;81.0 k cases 
 21-Mar, Cases per 10 M population</t>
  </si>
  <si>
    <t xml:space="preserve">b=0.32, d=3.83E-05, P0=182.8 Limit=1.63 k=&gt;8.38 k cases , log fit from 19th Feb </t>
  </si>
  <si>
    <t>COVID19 Skorea P(t) = b / {d+[( b/Po - d ) ]* exp(-b*t)}
b=0.32, d=3.83E-05, P0=182.8 Limit=1.63 k=&gt;8.38 k cases , log fit from 19th Feb 
 21-Mar, Cases per 10 M population</t>
  </si>
  <si>
    <t>23.6 G</t>
  </si>
  <si>
    <t>3.55 G</t>
  </si>
  <si>
    <t xml:space="preserve">b=0.236, d=1.00E-11, P0=.03 Limit=3.55 G=&gt;23.6 G cases </t>
  </si>
  <si>
    <t>UK Limit 3.55 G</t>
  </si>
  <si>
    <t>COVID19 UK P(t) = b / {d+[( b/Po - d ) ]* exp(-b*t)}
b=0.236, d=1.00E-11, P0=.03 Limit=3.55 G=&gt;23.6 G cases 
 21-Mar, Cases per 10 M population</t>
  </si>
  <si>
    <t>Dominica</t>
  </si>
  <si>
    <t>Grenada</t>
  </si>
  <si>
    <t>Mozambique</t>
  </si>
  <si>
    <t>Syria</t>
  </si>
  <si>
    <t>Timor-Leste</t>
  </si>
  <si>
    <t>Singapore LogiP(t)</t>
  </si>
  <si>
    <t>Singapore Sq Err</t>
  </si>
  <si>
    <t>Singapore LogiP(t) Per Capita</t>
  </si>
  <si>
    <t>Singapore Cases Per Capita</t>
  </si>
  <si>
    <t>Day# Singapore</t>
  </si>
  <si>
    <t>14.3 k</t>
  </si>
  <si>
    <t xml:space="preserve">b=0.32, d=3.83E-05, P0=182.8 Limit=14.3 k=&gt;8.38 k cases </t>
  </si>
  <si>
    <t>Singapore Limit 14.3 k</t>
  </si>
  <si>
    <t>COVID19 Singapore P(t) = b / {d+[( b/Po - d ) ]* exp(-b*t)}
b=0.32, d=3.83E-05, P0=182.8 Limit=14.3 k=&gt;8.38 k cases 
 22-Mar, Cases per 10 M population</t>
  </si>
  <si>
    <t>At Mon 23-Mar Australia 646 cases per 10M was 17 days behind Italy, 2 days behind USA &amp; 0 days behind China, 22 days behind South Korea, 2 days behind UK</t>
  </si>
  <si>
    <t>209 G</t>
  </si>
  <si>
    <t>82.6 G</t>
  </si>
  <si>
    <t xml:space="preserve">b=0.209, d=1.00E-12, P0=.009 Limit=82.6 G=&gt;209 G cases </t>
  </si>
  <si>
    <t>Australia Limit 82.6 G</t>
  </si>
  <si>
    <t>COVID19 Australia P(t) = b / {d+[( b/Po - d ) ]* exp(-b*t)}
b=0.209, d=1.00E-12, P0=.009 Limit=82.6 G=&gt;209 G cases 
 23-Mar, Cases per 10 M population</t>
  </si>
  <si>
    <t>At Mon 23-Mar NSW 828 cases per 10M was 16 days behind Italy, 1 days behind USA &amp; -1 days behind China, 21 days behind South Korea, 1 days behind UK</t>
  </si>
  <si>
    <t>250 k</t>
  </si>
  <si>
    <t>310 k</t>
  </si>
  <si>
    <t xml:space="preserve">b=0.193, d=7.71E-07, P0=.009 Limit=310 k=&gt;250 k cases </t>
  </si>
  <si>
    <t>NSW Limit 310 k</t>
  </si>
  <si>
    <t>COVID19 NSW P(t) = b / {d+[( b/Po - d ) ]* exp(-b*t)}
b=0.193, d=7.71E-07, P0=.009 Limit=310 k=&gt;250 k cases 
 23-Mar, Cases per 10 M population</t>
  </si>
  <si>
    <t>65.4 k</t>
  </si>
  <si>
    <t>10.8 k</t>
  </si>
  <si>
    <t xml:space="preserve">b=0.259, d=3.95E-06, P0=.442 Limit=10.8 k=&gt;65.4 k cases </t>
  </si>
  <si>
    <t>Italy Limit 10.8 k</t>
  </si>
  <si>
    <t>COVID19 Italy P(t) = b / {d+[( b/Po - d ) ]* exp(-b*t)}
b=0.259, d=3.95E-06, P0=.442 Limit=10.8 k=&gt;65.4 k cases 
 22-Mar, Cases per 10 M population</t>
  </si>
  <si>
    <t>At Mon 23-Mar Australia 646 cases per 10M was 17 days behind Italy, 2 days behind USA &amp; 0 days behind China, 22 days behind South Korea, 2 days behind UK
At Mon 23-Mar NSW 828 cases per 10M was 16 days behind Italy, 1 days behind USA &amp; -1 days behind China, 21 days behind South Korea, 1 days behind UK</t>
  </si>
  <si>
    <t>605 k</t>
  </si>
  <si>
    <t>18.4 k</t>
  </si>
  <si>
    <t xml:space="preserve">b=0.337, d=5.57E-07, P0=.025 Limit=18.4 k=&gt;605 k cases </t>
  </si>
  <si>
    <t>USA Limit 18.4 k</t>
  </si>
  <si>
    <t>COVID19 USA P(t) = b / {d+[( b/Po - d ) ]* exp(-b*t)}
b=0.337, d=5.57E-07, P0=.025 Limit=18.4 k=&gt;605 k cases 
 22-Mar, Cases per 10 M population</t>
  </si>
  <si>
    <t>111 k</t>
  </si>
  <si>
    <t>16.7 k</t>
  </si>
  <si>
    <t xml:space="preserve">b=0.236, d=2.13E-06, P0=.03 Limit=16.7 k=&gt;111 k cases </t>
  </si>
  <si>
    <t>UK Limit 16.7 k</t>
  </si>
  <si>
    <t>COVID19 UK P(t) = b / {d+[( b/Po - d ) ]* exp(-b*t)}
b=0.236, d=2.13E-06, P0=.03 Limit=16.7 k=&gt;111 k cases 
 22-Mar, Cases per 10 M population</t>
  </si>
  <si>
    <t>43.9 G</t>
  </si>
  <si>
    <t>75.1 G</t>
  </si>
  <si>
    <t xml:space="preserve">b=0.044, d=1.00E-12, P0=625.273 Limit=75.1 G=&gt;44.6 M cases </t>
  </si>
  <si>
    <t>Singapore Limit 75.1 G</t>
  </si>
  <si>
    <t>COVID19 Singapore P(t) = b / {d+[( b/Po - d ) ]* exp(-b*t)}
b=0.044, d=1.00E-12, P0=625.273 Limit=75.1 G=&gt;44.6 M cases 
 22-Mar, Cases per 10 M population</t>
  </si>
  <si>
    <t>At Mon 23-Mar Australia 647 cases per 10M was 17 days behind Italy, 2 days behind USA &amp; 0 days behind China, 22 days behind South Korea, 2 days behind UK</t>
  </si>
  <si>
    <t>210 G</t>
  </si>
  <si>
    <t>82.7 G</t>
  </si>
  <si>
    <t xml:space="preserve">b=0.21, d=1.00E-12, P0=.009 Limit=82.7 G=&gt;210 G cases </t>
  </si>
  <si>
    <t>Australia Limit 82.7 G</t>
  </si>
  <si>
    <t>COVID19 Australia P(t) = b / {d+[( b/Po - d ) ]* exp(-b*t)}
b=0.21, d=1.00E-12, P0=.009 Limit=82.7 G=&gt;210 G cases 
 23-Mar, Cases per 10 M population</t>
  </si>
  <si>
    <t>At Mon 23-Mar Australia 675 cases per 10M was 17 days behind Italy, 2 days behind USA &amp; 0 days behind China, 22 days behind South Korea, 2 days behind UK</t>
  </si>
  <si>
    <t>215 G</t>
  </si>
  <si>
    <t>84.7 G</t>
  </si>
  <si>
    <t xml:space="preserve">b=0.215, d=1.00E-12, P0=.007 Limit=84.7 G=&gt;215 G cases </t>
  </si>
  <si>
    <t>Australia Limit 84.7 G</t>
  </si>
  <si>
    <t>COVID19 Australia P(t) = b / {d+[( b/Po - d ) ]* exp(-b*t)}
b=0.215, d=1.00E-12, P0=.007 Limit=84.7 G=&gt;215 G cases 
 23-Mar, Cases per 10 M population</t>
  </si>
  <si>
    <t>At Mon 23-Mar NSW 871 cases per 10M was 16 days behind Italy, 1 days behind USA &amp; -1 days behind China, 20 days behind South Korea, 0 days behind UK</t>
  </si>
  <si>
    <t>198 G</t>
  </si>
  <si>
    <t>245 G</t>
  </si>
  <si>
    <t xml:space="preserve">b=0.198, d=1.00E-12, P0=.007 Limit=245 G=&gt;198 G cases </t>
  </si>
  <si>
    <t>NSW Limit 245 G</t>
  </si>
  <si>
    <t>COVID19 NSW P(t) = b / {d+[( b/Po - d ) ]* exp(-b*t)}
b=0.198, d=1.00E-12, P0=.007 Limit=245 G=&gt;198 G cases 
 23-Mar, Cases per 10 M population</t>
  </si>
  <si>
    <t>At Mon 23-Mar Australia 675 cases per 10M was 17 days behind Italy, 2 days behind USA &amp; 0 days behind China, 22 days behind South Korea, 2 days behind UK
At Mon 23-Mar NSW 871 cases per 10M was 16 days behind Italy, 1 days behind USA &amp; -1 days behind China, 20 days behind South Korea, 0 days behind UK</t>
  </si>
  <si>
    <t>162 k</t>
  </si>
  <si>
    <t>4.92 k</t>
  </si>
  <si>
    <t xml:space="preserve">b=0.337, d=2.08E-06, P0=.025 Limit=4.92 k=&gt;162 k cases </t>
  </si>
  <si>
    <t>USA Limit 4.92 k</t>
  </si>
  <si>
    <t>COVID19 USA P(t) = b / {d+[( b/Po - d ) ]* exp(-b*t)}
b=0.337, d=2.08E-06, P0=.025 Limit=4.92 k=&gt;162 k cases 
 22-Mar, Cases per 10 M population</t>
  </si>
  <si>
    <t>COVID19 China P(t) = b / {d+[( b/Po - d ) ]* exp(-b*t)}
b=0.222, d=2.74E-06, P0=1537.649 Limit=563  =&gt;81.0 k cases 
 23-Mar, Cases per 10 M population</t>
  </si>
  <si>
    <t>8.49 k</t>
  </si>
  <si>
    <t>1.65 k</t>
  </si>
  <si>
    <t xml:space="preserve">b=0.31, d=3.65E-05, P0=200.102 Limit=1.65 k=&gt;8.49 k cases , log fit from 19th Feb </t>
  </si>
  <si>
    <t>Skorea Limit 1.65 k fr 19th Feb</t>
  </si>
  <si>
    <t>COVID19 Skorea P(t) = b / {d+[( b/Po - d ) ]* exp(-b*t)}
b=0.31, d=3.65E-05, P0=200.102 Limit=1.65 k=&gt;8.49 k cases , log fit from 19th Feb 
 23-Mar, Cases per 10 M population</t>
  </si>
  <si>
    <t xml:space="preserve">b=0.315, d=3.74E-05, P0=191.48 Limit=1.64 k=&gt;8.44 k cases , log fit from 19th Feb </t>
  </si>
  <si>
    <t>COVID19 Skorea P(t) = b / {d+[( b/Po - d ) ]* exp(-b*t)}
b=0.315, d=3.74E-05, P0=191.48 Limit=1.64 k=&gt;8.44 k cases , log fit from 19th Feb 
 22-Mar, Cases per 10 M population</t>
  </si>
  <si>
    <t>At Mon 23-Mar Australia 677 cases per 10M was 17 days behind Italy, 2 days behind USA &amp; 0 days behind China, 22 days behind South Korea, 2 days behind UK</t>
  </si>
  <si>
    <t>84.8 G</t>
  </si>
  <si>
    <t xml:space="preserve">b=0.215, d=1.00E-12, P0=.006 Limit=84.8 G=&gt;215 G cases </t>
  </si>
  <si>
    <t>Australia Limit 84.8 G</t>
  </si>
  <si>
    <t>COVID19 Australia P(t) = b / {d+[( b/Po - d ) ]* exp(-b*t)}
b=0.215, d=1.00E-12, P0=.006 Limit=84.8 G=&gt;215 G cases 
 23-Mar, Cases per 10 M population</t>
  </si>
  <si>
    <t>At Tue 24-Mar NSW 1012 cases per 10M was 16 days behind Italy, 0 days ahead of USA &amp; -2 days behind China, 20 days behind South Korea, -1 days behind UK</t>
  </si>
  <si>
    <t>137 k</t>
  </si>
  <si>
    <t>169 k</t>
  </si>
  <si>
    <t xml:space="preserve">b=0.198, d=1.45E-06, P0=.007 Limit=169 k=&gt;137 k cases </t>
  </si>
  <si>
    <t>NSW Limit 169 k</t>
  </si>
  <si>
    <t>COVID19 NSW P(t) = b / {d+[( b/Po - d ) ]* exp(-b*t)}
b=0.198, d=1.45E-06, P0=.007 Limit=169 k=&gt;137 k cases 
 24-Mar, Cases per 10 M population</t>
  </si>
  <si>
    <t>At Tue 24-Mar Australia 744 cases per 10M was 17 days behind Italy, 2 days behind USA &amp; 0 days behind China, 21 days behind South Korea, 2 days behind UK</t>
  </si>
  <si>
    <t>15.2 k</t>
  </si>
  <si>
    <t>5.98 k</t>
  </si>
  <si>
    <t xml:space="preserve">b=0.216, d=1.43E-05, P0=.006 Limit=5.98 k=&gt;15.2 k cases </t>
  </si>
  <si>
    <t>Australia Limit 5.98 k</t>
  </si>
  <si>
    <t>COVID19 Australia P(t) = b / {d+[( b/Po - d ) ]* exp(-b*t)}
b=0.216, d=1.43E-05, P0=.006 Limit=5.98 k=&gt;15.2 k cases 
 24-Mar, Cases per 10 M population</t>
  </si>
  <si>
    <t>9.61 k</t>
  </si>
  <si>
    <t>3.79 k</t>
  </si>
  <si>
    <t xml:space="preserve">b=0.227, d=2.36E-05, P0=.004 Limit=3.79 k=&gt;9.61 k cases </t>
  </si>
  <si>
    <t>Australia Limit 3.79 k</t>
  </si>
  <si>
    <t>COVID19 Australia P(t) = b / {d+[( b/Po - d ) ]* exp(-b*t)}
b=0.227, d=2.36E-05, P0=.004 Limit=3.79 k=&gt;9.61 k cases 
 24-Mar, Cases per 10 M population</t>
  </si>
  <si>
    <t>At Tue 24-Mar Australia 744 cases per 10M was 17 days behind Italy, 2 days behind USA &amp; 0 days behind China, 21 days behind South Korea, 2 days behind UK
At Tue 24-Mar NSW 1012 cases per 10M was 16 days behind Italy, 0 days ahead of USA &amp; -2 days behind China, 20 days behind South Korea, -1 days behind UK</t>
  </si>
  <si>
    <t>606 k</t>
  </si>
  <si>
    <t xml:space="preserve">b=0.337, d=5.57E-07, P0=.025 Limit=18.4 k=&gt;606 k cases </t>
  </si>
  <si>
    <t>COVID19 USA P(t) = b / {d+[( b/Po - d ) ]* exp(-b*t)}
b=0.337, d=5.57E-07, P0=.025 Limit=18.4 k=&gt;606 k cases 
 22-Mar, Cases per 10 M population</t>
  </si>
  <si>
    <t>Day# Generic</t>
  </si>
  <si>
    <t>Generic Cases Per Capita</t>
  </si>
  <si>
    <t>GenState</t>
  </si>
  <si>
    <t>GenCountry</t>
  </si>
  <si>
    <t>Generic</t>
  </si>
  <si>
    <t>State</t>
  </si>
  <si>
    <t>GenName</t>
  </si>
  <si>
    <t>GenStart</t>
  </si>
  <si>
    <t>Generic LogiP(t)</t>
  </si>
  <si>
    <t>Generic Sq Err</t>
  </si>
  <si>
    <t>Generic LogiP(t) Per Capita</t>
  </si>
  <si>
    <t>CtryAbbrev</t>
  </si>
  <si>
    <t>='time_series_19-covid-Confirmed'!$A$1:$DP$488</t>
  </si>
  <si>
    <t>=myData!$CU$11</t>
  </si>
  <si>
    <t>=myData!$AE$8</t>
  </si>
  <si>
    <t>=myData!$CR$11</t>
  </si>
  <si>
    <t>=myData!$CB$11</t>
  </si>
  <si>
    <t>=myData!$CB$15</t>
  </si>
  <si>
    <t>betaGeneric</t>
  </si>
  <si>
    <t>myData!betaGeneric</t>
  </si>
  <si>
    <t>=myData!$CB$19</t>
  </si>
  <si>
    <t>=myData!$CB$13</t>
  </si>
  <si>
    <t>=myData!$CB$12</t>
  </si>
  <si>
    <t>betaPodeltaGeneric</t>
  </si>
  <si>
    <t>myData!betaPodeltaGeneric</t>
  </si>
  <si>
    <t>=myData!$CG$19</t>
  </si>
  <si>
    <t>betaPodeltaSingapore</t>
  </si>
  <si>
    <t>myData!betaPodeltaSingapore</t>
  </si>
  <si>
    <t>=myData!$CG$18</t>
  </si>
  <si>
    <t>=myData!$AN$2</t>
  </si>
  <si>
    <t>betaPodeltaTests</t>
  </si>
  <si>
    <t>myData!betaPodeltaTests</t>
  </si>
  <si>
    <t>=myData!$CG$20</t>
  </si>
  <si>
    <t>betaSingapore</t>
  </si>
  <si>
    <t>myData!betaSingapore</t>
  </si>
  <si>
    <t>=myData!$CB$18</t>
  </si>
  <si>
    <t>=myData!$CB$16</t>
  </si>
  <si>
    <t>=myData!$AI$2</t>
  </si>
  <si>
    <t>=myData!$CB$20</t>
  </si>
  <si>
    <t>=myData!$CB$17</t>
  </si>
  <si>
    <t>=myData!$CB$14</t>
  </si>
  <si>
    <t>=myData!$CR$15</t>
  </si>
  <si>
    <t>=solvMsgs!$E$1:$G$10</t>
  </si>
  <si>
    <t>=myData!$CC$11</t>
  </si>
  <si>
    <t>=myData!$CC$15</t>
  </si>
  <si>
    <t>deltaGeneric</t>
  </si>
  <si>
    <t>myData!deltaGeneric</t>
  </si>
  <si>
    <t>=myData!$CC$19</t>
  </si>
  <si>
    <t>=myData!$CC$13</t>
  </si>
  <si>
    <t>=myData!$CC$12</t>
  </si>
  <si>
    <t>deltaSingapore</t>
  </si>
  <si>
    <t>myData!deltaSingapore</t>
  </si>
  <si>
    <t>=myData!$CC$18</t>
  </si>
  <si>
    <t>=myData!$CC$16</t>
  </si>
  <si>
    <t>=myData!$AJ$2</t>
  </si>
  <si>
    <t>=myData!$CC$20</t>
  </si>
  <si>
    <t>=myData!$CC$17</t>
  </si>
  <si>
    <t>=myData!$CC$14</t>
  </si>
  <si>
    <t>myData!GenCountry</t>
  </si>
  <si>
    <t>=myData!$Y$2</t>
  </si>
  <si>
    <t>GenericPop</t>
  </si>
  <si>
    <t>myData!GenericPop</t>
  </si>
  <si>
    <t>=myData!$BL$8</t>
  </si>
  <si>
    <t>myData!GenName</t>
  </si>
  <si>
    <t>=myData!$AA$2</t>
  </si>
  <si>
    <t>GenPop</t>
  </si>
  <si>
    <t>myData!GenPop</t>
  </si>
  <si>
    <t>=myData!$Z$8</t>
  </si>
  <si>
    <t>myData!GenStart</t>
  </si>
  <si>
    <t>=myData!$AB$2</t>
  </si>
  <si>
    <t>myData!GenState</t>
  </si>
  <si>
    <t>=myData!$Z$2</t>
  </si>
  <si>
    <t>=OFFSET(myData!HisTableTL,0,COUNTA(myData!$DO:$DO)+1,1,1)</t>
  </si>
  <si>
    <t>=myData!$DQ$10</t>
  </si>
  <si>
    <t>=myData!$CR$13</t>
  </si>
  <si>
    <t>=myData!$BY$13</t>
  </si>
  <si>
    <t>=myData!$FA$2</t>
  </si>
  <si>
    <t>=myData!$EZ$2</t>
  </si>
  <si>
    <t>=myData!$DA$4</t>
  </si>
  <si>
    <t>=myData!$CL$11</t>
  </si>
  <si>
    <t>=myData!$CL$12</t>
  </si>
  <si>
    <t>=myData!$CF$11</t>
  </si>
  <si>
    <t>=myData!$CF$15</t>
  </si>
  <si>
    <t>msqGeneric</t>
  </si>
  <si>
    <t>myData!msqGeneric</t>
  </si>
  <si>
    <t>=myData!$CF$19</t>
  </si>
  <si>
    <t>=myData!$CF$13</t>
  </si>
  <si>
    <t>=myData!$CF$12</t>
  </si>
  <si>
    <t>msqSingapore</t>
  </si>
  <si>
    <t>myData!msqSingapore</t>
  </si>
  <si>
    <t>=myData!$CF$18</t>
  </si>
  <si>
    <t>=myData!$CF$16</t>
  </si>
  <si>
    <t>=myData!$AM$2</t>
  </si>
  <si>
    <t>=myData!$CF$20</t>
  </si>
  <si>
    <t>=myData!$CF$17</t>
  </si>
  <si>
    <t>=myData!$CF$14</t>
  </si>
  <si>
    <t>=myData!$CU$12</t>
  </si>
  <si>
    <t>=myData!$CR$12</t>
  </si>
  <si>
    <t>=myData!$CD$11</t>
  </si>
  <si>
    <t>=myData!$CD$15</t>
  </si>
  <si>
    <t>PoGeneric</t>
  </si>
  <si>
    <t>myData!PoGeneric</t>
  </si>
  <si>
    <t>=myData!$CD$19</t>
  </si>
  <si>
    <t>=myData!$CD$13</t>
  </si>
  <si>
    <t>=myData!$CD$12</t>
  </si>
  <si>
    <t>PoSingapore</t>
  </si>
  <si>
    <t>myData!PoSingapore</t>
  </si>
  <si>
    <t>=myData!$CD$18</t>
  </si>
  <si>
    <t>=myData!$CD$16</t>
  </si>
  <si>
    <t>=myData!$AK$2</t>
  </si>
  <si>
    <t>=myData!$CD$20</t>
  </si>
  <si>
    <t>=myData!$CD$17</t>
  </si>
  <si>
    <t>=myData!$CD$14</t>
  </si>
  <si>
    <t>=OFFSET(myData!RunTableTL,0,0,COUNTA(myData!$BU:$BU),COLUMN(myData!RunTableTR)-COLUMN(myData!RunTableTL)+1)</t>
  </si>
  <si>
    <t>=myData!$BW$10</t>
  </si>
  <si>
    <t>=myData!$CY$10</t>
  </si>
  <si>
    <t>=myData!$BX$11</t>
  </si>
  <si>
    <t>SingaporeCases</t>
  </si>
  <si>
    <t>myData!SingaporeCases</t>
  </si>
  <si>
    <t>=OFFSET(tblData[[#Headers],[Singapore Cases Per Capita]],MATCH(0,tblData[Singapore Cases Per Capita],0)+1,0,COUNTA(tblData[Singapore Cases Per Capita])-1,1)</t>
  </si>
  <si>
    <t>SingaporeDates</t>
  </si>
  <si>
    <t>myData!SingaporeDates</t>
  </si>
  <si>
    <t>=OFFSET(tblData[[#Headers],[Date]],MATCH(0,tblData[Singapore],0)+1,0,COUNTA(tblData[Singapore])-1,1)</t>
  </si>
  <si>
    <t>SingaporeLogi</t>
  </si>
  <si>
    <t>myData!SingaporeLogi</t>
  </si>
  <si>
    <t>=OFFSET(tblData[[#Headers],[Singapore LogiP(t) Per Capita]],MATCH(0,tblData[Singapore],0)+1,0,COUNTA(tblData[Singapore LogiP(t)]),1)</t>
  </si>
  <si>
    <t>SingaporeLogiDates</t>
  </si>
  <si>
    <t>myData!SingaporeLogiDates</t>
  </si>
  <si>
    <t>=OFFSET(tblData[[#Headers],[Date]],MATCH(0,tblData[Singapore],0)+1,0,COUNTA(tblData[Date])-MATCH(0,tblData[Singapore],0),1)</t>
  </si>
  <si>
    <t>SingaporePop</t>
  </si>
  <si>
    <t>myData!SingaporePop</t>
  </si>
  <si>
    <t>=myData!$X$8</t>
  </si>
  <si>
    <t>SingaporeSeries</t>
  </si>
  <si>
    <t>myData!SingaporeSeries</t>
  </si>
  <si>
    <t>=myData!$CR$18</t>
  </si>
  <si>
    <t>SingaporeStart</t>
  </si>
  <si>
    <t>myData!SingaporeStart</t>
  </si>
  <si>
    <t>=myData!$BY$18</t>
  </si>
  <si>
    <t>=OFFSET(tblData[[#Headers],[Skorea LogiP(t) Per Capita]],COUNTA(tblData[Date])-COUNT(tblData[Skorea LogiP(t) Per Capita])+1,0,COUNT(tblData[SKorea LogiP(t)]),1)</t>
  </si>
  <si>
    <t>=OFFSET(tblData[[#Headers],[Date]],COUNTA(tblData[Date])-COUNT(tblData[Skorea LogiP(t) Per Capita])+1,0,COUNT(tblData[SKorea LogiP(t)]),1)</t>
  </si>
  <si>
    <t>=myData!$CR$16</t>
  </si>
  <si>
    <t>=myData!$BY$16</t>
  </si>
  <si>
    <t>=0.00000000001</t>
  </si>
  <si>
    <t>=myData!$BZ$11</t>
  </si>
  <si>
    <t>=myData!$BZ$15</t>
  </si>
  <si>
    <t>=myData!$BZ$13</t>
  </si>
  <si>
    <t>=myData!$BZ$16</t>
  </si>
  <si>
    <t>=myData!$BZ$12</t>
  </si>
  <si>
    <t>StartDt2Singapore</t>
  </si>
  <si>
    <t>myData!StartDt2Singapore</t>
  </si>
  <si>
    <t>=myData!$BZ$18</t>
  </si>
  <si>
    <t>=myData!$BZ$17</t>
  </si>
  <si>
    <t>=myData!$BZ$14</t>
  </si>
  <si>
    <t>TestsPop</t>
  </si>
  <si>
    <t>myData!TestsPop</t>
  </si>
  <si>
    <t>=myData!$BS$8</t>
  </si>
  <si>
    <t>=myData!$DA$8</t>
  </si>
  <si>
    <t>=myData!$DA$9</t>
  </si>
  <si>
    <t>TitleCases</t>
  </si>
  <si>
    <t>myData!TitleCases</t>
  </si>
  <si>
    <t>=myData!$DA$7</t>
  </si>
  <si>
    <t>=myData!$CR$17</t>
  </si>
  <si>
    <t>=myData!$BY$17</t>
  </si>
  <si>
    <t>=myData!$CR$14</t>
  </si>
  <si>
    <t>SumStates</t>
  </si>
  <si>
    <t>MinLoadingDate</t>
  </si>
  <si>
    <t xml:space="preserve">b=0.202, d=1.00E-10, P0=.006 Limit=2.50 G=&gt;56.3 k cases </t>
  </si>
  <si>
    <t>COVID19  NSW TestsP(t) = b / {d+[( b/Po - d ) ]* exp(-b*t)}
b=0.202, d=1.00E-10, P0=.006 Limit=2.50 G=&gt;56.3 k cases 
 23-Mar, Cases per 10 M population</t>
  </si>
  <si>
    <t>COVID19 China  P(t) = b / {d+[( b/Po - d ) ]* exp(-b*t)}
b=0.222, d=2.74E-06, P0=1537.649 Limit=563  =&gt;81.0 k cases 
 23-Mar, Cases per 10 M population</t>
  </si>
  <si>
    <t>GenMatch</t>
  </si>
  <si>
    <t>60.5 k</t>
  </si>
  <si>
    <t>10.3 k</t>
  </si>
  <si>
    <t xml:space="preserve">b=0.22, d=3.63E-06, P0=1536.181 Limit=10.3 k=&gt;60.5 k cases </t>
  </si>
  <si>
    <t>Hubei Limit 10.3 k</t>
  </si>
  <si>
    <t>COVID19 China Hubei P(t) = b / {d+[( b/Po - d ) ]* exp(-b*t)}
b=0.22, d=3.63E-06, P0=1536.181 Limit=10.3 k=&gt;60.5 k cases 
 23-Mar, Cases per 10 M population</t>
  </si>
  <si>
    <t>74_x000D_</t>
  </si>
  <si>
    <t>123_x000D_</t>
  </si>
  <si>
    <t>264_x000D_</t>
  </si>
  <si>
    <t>164_x000D_</t>
  </si>
  <si>
    <t>3_x000D_</t>
  </si>
  <si>
    <t>387_x000D_</t>
  </si>
  <si>
    <t>249_x000D_</t>
  </si>
  <si>
    <t>39_x000D_</t>
  </si>
  <si>
    <t>818_x000D_</t>
  </si>
  <si>
    <t>6_x000D_</t>
  </si>
  <si>
    <t>397_x000D_</t>
  </si>
  <si>
    <t>170_x000D_</t>
  </si>
  <si>
    <t>28_x000D_</t>
  </si>
  <si>
    <t>411_x000D_</t>
  </si>
  <si>
    <t>175_x000D_</t>
  </si>
  <si>
    <t>5283_x000D_</t>
  </si>
  <si>
    <t>87_x000D_</t>
  </si>
  <si>
    <t>Bahamas</t>
  </si>
  <si>
    <t>5_x000D_</t>
  </si>
  <si>
    <t>392_x000D_</t>
  </si>
  <si>
    <t>18_x000D_</t>
  </si>
  <si>
    <t>81_x000D_</t>
  </si>
  <si>
    <t>4269_x000D_</t>
  </si>
  <si>
    <t>2_x000D_</t>
  </si>
  <si>
    <t>29_x000D_</t>
  </si>
  <si>
    <t>166_x000D_</t>
  </si>
  <si>
    <t>2247_x000D_</t>
  </si>
  <si>
    <t>104_x000D_</t>
  </si>
  <si>
    <t>218_x000D_</t>
  </si>
  <si>
    <t>114_x000D_</t>
  </si>
  <si>
    <t>91_x000D_</t>
  </si>
  <si>
    <t>66_x000D_</t>
  </si>
  <si>
    <t>359_x000D_</t>
  </si>
  <si>
    <t>617_x000D_</t>
  </si>
  <si>
    <t>13_x000D_</t>
  </si>
  <si>
    <t>21_x000D_</t>
  </si>
  <si>
    <t>35_x000D_</t>
  </si>
  <si>
    <t>51_x000D_</t>
  </si>
  <si>
    <t>588_x000D_</t>
  </si>
  <si>
    <t>1013_x000D_</t>
  </si>
  <si>
    <t>72_x000D_</t>
  </si>
  <si>
    <t>922_x000D_</t>
  </si>
  <si>
    <t>990_x000D_</t>
  </si>
  <si>
    <t>558_x000D_</t>
  </si>
  <si>
    <t>578_x000D_</t>
  </si>
  <si>
    <t>318_x000D_</t>
  </si>
  <si>
    <t>136_x000D_</t>
  </si>
  <si>
    <t>1428_x000D_</t>
  </si>
  <si>
    <t>254_x000D_</t>
  </si>
  <si>
    <t>146_x000D_</t>
  </si>
  <si>
    <t>168_x000D_</t>
  </si>
  <si>
    <t>319_x000D_</t>
  </si>
  <si>
    <t>484_x000D_</t>
  </si>
  <si>
    <t>1274_x000D_</t>
  </si>
  <si>
    <t>386_x000D_</t>
  </si>
  <si>
    <t>67801_x000D_</t>
  </si>
  <si>
    <t>1018_x000D_</t>
  </si>
  <si>
    <t>75_x000D_</t>
  </si>
  <si>
    <t>636_x000D_</t>
  </si>
  <si>
    <t>936_x000D_</t>
  </si>
  <si>
    <t>93_x000D_</t>
  </si>
  <si>
    <t>127_x000D_</t>
  </si>
  <si>
    <t>25_x000D_</t>
  </si>
  <si>
    <t>768_x000D_</t>
  </si>
  <si>
    <t>414_x000D_</t>
  </si>
  <si>
    <t>134_x000D_</t>
  </si>
  <si>
    <t>545_x000D_</t>
  </si>
  <si>
    <t>145_x000D_</t>
  </si>
  <si>
    <t>1_x000D_</t>
  </si>
  <si>
    <t>76_x000D_</t>
  </si>
  <si>
    <t>176_x000D_</t>
  </si>
  <si>
    <t>1240_x000D_</t>
  </si>
  <si>
    <t>378_x000D_</t>
  </si>
  <si>
    <t>4_x000D_</t>
  </si>
  <si>
    <t>45_x000D_</t>
  </si>
  <si>
    <t>177_x000D_</t>
  </si>
  <si>
    <t>73_x000D_</t>
  </si>
  <si>
    <t>382_x000D_</t>
  </si>
  <si>
    <t>712_x000D_</t>
  </si>
  <si>
    <t>48_x000D_</t>
  </si>
  <si>
    <t>124_x000D_</t>
  </si>
  <si>
    <t>1394_x000D_</t>
  </si>
  <si>
    <t>122_x000D_</t>
  </si>
  <si>
    <t>1591_x000D_</t>
  </si>
  <si>
    <t>312_x000D_</t>
  </si>
  <si>
    <t>1082_x000D_</t>
  </si>
  <si>
    <t>402_x000D_</t>
  </si>
  <si>
    <t>9_x000D_</t>
  </si>
  <si>
    <t>369_x000D_</t>
  </si>
  <si>
    <t>12_x000D_</t>
  </si>
  <si>
    <t>792_x000D_</t>
  </si>
  <si>
    <t>23_x000D_</t>
  </si>
  <si>
    <t>62_x000D_</t>
  </si>
  <si>
    <t>36_x000D_</t>
  </si>
  <si>
    <t>10_x000D_</t>
  </si>
  <si>
    <t>94_x000D_</t>
  </si>
  <si>
    <t>8_x000D_</t>
  </si>
  <si>
    <t>57_x000D_</t>
  </si>
  <si>
    <t>22304_x000D_</t>
  </si>
  <si>
    <t>Gambia</t>
  </si>
  <si>
    <t>70_x000D_</t>
  </si>
  <si>
    <t>32986_x000D_</t>
  </si>
  <si>
    <t>53_x000D_</t>
  </si>
  <si>
    <t>743_x000D_</t>
  </si>
  <si>
    <t>7_x000D_</t>
  </si>
  <si>
    <t>30_x000D_</t>
  </si>
  <si>
    <t>187_x000D_</t>
  </si>
  <si>
    <t>648_x000D_</t>
  </si>
  <si>
    <t>536_x000D_</t>
  </si>
  <si>
    <t>686_x000D_</t>
  </si>
  <si>
    <t>24811_x000D_</t>
  </si>
  <si>
    <t>316_x000D_</t>
  </si>
  <si>
    <t>1329_x000D_</t>
  </si>
  <si>
    <t>1930_x000D_</t>
  </si>
  <si>
    <t>69176_x000D_</t>
  </si>
  <si>
    <t>1193_x000D_</t>
  </si>
  <si>
    <t>154_x000D_</t>
  </si>
  <si>
    <t>9037_x000D_</t>
  </si>
  <si>
    <t>191_x000D_</t>
  </si>
  <si>
    <t>42_x000D_</t>
  </si>
  <si>
    <t>197_x000D_</t>
  </si>
  <si>
    <t>209_x000D_</t>
  </si>
  <si>
    <t>1099_x000D_</t>
  </si>
  <si>
    <t>17_x000D_</t>
  </si>
  <si>
    <t>1624_x000D_</t>
  </si>
  <si>
    <t>110_x000D_</t>
  </si>
  <si>
    <t>367_x000D_</t>
  </si>
  <si>
    <t>125_x000D_</t>
  </si>
  <si>
    <t>47_x000D_</t>
  </si>
  <si>
    <t>5560_x000D_</t>
  </si>
  <si>
    <t>155_x000D_</t>
  </si>
  <si>
    <t>44_x000D_</t>
  </si>
  <si>
    <t>148_x000D_</t>
  </si>
  <si>
    <t>2863_x000D_</t>
  </si>
  <si>
    <t>84_x000D_</t>
  </si>
  <si>
    <t>972_x000D_</t>
  </si>
  <si>
    <t>345_x000D_</t>
  </si>
  <si>
    <t>27_x000D_</t>
  </si>
  <si>
    <t>416_x000D_</t>
  </si>
  <si>
    <t>552_x000D_</t>
  </si>
  <si>
    <t>901_x000D_</t>
  </si>
  <si>
    <t>2362_x000D_</t>
  </si>
  <si>
    <t>526_x000D_</t>
  </si>
  <si>
    <t>794_x000D_</t>
  </si>
  <si>
    <t>495_x000D_</t>
  </si>
  <si>
    <t>40_x000D_</t>
  </si>
  <si>
    <t>767_x000D_</t>
  </si>
  <si>
    <t>86_x000D_</t>
  </si>
  <si>
    <t>303_x000D_</t>
  </si>
  <si>
    <t>204_x000D_</t>
  </si>
  <si>
    <t>480_x000D_</t>
  </si>
  <si>
    <t>554_x000D_</t>
  </si>
  <si>
    <t>39885_x000D_</t>
  </si>
  <si>
    <t>102_x000D_</t>
  </si>
  <si>
    <t>2286_x000D_</t>
  </si>
  <si>
    <t>9877_x000D_</t>
  </si>
  <si>
    <t>215_x000D_</t>
  </si>
  <si>
    <t>827_x000D_</t>
  </si>
  <si>
    <t>20_x000D_</t>
  </si>
  <si>
    <t>1872_x000D_</t>
  </si>
  <si>
    <t>97_x000D_</t>
  </si>
  <si>
    <t>248_x000D_</t>
  </si>
  <si>
    <t>15_x000D_</t>
  </si>
  <si>
    <t>8077_x000D_</t>
  </si>
  <si>
    <t>162_x000D_</t>
  </si>
  <si>
    <t>53740_x000D_</t>
  </si>
  <si>
    <t>50_x000D_</t>
  </si>
  <si>
    <t>0_x000D_</t>
  </si>
  <si>
    <t>Belize</t>
  </si>
  <si>
    <t>Recovered</t>
  </si>
  <si>
    <t>Laos</t>
  </si>
  <si>
    <t>Libya</t>
  </si>
  <si>
    <t>NSW Test Per Capita</t>
  </si>
  <si>
    <t xml:space="preserve">b=0.202, d=1.00E-10, P0=.006 Limit=2.50 G=&gt;67.1 k cases </t>
  </si>
  <si>
    <t>COVID19  NSW TestsP(t) = b / {d+[( b/Po - d ) ]* exp(-b*t)}
b=0.202, d=1.00E-10, P0=.006 Limit=2.50 G=&gt;67.1 k cases 
 25-Mar, Cases per 10 M population</t>
  </si>
  <si>
    <t>NSW Cases Logest</t>
  </si>
  <si>
    <t>SortOrder</t>
  </si>
  <si>
    <t>At Wed 25-Mar NSW 1274 cases per 10M was 16 days behind Italy, 2 days behind USA &amp; -3 days behind China, 19 days behind South Korea, 0 days behind UK</t>
  </si>
  <si>
    <t>COVID19 NSW P(t) = b / {d+[( b/Po - d ) ]* exp(-b*t)}
b=0.198, d=1.00E-12, P0=.007 Limit=245 G=&gt;198 G cases 
 25-Mar, Cases per 10 M population</t>
  </si>
  <si>
    <t>At Wed 25-Mar Australia 956 cases per 10M was 18 days behind Italy, 3 days behind USA &amp; -3 days behind China, 22 days behind South Korea, 2 days behind UK</t>
  </si>
  <si>
    <t>9.57 k</t>
  </si>
  <si>
    <t>3.77 k</t>
  </si>
  <si>
    <t xml:space="preserve">b=0.239, d=2.50E-05, P0=.002 Limit=3.77 k=&gt;9.57 k cases </t>
  </si>
  <si>
    <t>Australia Limit 3.77 k</t>
  </si>
  <si>
    <t>COVID19 Australia P(t) = b / {d+[( b/Po - d ) ]* exp(-b*t)}
b=0.239, d=2.50E-05, P0=.002 Limit=3.77 k=&gt;9.57 k cases 
 25-Mar, Cases per 10 M population</t>
  </si>
  <si>
    <t>72.2 k</t>
  </si>
  <si>
    <t>11.9 k</t>
  </si>
  <si>
    <t xml:space="preserve">b=0.258, d=3.58E-06, P0=.442 Limit=11.9 k=&gt;72.2 k cases </t>
  </si>
  <si>
    <t>Italy Limit 11.9 k</t>
  </si>
  <si>
    <t>COVID19 Italy P(t) = b / {d+[( b/Po - d ) ]* exp(-b*t)}
b=0.258, d=3.58E-06, P0=.442 Limit=11.9 k=&gt;72.2 k cases 
 24-Mar, Cases per 10 M population</t>
  </si>
  <si>
    <t>8.61 k</t>
  </si>
  <si>
    <t>1.67 k</t>
  </si>
  <si>
    <t xml:space="preserve">b=0.3, d=3.49E-05, P0=219.422 Limit=1.67 k=&gt;8.61 k cases , log fit from 19th Feb </t>
  </si>
  <si>
    <t>Skorea Limit 1.67 k fr 19th Feb</t>
  </si>
  <si>
    <t>COVID19 Skorea P(t) = b / {d+[( b/Po - d ) ]* exp(-b*t)}
b=0.3, d=3.49E-05, P0=219.422 Limit=1.67 k=&gt;8.61 k cases , log fit from 19th Feb 
 25-Mar, Cases per 10 M population</t>
  </si>
  <si>
    <t>64.5 k</t>
  </si>
  <si>
    <t>9.71 k</t>
  </si>
  <si>
    <t xml:space="preserve">b=0.236, d=3.66E-06, P0=.03 Limit=9.71 k=&gt;64.5 k cases </t>
  </si>
  <si>
    <t>UK Limit 9.71 k</t>
  </si>
  <si>
    <t>COVID19 UK P(t) = b / {d+[( b/Po - d ) ]* exp(-b*t)}
b=0.236, d=3.66E-06, P0=.03 Limit=9.71 k=&gt;64.5 k cases 
 24-Mar, Cases per 10 M population</t>
  </si>
  <si>
    <t>70.8 G</t>
  </si>
  <si>
    <t>121 G</t>
  </si>
  <si>
    <t xml:space="preserve">b=0.071, d=1.00E-12, P0=6.73 Limit=121 G=&gt;36.5 G cases </t>
  </si>
  <si>
    <t>Singapore Limit 121 G</t>
  </si>
  <si>
    <t>COVID19 Singapore P(t) = b / {d+[( b/Po - d ) ]* exp(-b*t)}
b=0.071, d=1.00E-12, P0=6.73 Limit=121 G=&gt;36.5 G cases 
 24-Mar, Cases per 10 M population</t>
  </si>
  <si>
    <t>67.3 k</t>
  </si>
  <si>
    <t>11.5 k</t>
  </si>
  <si>
    <t xml:space="preserve">b=0.22, d=3.26E-06, P0=1536.181 Limit=11.5 k=&gt;67.3 k cases </t>
  </si>
  <si>
    <t>Hubei Limit 11.5 k</t>
  </si>
  <si>
    <t>COVID19 China Hubei P(t) = b / {d+[( b/Po - d ) ]* exp(-b*t)}
b=0.22, d=3.26E-06, P0=1536.181 Limit=11.5 k=&gt;67.3 k cases 
 24-Mar, Cases per 10 M population</t>
  </si>
  <si>
    <t>At Wed 25-Mar Australia 958 cases per 10M was 18 days behind Italy, 3 days behind USA &amp; -3 days behind China, 22 days behind South Korea, 2 days behind UK</t>
  </si>
  <si>
    <t>9.70 k</t>
  </si>
  <si>
    <t>3.83 k</t>
  </si>
  <si>
    <t xml:space="preserve">b=0.239, d=2.47E-05, P0=.002 Limit=3.83 k=&gt;9.70 k cases </t>
  </si>
  <si>
    <t>Australia Limit 3.83 k</t>
  </si>
  <si>
    <t>COVID19 Australia P(t) = b / {d+[( b/Po - d ) ]* exp(-b*t)}
b=0.239, d=2.47E-05, P0=.002 Limit=3.83 k=&gt;9.70 k cases 
 25-Mar, Cases per 10 M population</t>
  </si>
  <si>
    <t>200 G</t>
  </si>
  <si>
    <t>247 G</t>
  </si>
  <si>
    <t xml:space="preserve">b=0.2, d=1.00E-12, P0=.006 Limit=247 G=&gt;200 G cases </t>
  </si>
  <si>
    <t>NSW Limit 247 G</t>
  </si>
  <si>
    <t>COVID19 NSW P(t) = b / {d+[( b/Po - d ) ]* exp(-b*t)}
b=0.2, d=1.00E-12, P0=.006 Limit=247 G=&gt;200 G cases 
 25-Mar, Cases per 10 M population</t>
  </si>
  <si>
    <t>At Wed 25-Mar Australia 958 cases per 10M was 18 days behind Italy, 3 days behind USA &amp; -2 days behind China, 22 days behind South Korea, 2 days behind UK</t>
  </si>
  <si>
    <t>13.7 k</t>
  </si>
  <si>
    <t>5.41 k</t>
  </si>
  <si>
    <t xml:space="preserve">b=0.23, d=1.68E-05, P0=.003 Limit=5.41 k=&gt;13.7 k cases </t>
  </si>
  <si>
    <t>Australia Limit 5.41 k</t>
  </si>
  <si>
    <t>COVID19 Australia P(t) = b / {d+[( b/Po - d ) ]* exp(-b*t)}
b=0.23, d=1.68E-05, P0=.003 Limit=5.41 k=&gt;13.7 k cases 
 25-Mar, Cases per 10 M population</t>
  </si>
  <si>
    <t>SummaryWords</t>
  </si>
  <si>
    <t>Predic 1 week</t>
  </si>
  <si>
    <t>GrowthInNextWeek</t>
  </si>
  <si>
    <t>At Wed 25-Mar Australia 958 cases per 10M was 18 days behind Italy, 3 days behind USA &amp; -2 days behind China, 22 days behind South Korea, 2 days behind UK
At Wed 25-Mar NSW 1274 cases per 10M was 16 days behind Italy, 2 days behind USA &amp; -3 days behind China, 19 days behind South Korea, 0 days behind UK</t>
  </si>
  <si>
    <t>187 k</t>
  </si>
  <si>
    <t>5.69 k</t>
  </si>
  <si>
    <t xml:space="preserve">b=0.277, d=1.48E-06, P0=.002 Limit=5.69 k=&gt;187 k cases </t>
  </si>
  <si>
    <t>USA Limit 5.69 k</t>
  </si>
  <si>
    <t>COVID19 USA P(t) = b / {d+[( b/Po - d ) ]* exp(-b*t)}
b=0.277, d=1.48E-06, P0=.002 Limit=5.69 k=&gt;187 k cases 
 24-Mar, Cases per 10 M population</t>
  </si>
  <si>
    <t>76.1 k</t>
  </si>
  <si>
    <t>12.6 k</t>
  </si>
  <si>
    <t xml:space="preserve">b=0.258, d=3.39E-06, P0=.442 Limit=12.6 k=&gt;76.1 k cases </t>
  </si>
  <si>
    <t>Italy Limit 12.6 k</t>
  </si>
  <si>
    <t>COVID19 Italy P(t) = b / {d+[( b/Po - d ) ]* exp(-b*t)}
b=0.258, d=3.39E-06, P0=.442 Limit=12.6 k=&gt;76.1 k cases 
 25-Mar, Cases per 10 M population</t>
  </si>
  <si>
    <t>USA GDP 2019</t>
  </si>
  <si>
    <t>$21,427,100 million</t>
  </si>
  <si>
    <t>GDP</t>
  </si>
  <si>
    <t>Bailout</t>
  </si>
  <si>
    <t>At Thu 26-Mar Australia 1055 cases per 10M was 18 days behind Italy, 3 days behind USA &amp; -4 days behind China, 22 days behind South Korea, 2 days behind UK</t>
  </si>
  <si>
    <t>6.25 k</t>
  </si>
  <si>
    <t>2.46 k</t>
  </si>
  <si>
    <t xml:space="preserve">b=0.253, d=4.04E-05, P0=.001 Limit=2.46 k=&gt;6.25 k cases </t>
  </si>
  <si>
    <t>Australia Limit 2.46 k</t>
  </si>
  <si>
    <t>COVID19 Australia P(t) = b / {d+[( b/Po - d ) ]* exp(-b*t)}
b=0.253, d=4.04E-05, P0=.001 Limit=2.46 k=&gt;6.25 k cases 
 26-Mar, Cases per 10 M population</t>
  </si>
  <si>
    <t>At Thu 26-Mar NSW 1509 cases per 10M was 17 days behind Italy, 2 days behind USA &amp; -4 days behind China, 15 days behind South Korea, -1 days behind UK</t>
  </si>
  <si>
    <t>19.9 k</t>
  </si>
  <si>
    <t>24.7 k</t>
  </si>
  <si>
    <t xml:space="preserve">b=0.201, d=1.01E-05, P0=.006 Limit=24.7 k=&gt;19.9 k cases </t>
  </si>
  <si>
    <t>NSW Limit 24.7 k</t>
  </si>
  <si>
    <t>COVID19 NSW P(t) = b / {d+[( b/Po - d ) ]* exp(-b*t)}
b=0.201, d=1.01E-05, P0=.006 Limit=24.7 k=&gt;19.9 k cases 
 26-Mar, Cases per 10 M population</t>
  </si>
  <si>
    <t>MSQ per MaxCasesPerCapita</t>
  </si>
  <si>
    <t>=myData!REF</t>
  </si>
  <si>
    <t>Tests LogEst M</t>
  </si>
  <si>
    <t>B</t>
  </si>
  <si>
    <t>y=BxM^x</t>
  </si>
  <si>
    <t>NSW Test LOGEST</t>
  </si>
  <si>
    <t>y=BxExp(Ln(M))</t>
  </si>
  <si>
    <t>x</t>
  </si>
  <si>
    <t>COVID19  NSW TestsP(t) = b / {d+[( b/Po - d ) ]* exp(-b*t)}
b=0.202, d=1.88E-06, P0=3093.029 Limit=133 k=&gt;72.8 k cases 
 26-Mar, Cases per 10 M population</t>
  </si>
  <si>
    <t>Test LOGEST Sq Err</t>
  </si>
  <si>
    <t>Tests Logest Mean Sq Err</t>
  </si>
  <si>
    <t>At Thu 26-Mar Australia 1106 cases per 10M was 18 days behind Italy, 3 days behind USA &amp; -4 days behind China, 21 days behind South Korea, 2 days behind UK</t>
  </si>
  <si>
    <t>7.04 k</t>
  </si>
  <si>
    <t>2.77 k</t>
  </si>
  <si>
    <t xml:space="preserve">b=0.252, d=3.58E-05, P0=.001 Limit=2.77 k=&gt;7.04 k cases </t>
  </si>
  <si>
    <t>Australia Limit 2.77 k</t>
  </si>
  <si>
    <t>COVID19 Australia P(t) = b / {d+[( b/Po - d ) ]* exp(-b*t)}
b=0.252, d=3.58E-05, P0=.001 Limit=2.77 k=&gt;7.04 k cases 
 26-Mar, Cases per 10 M population</t>
  </si>
  <si>
    <t>9.60 k</t>
  </si>
  <si>
    <t xml:space="preserve">b=0.209, d=2.17E-05, P0=.004 Limit=11.9 k=&gt;9.60 k cases </t>
  </si>
  <si>
    <t>NSW Limit 11.9 k</t>
  </si>
  <si>
    <t>COVID19 NSW P(t) = b / {d+[( b/Po - d ) ]* exp(-b*t)}
b=0.209, d=2.17E-05, P0=.004 Limit=11.9 k=&gt;9.60 k cases 
 26-Mar, Cases per 10 M population</t>
  </si>
  <si>
    <t>COVID19 USA P(t) = b / {d+[( b/Po - d ) ]* exp(-b*t)}
b=0.277, d=1.48E-06, P0=.002 Limit=5.69 k=&gt;187 k cases 
 25-Mar, Cases per 10 M population</t>
  </si>
  <si>
    <t>At Thu 26-Mar Australia 1106 cases per 10M was 18 days behind Italy, 3 days behind USA &amp; -4 days behind China, 21 days behind South Korea, 2 days behind UK
At Thu 26-Mar NSW 1509 cases per 10M was 17 days behind Italy, 2 days behind USA &amp; -4 days behind China, 15 days behind South Korea, -1 days behind UK</t>
  </si>
  <si>
    <t>COVID19 China P(t) = b / {d+[( b/Po - d ) ]* exp(-b*t)}
b=0.222, d=2.74E-06, P0=1537.649 Limit=563  =&gt;81.0 k cases 
 25-Mar, Cases per 10 M population</t>
  </si>
  <si>
    <t>22.0 k</t>
  </si>
  <si>
    <t>3.32 k</t>
  </si>
  <si>
    <t xml:space="preserve">b=0.237, d=1.08E-05, P0=.032 Limit=3.32 k=&gt;22.0 k cases </t>
  </si>
  <si>
    <t>UK Limit 3.32 k</t>
  </si>
  <si>
    <t>COVID19 UK P(t) = b / {d+[( b/Po - d ) ]* exp(-b*t)}
b=0.237, d=1.08E-05, P0=.032 Limit=3.32 k=&gt;22.0 k cases 
 25-Mar, Cases per 10 M population</t>
  </si>
  <si>
    <t>74.5 G</t>
  </si>
  <si>
    <t>127 G</t>
  </si>
  <si>
    <t xml:space="preserve">b=0.074, d=1.00E-12, P0=5.593 Limit=127 G=&gt;40.0 G cases </t>
  </si>
  <si>
    <t>Singapore Limit 127 G</t>
  </si>
  <si>
    <t>COVID19 Singapore P(t) = b / {d+[( b/Po - d ) ]* exp(-b*t)}
b=0.074, d=1.00E-12, P0=5.593 Limit=127 G=&gt;40.0 G cases 
 25-Mar, Cases per 10 M population</t>
  </si>
  <si>
    <t>133 k</t>
  </si>
  <si>
    <t>Tests Limit 133 k</t>
  </si>
  <si>
    <t>108 k</t>
  </si>
  <si>
    <t xml:space="preserve">b=0.202, d=1.88E-06, P0=3093.029 Limit = =&gt;108 k cases </t>
  </si>
  <si>
    <t>COVID19  NSW TestsP(t) = b / {d+[( b/Po - d ) ]* exp(-b*t)}
b=0.202, d=1.88E-06, P0=3093.029 Limit = =&gt;108 k cases 
 26-Mar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</si>
</sst>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"/>
    <numFmt numFmtId="165" formatCode="0.000"/>
    <numFmt numFmtId="166" formatCode="0.000E+00"/>
    <numFmt numFmtId="167" formatCode="0.0"/>
    <numFmt numFmtId="168" formatCode="0.00000"/>
    <numFmt numFmtId="169" formatCode="0.000000"/>
    <numFmt numFmtId="170" formatCode="0.00000E+00"/>
    <numFmt numFmtId="171" formatCode="ddd\ dd/mm/yyyy"/>
    <numFmt numFmtId="172" formatCode="dd/mm/yyyy\ hh:mm"/>
    <numFmt numFmtId="173" formatCode="d/mm/yy;@"/>
    <numFmt numFmtId="174" formatCode="##0.00E+0"/>
    <numFmt numFmtId="175" formatCode="##0.000E+0"/>
    <numFmt numFmtId="176" formatCode="##0.0E+00"/>
    <numFmt numFmtId="177" formatCode="0.0%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Symbol"/>
      <family val="1"/>
      <charset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1"/>
      <color rgb="FF171717"/>
      <name val="Segoe UI"/>
      <family val="2"/>
    </font>
    <font>
      <sz val="11"/>
      <color rgb="FF171717"/>
      <name val="Segoe UI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name val="Symbol"/>
      <family val="1"/>
      <charset val="2"/>
    </font>
    <font>
      <sz val="11"/>
      <color theme="8" tint="-0.499984740745262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66">
    <xf numFmtId="0" fontId="0" fillId="0" borderId="0" xfId="0"/>
    <xf numFmtId="14" fontId="0" fillId="0" borderId="0" xfId="0" applyNumberFormat="1"/>
    <xf numFmtId="164" fontId="18" fillId="33" borderId="10" xfId="0" applyNumberFormat="1" applyFont="1" applyFill="1" applyBorder="1" applyAlignment="1">
      <alignment horizontal="center" wrapText="1"/>
    </xf>
    <xf numFmtId="0" fontId="18" fillId="33" borderId="11" xfId="0" applyFont="1" applyFill="1" applyBorder="1" applyAlignment="1">
      <alignment horizontal="center"/>
    </xf>
    <xf numFmtId="0" fontId="0" fillId="33" borderId="11" xfId="0" applyFill="1" applyBorder="1"/>
    <xf numFmtId="0" fontId="19" fillId="33" borderId="12" xfId="0" applyFont="1" applyFill="1" applyBorder="1" applyAlignment="1">
      <alignment horizontal="center" wrapText="1"/>
    </xf>
    <xf numFmtId="0" fontId="0" fillId="33" borderId="11" xfId="0" applyFill="1" applyBorder="1" applyAlignment="1">
      <alignment wrapText="1"/>
    </xf>
    <xf numFmtId="0" fontId="0" fillId="33" borderId="10" xfId="0" applyFill="1" applyBorder="1" applyAlignment="1">
      <alignment wrapText="1"/>
    </xf>
    <xf numFmtId="0" fontId="0" fillId="33" borderId="13" xfId="0" applyFill="1" applyBorder="1"/>
    <xf numFmtId="164" fontId="0" fillId="0" borderId="14" xfId="0" quotePrefix="1" applyNumberFormat="1" applyBorder="1"/>
    <xf numFmtId="0" fontId="0" fillId="0" borderId="16" xfId="0" applyBorder="1"/>
    <xf numFmtId="1" fontId="0" fillId="0" borderId="0" xfId="0" applyNumberFormat="1"/>
    <xf numFmtId="165" fontId="0" fillId="0" borderId="0" xfId="0" applyNumberFormat="1"/>
    <xf numFmtId="14" fontId="0" fillId="34" borderId="17" xfId="0" applyNumberFormat="1" applyFont="1" applyFill="1" applyBorder="1"/>
    <xf numFmtId="0" fontId="0" fillId="0" borderId="0" xfId="0" applyAlignment="1">
      <alignment wrapText="1"/>
    </xf>
    <xf numFmtId="0" fontId="20" fillId="0" borderId="0" xfId="42"/>
    <xf numFmtId="0" fontId="20" fillId="34" borderId="18" xfId="42" applyFont="1" applyFill="1" applyBorder="1"/>
    <xf numFmtId="14" fontId="21" fillId="0" borderId="0" xfId="0" quotePrefix="1" applyNumberFormat="1" applyFont="1"/>
    <xf numFmtId="0" fontId="0" fillId="0" borderId="0" xfId="0" applyAlignment="1"/>
    <xf numFmtId="2" fontId="0" fillId="0" borderId="0" xfId="0" applyNumberFormat="1"/>
    <xf numFmtId="167" fontId="0" fillId="0" borderId="0" xfId="0" applyNumberFormat="1"/>
    <xf numFmtId="2" fontId="0" fillId="0" borderId="0" xfId="0" applyNumberFormat="1" applyBorder="1"/>
    <xf numFmtId="164" fontId="0" fillId="0" borderId="0" xfId="0" applyNumberFormat="1" applyBorder="1"/>
    <xf numFmtId="0" fontId="0" fillId="0" borderId="0" xfId="0" applyBorder="1"/>
    <xf numFmtId="166" fontId="0" fillId="0" borderId="0" xfId="0" applyNumberFormat="1" applyBorder="1"/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0" fontId="22" fillId="0" borderId="0" xfId="0" applyFont="1" applyAlignment="1">
      <alignment wrapText="1"/>
    </xf>
    <xf numFmtId="0" fontId="14" fillId="35" borderId="0" xfId="0" applyFont="1" applyFill="1" applyAlignment="1">
      <alignment wrapText="1"/>
    </xf>
    <xf numFmtId="0" fontId="14" fillId="0" borderId="0" xfId="0" applyFont="1"/>
    <xf numFmtId="0" fontId="16" fillId="0" borderId="0" xfId="0" applyFont="1"/>
    <xf numFmtId="0" fontId="0" fillId="0" borderId="0" xfId="0" quotePrefix="1"/>
    <xf numFmtId="9" fontId="0" fillId="0" borderId="0" xfId="0" applyNumberFormat="1"/>
    <xf numFmtId="3" fontId="0" fillId="0" borderId="0" xfId="0" applyNumberFormat="1"/>
    <xf numFmtId="0" fontId="0" fillId="0" borderId="18" xfId="0" applyFont="1" applyBorder="1"/>
    <xf numFmtId="165" fontId="0" fillId="0" borderId="0" xfId="0" applyNumberFormat="1" applyBorder="1"/>
    <xf numFmtId="166" fontId="0" fillId="0" borderId="14" xfId="0" quotePrefix="1" applyNumberFormat="1" applyBorder="1"/>
    <xf numFmtId="0" fontId="23" fillId="36" borderId="0" xfId="0" applyFont="1" applyFill="1" applyAlignment="1">
      <alignment horizontal="left" wrapText="1"/>
    </xf>
    <xf numFmtId="0" fontId="24" fillId="36" borderId="19" xfId="0" applyFont="1" applyFill="1" applyBorder="1" applyAlignment="1">
      <alignment horizontal="left" vertical="top" wrapText="1"/>
    </xf>
    <xf numFmtId="169" fontId="0" fillId="0" borderId="15" xfId="0" applyNumberFormat="1" applyBorder="1"/>
    <xf numFmtId="11" fontId="0" fillId="0" borderId="0" xfId="0" applyNumberFormat="1"/>
    <xf numFmtId="0" fontId="0" fillId="37" borderId="0" xfId="0" applyFill="1"/>
    <xf numFmtId="11" fontId="0" fillId="37" borderId="0" xfId="0" applyNumberFormat="1" applyFill="1"/>
    <xf numFmtId="0" fontId="16" fillId="37" borderId="0" xfId="0" applyFont="1" applyFill="1"/>
    <xf numFmtId="0" fontId="0" fillId="38" borderId="0" xfId="0" applyFill="1" applyAlignment="1">
      <alignment wrapText="1"/>
    </xf>
    <xf numFmtId="164" fontId="0" fillId="0" borderId="0" xfId="0" applyNumberFormat="1"/>
    <xf numFmtId="0" fontId="0" fillId="0" borderId="0" xfId="0" quotePrefix="1" applyAlignment="1">
      <alignment horizontal="right"/>
    </xf>
    <xf numFmtId="0" fontId="0" fillId="39" borderId="0" xfId="0" applyFill="1" applyAlignment="1">
      <alignment wrapText="1"/>
    </xf>
    <xf numFmtId="14" fontId="0" fillId="40" borderId="0" xfId="0" applyNumberFormat="1" applyFill="1"/>
    <xf numFmtId="0" fontId="0" fillId="40" borderId="0" xfId="0" applyFill="1"/>
    <xf numFmtId="164" fontId="0" fillId="40" borderId="0" xfId="0" applyNumberFormat="1" applyFill="1"/>
    <xf numFmtId="165" fontId="0" fillId="40" borderId="0" xfId="0" applyNumberFormat="1" applyFill="1"/>
    <xf numFmtId="2" fontId="0" fillId="40" borderId="0" xfId="0" applyNumberFormat="1" applyFill="1"/>
    <xf numFmtId="1" fontId="0" fillId="40" borderId="0" xfId="0" applyNumberFormat="1" applyFill="1"/>
    <xf numFmtId="11" fontId="0" fillId="40" borderId="0" xfId="0" applyNumberFormat="1" applyFill="1"/>
    <xf numFmtId="167" fontId="0" fillId="40" borderId="0" xfId="0" applyNumberFormat="1" applyFill="1"/>
    <xf numFmtId="0" fontId="0" fillId="41" borderId="0" xfId="0" applyFill="1"/>
    <xf numFmtId="14" fontId="0" fillId="41" borderId="0" xfId="0" applyNumberFormat="1" applyFill="1"/>
    <xf numFmtId="165" fontId="0" fillId="41" borderId="0" xfId="0" applyNumberFormat="1" applyFill="1"/>
    <xf numFmtId="2" fontId="0" fillId="41" borderId="0" xfId="0" applyNumberFormat="1" applyFill="1"/>
    <xf numFmtId="0" fontId="0" fillId="41" borderId="0" xfId="0" applyFill="1" applyAlignment="1"/>
    <xf numFmtId="11" fontId="0" fillId="41" borderId="0" xfId="0" applyNumberFormat="1" applyFill="1"/>
    <xf numFmtId="0" fontId="29" fillId="35" borderId="0" xfId="0" applyFont="1" applyFill="1" applyAlignment="1">
      <alignment wrapText="1"/>
    </xf>
    <xf numFmtId="0" fontId="0" fillId="42" borderId="0" xfId="0" applyFill="1" applyAlignment="1">
      <alignment wrapText="1"/>
    </xf>
    <xf numFmtId="1" fontId="0" fillId="0" borderId="0" xfId="0" applyNumberFormat="1" applyFill="1"/>
    <xf numFmtId="165" fontId="0" fillId="0" borderId="0" xfId="0" applyNumberFormat="1" applyFill="1"/>
    <xf numFmtId="11" fontId="0" fillId="0" borderId="0" xfId="0" applyNumberFormat="1" applyFill="1"/>
    <xf numFmtId="0" fontId="22" fillId="39" borderId="0" xfId="0" applyFont="1" applyFill="1" applyAlignment="1">
      <alignment wrapText="1"/>
    </xf>
    <xf numFmtId="0" fontId="22" fillId="42" borderId="0" xfId="0" applyFont="1" applyFill="1" applyAlignment="1">
      <alignment wrapText="1"/>
    </xf>
    <xf numFmtId="0" fontId="30" fillId="0" borderId="0" xfId="0" applyFont="1"/>
    <xf numFmtId="0" fontId="30" fillId="0" borderId="0" xfId="0" applyFont="1" applyAlignment="1">
      <alignment horizontal="right"/>
    </xf>
    <xf numFmtId="0" fontId="30" fillId="0" borderId="0" xfId="0" quotePrefix="1" applyFont="1"/>
    <xf numFmtId="0" fontId="30" fillId="0" borderId="0" xfId="0" quotePrefix="1" applyFont="1" applyAlignment="1">
      <alignment horizontal="right"/>
    </xf>
    <xf numFmtId="0" fontId="29" fillId="43" borderId="0" xfId="0" applyFont="1" applyFill="1" applyAlignment="1">
      <alignment wrapText="1"/>
    </xf>
    <xf numFmtId="0" fontId="17" fillId="42" borderId="0" xfId="0" applyFont="1" applyFill="1" applyAlignment="1">
      <alignment wrapText="1"/>
    </xf>
    <xf numFmtId="172" fontId="0" fillId="0" borderId="0" xfId="0" applyNumberFormat="1"/>
    <xf numFmtId="22" fontId="0" fillId="0" borderId="0" xfId="0" applyNumberFormat="1"/>
    <xf numFmtId="22" fontId="0" fillId="41" borderId="0" xfId="0" applyNumberFormat="1" applyFill="1"/>
    <xf numFmtId="166" fontId="0" fillId="0" borderId="0" xfId="0" applyNumberFormat="1"/>
    <xf numFmtId="0" fontId="0" fillId="44" borderId="0" xfId="0" applyFill="1" applyBorder="1"/>
    <xf numFmtId="0" fontId="0" fillId="44" borderId="0" xfId="0" applyFill="1" applyAlignment="1">
      <alignment wrapText="1"/>
    </xf>
    <xf numFmtId="173" fontId="0" fillId="0" borderId="0" xfId="0" applyNumberFormat="1"/>
    <xf numFmtId="173" fontId="0" fillId="44" borderId="0" xfId="0" applyNumberFormat="1" applyFill="1" applyAlignment="1">
      <alignment wrapText="1"/>
    </xf>
    <xf numFmtId="173" fontId="21" fillId="0" borderId="0" xfId="0" quotePrefix="1" applyNumberFormat="1" applyFont="1"/>
    <xf numFmtId="173" fontId="0" fillId="41" borderId="0" xfId="0" applyNumberFormat="1" applyFill="1"/>
    <xf numFmtId="173" fontId="0" fillId="40" borderId="0" xfId="0" applyNumberFormat="1" applyFill="1"/>
    <xf numFmtId="14" fontId="0" fillId="46" borderId="0" xfId="0" applyNumberFormat="1" applyFill="1"/>
    <xf numFmtId="0" fontId="0" fillId="46" borderId="0" xfId="0" applyFill="1"/>
    <xf numFmtId="11" fontId="0" fillId="46" borderId="0" xfId="0" applyNumberFormat="1" applyFill="1"/>
    <xf numFmtId="170" fontId="0" fillId="46" borderId="0" xfId="0" applyNumberFormat="1" applyFill="1"/>
    <xf numFmtId="14" fontId="17" fillId="45" borderId="0" xfId="0" applyNumberFormat="1" applyFont="1" applyFill="1"/>
    <xf numFmtId="0" fontId="17" fillId="45" borderId="0" xfId="0" applyFont="1" applyFill="1"/>
    <xf numFmtId="164" fontId="17" fillId="45" borderId="0" xfId="0" applyNumberFormat="1" applyFont="1" applyFill="1" applyBorder="1"/>
    <xf numFmtId="166" fontId="17" fillId="45" borderId="0" xfId="0" applyNumberFormat="1" applyFont="1" applyFill="1" applyBorder="1"/>
    <xf numFmtId="48" fontId="0" fillId="0" borderId="0" xfId="0" applyNumberFormat="1"/>
    <xf numFmtId="48" fontId="0" fillId="0" borderId="0" xfId="0" applyNumberFormat="1" applyBorder="1"/>
    <xf numFmtId="174" fontId="0" fillId="0" borderId="0" xfId="0" applyNumberFormat="1"/>
    <xf numFmtId="174" fontId="0" fillId="0" borderId="0" xfId="0" applyNumberFormat="1" applyBorder="1"/>
    <xf numFmtId="175" fontId="0" fillId="0" borderId="0" xfId="0" applyNumberFormat="1" applyBorder="1"/>
    <xf numFmtId="48" fontId="19" fillId="44" borderId="20" xfId="0" applyNumberFormat="1" applyFont="1" applyFill="1" applyBorder="1" applyAlignment="1">
      <alignment horizontal="center" wrapText="1"/>
    </xf>
    <xf numFmtId="0" fontId="0" fillId="44" borderId="13" xfId="0" applyFill="1" applyBorder="1" applyAlignment="1">
      <alignment wrapText="1"/>
    </xf>
    <xf numFmtId="0" fontId="0" fillId="44" borderId="21" xfId="0" applyFill="1" applyBorder="1" applyAlignment="1">
      <alignment wrapText="1"/>
    </xf>
    <xf numFmtId="174" fontId="19" fillId="44" borderId="13" xfId="0" applyNumberFormat="1" applyFont="1" applyFill="1" applyBorder="1" applyAlignment="1">
      <alignment horizontal="center" wrapText="1"/>
    </xf>
    <xf numFmtId="164" fontId="31" fillId="47" borderId="13" xfId="0" applyNumberFormat="1" applyFont="1" applyFill="1" applyBorder="1" applyAlignment="1">
      <alignment horizontal="center" wrapText="1"/>
    </xf>
    <xf numFmtId="0" fontId="31" fillId="47" borderId="13" xfId="0" applyFont="1" applyFill="1" applyBorder="1" applyAlignment="1">
      <alignment horizontal="center"/>
    </xf>
    <xf numFmtId="0" fontId="16" fillId="47" borderId="13" xfId="0" applyFont="1" applyFill="1" applyBorder="1"/>
    <xf numFmtId="174" fontId="0" fillId="47" borderId="0" xfId="0" applyNumberFormat="1" applyFill="1" applyBorder="1"/>
    <xf numFmtId="0" fontId="0" fillId="48" borderId="0" xfId="0" applyFill="1"/>
    <xf numFmtId="164" fontId="18" fillId="48" borderId="10" xfId="0" applyNumberFormat="1" applyFont="1" applyFill="1" applyBorder="1" applyAlignment="1">
      <alignment horizontal="center" wrapText="1"/>
    </xf>
    <xf numFmtId="0" fontId="18" fillId="48" borderId="11" xfId="0" applyFont="1" applyFill="1" applyBorder="1" applyAlignment="1">
      <alignment horizontal="center"/>
    </xf>
    <xf numFmtId="0" fontId="0" fillId="48" borderId="11" xfId="0" applyFill="1" applyBorder="1"/>
    <xf numFmtId="0" fontId="19" fillId="48" borderId="12" xfId="0" applyFont="1" applyFill="1" applyBorder="1" applyAlignment="1">
      <alignment horizontal="center" wrapText="1"/>
    </xf>
    <xf numFmtId="0" fontId="0" fillId="48" borderId="11" xfId="0" applyFill="1" applyBorder="1" applyAlignment="1">
      <alignment wrapText="1"/>
    </xf>
    <xf numFmtId="0" fontId="0" fillId="48" borderId="10" xfId="0" applyFill="1" applyBorder="1" applyAlignment="1">
      <alignment wrapText="1"/>
    </xf>
    <xf numFmtId="0" fontId="0" fillId="48" borderId="13" xfId="0" applyFill="1" applyBorder="1"/>
    <xf numFmtId="0" fontId="0" fillId="48" borderId="0" xfId="0" applyFill="1" applyBorder="1"/>
    <xf numFmtId="0" fontId="0" fillId="48" borderId="0" xfId="0" applyFill="1" applyBorder="1" applyAlignment="1">
      <alignment wrapText="1"/>
    </xf>
    <xf numFmtId="0" fontId="0" fillId="48" borderId="0" xfId="0" applyFill="1" applyAlignment="1">
      <alignment wrapText="1"/>
    </xf>
    <xf numFmtId="1" fontId="0" fillId="41" borderId="0" xfId="0" applyNumberFormat="1" applyFill="1"/>
    <xf numFmtId="174" fontId="0" fillId="41" borderId="0" xfId="0" applyNumberFormat="1" applyFill="1"/>
    <xf numFmtId="175" fontId="0" fillId="0" borderId="0" xfId="0" applyNumberFormat="1"/>
    <xf numFmtId="1" fontId="0" fillId="0" borderId="0" xfId="0" quotePrefix="1" applyNumberFormat="1"/>
    <xf numFmtId="0" fontId="32" fillId="43" borderId="0" xfId="0" applyFont="1" applyFill="1" applyAlignment="1">
      <alignment wrapText="1"/>
    </xf>
    <xf numFmtId="176" fontId="0" fillId="0" borderId="0" xfId="0" applyNumberFormat="1"/>
    <xf numFmtId="176" fontId="0" fillId="37" borderId="0" xfId="0" applyNumberFormat="1" applyFill="1"/>
    <xf numFmtId="176" fontId="0" fillId="40" borderId="0" xfId="0" applyNumberFormat="1" applyFill="1"/>
    <xf numFmtId="173" fontId="0" fillId="44" borderId="0" xfId="0" applyNumberFormat="1" applyFill="1"/>
    <xf numFmtId="0" fontId="16" fillId="44" borderId="0" xfId="0" applyFont="1" applyFill="1"/>
    <xf numFmtId="0" fontId="16" fillId="44" borderId="0" xfId="0" applyFont="1" applyFill="1" applyAlignment="1">
      <alignment wrapText="1"/>
    </xf>
    <xf numFmtId="177" fontId="0" fillId="0" borderId="0" xfId="43" applyNumberFormat="1" applyFont="1"/>
    <xf numFmtId="0" fontId="0" fillId="0" borderId="0" xfId="0" applyFill="1"/>
    <xf numFmtId="14" fontId="0" fillId="0" borderId="0" xfId="0" applyNumberFormat="1" applyFill="1"/>
    <xf numFmtId="166" fontId="0" fillId="0" borderId="0" xfId="0" applyNumberFormat="1" applyFill="1" applyBorder="1"/>
    <xf numFmtId="48" fontId="0" fillId="0" borderId="0" xfId="0" applyNumberFormat="1" applyFill="1" applyBorder="1"/>
    <xf numFmtId="2" fontId="0" fillId="0" borderId="0" xfId="0" applyNumberFormat="1" applyFill="1"/>
    <xf numFmtId="174" fontId="0" fillId="0" borderId="0" xfId="0" applyNumberFormat="1" applyFill="1" applyBorder="1"/>
    <xf numFmtId="0" fontId="0" fillId="0" borderId="0" xfId="0" applyFill="1" applyBorder="1"/>
    <xf numFmtId="171" fontId="0" fillId="0" borderId="0" xfId="0" applyNumberFormat="1" applyFill="1" applyBorder="1"/>
    <xf numFmtId="164" fontId="18" fillId="0" borderId="0" xfId="0" applyNumberFormat="1" applyFont="1" applyFill="1" applyBorder="1" applyAlignment="1">
      <alignment horizontal="center" wrapText="1"/>
    </xf>
    <xf numFmtId="0" fontId="18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wrapText="1"/>
    </xf>
    <xf numFmtId="0" fontId="0" fillId="0" borderId="0" xfId="0" applyFill="1" applyBorder="1" applyAlignment="1">
      <alignment wrapText="1"/>
    </xf>
    <xf numFmtId="164" fontId="0" fillId="0" borderId="0" xfId="0" quotePrefix="1" applyNumberFormat="1" applyFill="1" applyBorder="1"/>
    <xf numFmtId="166" fontId="0" fillId="0" borderId="0" xfId="0" quotePrefix="1" applyNumberFormat="1" applyFill="1" applyBorder="1"/>
    <xf numFmtId="168" fontId="0" fillId="0" borderId="0" xfId="0" applyNumberFormat="1" applyFill="1" applyBorder="1"/>
    <xf numFmtId="0" fontId="0" fillId="37" borderId="23" xfId="0" applyFill="1" applyBorder="1"/>
    <xf numFmtId="0" fontId="0" fillId="37" borderId="26" xfId="0" applyFill="1" applyBorder="1"/>
    <xf numFmtId="0" fontId="0" fillId="37" borderId="24" xfId="0" applyFill="1" applyBorder="1"/>
    <xf numFmtId="0" fontId="0" fillId="37" borderId="27" xfId="0" applyFill="1" applyBorder="1"/>
    <xf numFmtId="0" fontId="0" fillId="37" borderId="20" xfId="0" applyFill="1" applyBorder="1"/>
    <xf numFmtId="0" fontId="0" fillId="37" borderId="28" xfId="0" applyFill="1" applyBorder="1"/>
    <xf numFmtId="0" fontId="0" fillId="49" borderId="20" xfId="0" applyFill="1" applyBorder="1"/>
    <xf numFmtId="165" fontId="0" fillId="49" borderId="13" xfId="0" applyNumberFormat="1" applyFill="1" applyBorder="1"/>
    <xf numFmtId="164" fontId="0" fillId="49" borderId="13" xfId="0" applyNumberFormat="1" applyFill="1" applyBorder="1"/>
    <xf numFmtId="2" fontId="0" fillId="49" borderId="13" xfId="0" applyNumberFormat="1" applyFill="1" applyBorder="1"/>
    <xf numFmtId="0" fontId="0" fillId="49" borderId="13" xfId="0" applyFill="1" applyBorder="1"/>
    <xf numFmtId="165" fontId="16" fillId="49" borderId="13" xfId="0" applyNumberFormat="1" applyFont="1" applyFill="1" applyBorder="1" applyAlignment="1">
      <alignment wrapText="1"/>
    </xf>
    <xf numFmtId="0" fontId="16" fillId="49" borderId="20" xfId="0" applyFont="1" applyFill="1" applyBorder="1"/>
    <xf numFmtId="0" fontId="16" fillId="37" borderId="22" xfId="0" applyFont="1" applyFill="1" applyBorder="1"/>
    <xf numFmtId="0" fontId="16" fillId="37" borderId="12" xfId="0" applyFont="1" applyFill="1" applyBorder="1"/>
    <xf numFmtId="0" fontId="16" fillId="37" borderId="25" xfId="0" applyFont="1" applyFill="1" applyBorder="1"/>
    <xf numFmtId="164" fontId="0" fillId="41" borderId="0" xfId="0" applyNumberFormat="1" applyFill="1"/>
    <xf numFmtId="0" fontId="0" fillId="48" borderId="0" xfId="0" applyFill="1" applyBorder="1" applyAlignment="1">
      <alignment horizontal="right"/>
    </xf>
    <xf numFmtId="14" fontId="0" fillId="49" borderId="0" xfId="0" applyNumberFormat="1" applyFill="1"/>
    <xf numFmtId="0" fontId="0" fillId="49" borderId="0" xfId="0" applyFill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87">
    <dxf>
      <numFmt numFmtId="1" formatCode="0"/>
    </dxf>
    <dxf>
      <numFmt numFmtId="2" formatCode="0.00"/>
    </dxf>
    <dxf>
      <numFmt numFmtId="174" formatCode="##0.00E+0"/>
    </dxf>
    <dxf>
      <numFmt numFmtId="174" formatCode="##0.00E+0"/>
    </dxf>
    <dxf>
      <numFmt numFmtId="1" formatCode="0"/>
    </dxf>
    <dxf>
      <numFmt numFmtId="176" formatCode="##0.0E+00"/>
    </dxf>
    <dxf>
      <numFmt numFmtId="1" formatCode="0"/>
    </dxf>
    <dxf>
      <numFmt numFmtId="1" formatCode="0"/>
    </dxf>
    <dxf>
      <numFmt numFmtId="19" formatCode="d/mm/yyyy"/>
    </dxf>
    <dxf>
      <numFmt numFmtId="19" formatCode="d/mm/yyyy"/>
    </dxf>
    <dxf>
      <numFmt numFmtId="1" formatCode="0"/>
    </dxf>
    <dxf>
      <numFmt numFmtId="1" formatCode="0"/>
    </dxf>
    <dxf>
      <numFmt numFmtId="175" formatCode="##0.000E+0"/>
    </dxf>
    <dxf>
      <numFmt numFmtId="1" formatCode="0"/>
    </dxf>
    <dxf>
      <numFmt numFmtId="19" formatCode="d/mm/yyyy"/>
    </dxf>
    <dxf>
      <numFmt numFmtId="1" formatCode="0"/>
    </dxf>
    <dxf>
      <numFmt numFmtId="19" formatCode="d/mm/yyyy"/>
    </dxf>
    <dxf>
      <numFmt numFmtId="167" formatCode="0.0"/>
    </dxf>
    <dxf>
      <alignment horizontal="general" vertical="bottom" textRotation="0" wrapText="0" indent="0" justifyLastLine="0" shrinkToFit="0" readingOrder="0"/>
    </dxf>
    <dxf>
      <numFmt numFmtId="19" formatCode="d/mm/yyyy"/>
    </dxf>
    <dxf>
      <numFmt numFmtId="1" formatCode="0"/>
    </dxf>
    <dxf>
      <numFmt numFmtId="19" formatCode="d/mm/yyyy"/>
    </dxf>
    <dxf>
      <numFmt numFmtId="176" formatCode="##0.0E+00"/>
    </dxf>
    <dxf>
      <numFmt numFmtId="19" formatCode="d/mm/yyyy"/>
    </dxf>
    <dxf>
      <numFmt numFmtId="19" formatCode="d/mm/yyyy"/>
    </dxf>
    <dxf>
      <numFmt numFmtId="165" formatCode="0.000"/>
    </dxf>
    <dxf>
      <numFmt numFmtId="174" formatCode="##0.00E+0"/>
    </dxf>
    <dxf>
      <numFmt numFmtId="166" formatCode="0.000E+00"/>
    </dxf>
    <dxf>
      <numFmt numFmtId="164" formatCode="0.0000"/>
    </dxf>
    <dxf>
      <numFmt numFmtId="19" formatCode="d/mm/yyyy"/>
    </dxf>
    <dxf>
      <numFmt numFmtId="19" formatCode="d/mm/yyyy"/>
    </dxf>
    <dxf>
      <numFmt numFmtId="27" formatCode="d/mm/yyyy\ h:mm"/>
    </dxf>
    <dxf>
      <fill>
        <patternFill patternType="solid">
          <fgColor indexed="64"/>
          <bgColor theme="3" tint="0.79998168889431442"/>
        </patternFill>
      </fill>
      <alignment horizontal="general" vertical="bottom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7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00"/>
    </dxf>
    <dxf>
      <numFmt numFmtId="165" formatCode="0.000"/>
    </dxf>
    <dxf>
      <numFmt numFmtId="1" formatCode="0"/>
    </dxf>
    <dxf>
      <numFmt numFmtId="0" formatCode="General"/>
    </dxf>
    <dxf>
      <numFmt numFmtId="1" formatCode="0"/>
    </dxf>
    <dxf>
      <numFmt numFmtId="1" formatCode="0"/>
      <fill>
        <patternFill patternType="none">
          <fgColor indexed="64"/>
          <bgColor auto="1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0.0"/>
    </dxf>
    <dxf>
      <numFmt numFmtId="167" formatCode="0.0"/>
    </dxf>
    <dxf>
      <numFmt numFmtId="167" formatCode="0.0"/>
    </dxf>
    <dxf>
      <numFmt numFmtId="167" formatCode="0.0"/>
    </dxf>
    <dxf>
      <numFmt numFmtId="167" formatCode="0.0"/>
    </dxf>
    <dxf>
      <numFmt numFmtId="0" formatCode="General"/>
    </dxf>
    <dxf>
      <numFmt numFmtId="164" formatCode="0.0000"/>
    </dxf>
    <dxf>
      <numFmt numFmtId="2" formatCode="0.00"/>
    </dxf>
    <dxf>
      <numFmt numFmtId="164" formatCode="0.0000"/>
    </dxf>
    <dxf>
      <numFmt numFmtId="176" formatCode="##0.0E+00"/>
    </dxf>
    <dxf>
      <numFmt numFmtId="0" formatCode="General"/>
    </dxf>
    <dxf>
      <numFmt numFmtId="0" formatCode="General"/>
    </dxf>
    <dxf>
      <numFmt numFmtId="19" formatCode="d/mm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xml"/><Relationship Id="rId13" Type="http://schemas.openxmlformats.org/officeDocument/2006/relationships/chartsheet" Target="chartsheets/sheet11.xml"/><Relationship Id="rId18" Type="http://schemas.openxmlformats.org/officeDocument/2006/relationships/chartsheet" Target="chartsheets/sheet15.xml"/><Relationship Id="rId26" Type="http://schemas.openxmlformats.org/officeDocument/2006/relationships/worksheet" Target="worksheets/sheet4.xml"/><Relationship Id="rId3" Type="http://schemas.openxmlformats.org/officeDocument/2006/relationships/worksheet" Target="worksheets/sheet2.xml"/><Relationship Id="rId21" Type="http://schemas.openxmlformats.org/officeDocument/2006/relationships/chartsheet" Target="chartsheets/sheet18.xml"/><Relationship Id="rId34" Type="http://schemas.microsoft.com/office/2006/relationships/vbaProject" Target="vbaProject.bin"/><Relationship Id="rId7" Type="http://schemas.openxmlformats.org/officeDocument/2006/relationships/chartsheet" Target="chartsheets/sheet5.xml"/><Relationship Id="rId12" Type="http://schemas.openxmlformats.org/officeDocument/2006/relationships/chartsheet" Target="chartsheets/sheet10.xml"/><Relationship Id="rId17" Type="http://schemas.openxmlformats.org/officeDocument/2006/relationships/worksheet" Target="worksheets/sheet3.xml"/><Relationship Id="rId25" Type="http://schemas.openxmlformats.org/officeDocument/2006/relationships/chartsheet" Target="chartsheets/sheet22.xml"/><Relationship Id="rId33" Type="http://schemas.openxmlformats.org/officeDocument/2006/relationships/calcChain" Target="calcChain.xml"/><Relationship Id="rId2" Type="http://schemas.openxmlformats.org/officeDocument/2006/relationships/chartsheet" Target="chartsheets/sheet1.xml"/><Relationship Id="rId16" Type="http://schemas.openxmlformats.org/officeDocument/2006/relationships/chartsheet" Target="chartsheets/sheet14.xml"/><Relationship Id="rId20" Type="http://schemas.openxmlformats.org/officeDocument/2006/relationships/chartsheet" Target="chartsheets/sheet17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chartsheet" Target="chartsheets/sheet9.xml"/><Relationship Id="rId24" Type="http://schemas.openxmlformats.org/officeDocument/2006/relationships/chartsheet" Target="chartsheets/sheet21.xml"/><Relationship Id="rId32" Type="http://schemas.openxmlformats.org/officeDocument/2006/relationships/sharedStrings" Target="sharedStrings.xml"/><Relationship Id="rId5" Type="http://schemas.openxmlformats.org/officeDocument/2006/relationships/chartsheet" Target="chartsheets/sheet3.xml"/><Relationship Id="rId15" Type="http://schemas.openxmlformats.org/officeDocument/2006/relationships/chartsheet" Target="chartsheets/sheet13.xml"/><Relationship Id="rId23" Type="http://schemas.openxmlformats.org/officeDocument/2006/relationships/chartsheet" Target="chartsheets/sheet20.xml"/><Relationship Id="rId28" Type="http://schemas.openxmlformats.org/officeDocument/2006/relationships/worksheet" Target="worksheets/sheet6.xml"/><Relationship Id="rId10" Type="http://schemas.openxmlformats.org/officeDocument/2006/relationships/chartsheet" Target="chartsheets/sheet8.xml"/><Relationship Id="rId19" Type="http://schemas.openxmlformats.org/officeDocument/2006/relationships/chartsheet" Target="chartsheets/sheet16.xml"/><Relationship Id="rId31" Type="http://schemas.openxmlformats.org/officeDocument/2006/relationships/styles" Target="styles.xml"/><Relationship Id="rId4" Type="http://schemas.openxmlformats.org/officeDocument/2006/relationships/chartsheet" Target="chartsheets/sheet2.xml"/><Relationship Id="rId9" Type="http://schemas.openxmlformats.org/officeDocument/2006/relationships/chartsheet" Target="chartsheets/sheet7.xml"/><Relationship Id="rId14" Type="http://schemas.openxmlformats.org/officeDocument/2006/relationships/chartsheet" Target="chartsheets/sheet12.xml"/><Relationship Id="rId22" Type="http://schemas.openxmlformats.org/officeDocument/2006/relationships/chartsheet" Target="chartsheets/sheet19.xml"/><Relationship Id="rId27" Type="http://schemas.openxmlformats.org/officeDocument/2006/relationships/worksheet" Target="worksheets/sheet5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COVID19</a:t>
            </a:r>
            <a:r>
              <a:rPr lang="en-AU" baseline="0"/>
              <a:t> NSW Cases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770781879081094E-2"/>
          <c:y val="9.5692523094125223E-2"/>
          <c:w val="0.85045843624183781"/>
          <c:h val="0.66675733941375714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47625" cap="rnd">
                <a:solidFill>
                  <a:srgbClr val="FF0000">
                    <a:alpha val="63000"/>
                  </a:srgbClr>
                </a:solidFill>
                <a:prstDash val="solid"/>
              </a:ln>
              <a:effectLst/>
            </c:spPr>
            <c:trendlineType val="exp"/>
            <c:forward val="14"/>
            <c:dispRSqr val="1"/>
            <c:dispEq val="1"/>
            <c:trendlineLbl>
              <c:layout>
                <c:manualLayout>
                  <c:x val="-0.12645660793149946"/>
                  <c:y val="2.14038146408110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myData!NSWDates</c:f>
              <c:numCache>
                <c:formatCode>m/d/yyyy</c:formatCode>
                <c:ptCount val="61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61"/>
                <c:pt idx="0">
                  <c:v>3.7128712871287126</c:v>
                </c:pt>
                <c:pt idx="1">
                  <c:v>4.9504950495049505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7.4257425742574252</c:v>
                </c:pt>
                <c:pt idx="36">
                  <c:v>7.4257425742574252</c:v>
                </c:pt>
                <c:pt idx="37">
                  <c:v>16.089108910891088</c:v>
                </c:pt>
                <c:pt idx="38">
                  <c:v>27.227722772277225</c:v>
                </c:pt>
                <c:pt idx="39">
                  <c:v>27.227722772277225</c:v>
                </c:pt>
                <c:pt idx="40">
                  <c:v>32.178217821782177</c:v>
                </c:pt>
                <c:pt idx="41">
                  <c:v>34.653465346534652</c:v>
                </c:pt>
                <c:pt idx="42">
                  <c:v>47.029702970297024</c:v>
                </c:pt>
                <c:pt idx="43">
                  <c:v>59.405940594059402</c:v>
                </c:pt>
                <c:pt idx="44">
                  <c:v>68.06930693069306</c:v>
                </c:pt>
                <c:pt idx="45">
                  <c:v>80.445544554455438</c:v>
                </c:pt>
                <c:pt idx="46">
                  <c:v>80.445544554455438</c:v>
                </c:pt>
                <c:pt idx="47">
                  <c:v>113.86138613861385</c:v>
                </c:pt>
                <c:pt idx="48">
                  <c:v>138.61386138613861</c:v>
                </c:pt>
                <c:pt idx="49">
                  <c:v>165.84158415841583</c:v>
                </c:pt>
                <c:pt idx="50">
                  <c:v>211.63366336633663</c:v>
                </c:pt>
                <c:pt idx="51">
                  <c:v>259.9009900990099</c:v>
                </c:pt>
                <c:pt idx="52">
                  <c:v>330.44554455445541</c:v>
                </c:pt>
                <c:pt idx="53">
                  <c:v>379.95049504950492</c:v>
                </c:pt>
                <c:pt idx="54">
                  <c:v>436.88118811881185</c:v>
                </c:pt>
                <c:pt idx="55">
                  <c:v>539.60396039603961</c:v>
                </c:pt>
                <c:pt idx="56">
                  <c:v>827.97029702970292</c:v>
                </c:pt>
                <c:pt idx="57">
                  <c:v>827.97029702970292</c:v>
                </c:pt>
                <c:pt idx="58">
                  <c:v>1012.3762376237623</c:v>
                </c:pt>
                <c:pt idx="59">
                  <c:v>1273.5148514851485</c:v>
                </c:pt>
                <c:pt idx="60">
                  <c:v>1508.6633663366335</c:v>
                </c:pt>
              </c:numCache>
            </c:numRef>
          </c:yVal>
          <c:smooth val="0"/>
        </c:ser>
        <c:ser>
          <c:idx val="0"/>
          <c:order val="1"/>
          <c:tx>
            <c:v>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43922</c:v>
                </c:pt>
                <c:pt idx="67">
                  <c:v>43923</c:v>
                </c:pt>
                <c:pt idx="68">
                  <c:v>43930</c:v>
                </c:pt>
                <c:pt idx="69">
                  <c:v>43937</c:v>
                </c:pt>
                <c:pt idx="70">
                  <c:v>43944</c:v>
                </c:pt>
                <c:pt idx="71">
                  <c:v>43951</c:v>
                </c:pt>
                <c:pt idx="72">
                  <c:v>43958</c:v>
                </c:pt>
                <c:pt idx="73">
                  <c:v>43965</c:v>
                </c:pt>
                <c:pt idx="74">
                  <c:v>43972</c:v>
                </c:pt>
                <c:pt idx="75">
                  <c:v>43979</c:v>
                </c:pt>
                <c:pt idx="76">
                  <c:v>43986</c:v>
                </c:pt>
                <c:pt idx="77">
                  <c:v>43993</c:v>
                </c:pt>
                <c:pt idx="78">
                  <c:v>44000</c:v>
                </c:pt>
                <c:pt idx="79">
                  <c:v>44007</c:v>
                </c:pt>
                <c:pt idx="80">
                  <c:v>44014</c:v>
                </c:pt>
                <c:pt idx="81">
                  <c:v>44021</c:v>
                </c:pt>
                <c:pt idx="82">
                  <c:v>44028</c:v>
                </c:pt>
                <c:pt idx="83">
                  <c:v>44035</c:v>
                </c:pt>
                <c:pt idx="84">
                  <c:v>44042</c:v>
                </c:pt>
                <c:pt idx="85">
                  <c:v>44049</c:v>
                </c:pt>
                <c:pt idx="86">
                  <c:v>44056</c:v>
                </c:pt>
                <c:pt idx="87">
                  <c:v>44063</c:v>
                </c:pt>
                <c:pt idx="88">
                  <c:v>44070</c:v>
                </c:pt>
                <c:pt idx="89">
                  <c:v>44077</c:v>
                </c:pt>
                <c:pt idx="90">
                  <c:v>44084</c:v>
                </c:pt>
                <c:pt idx="91">
                  <c:v>44091</c:v>
                </c:pt>
                <c:pt idx="92">
                  <c:v>44098</c:v>
                </c:pt>
                <c:pt idx="93">
                  <c:v>44105</c:v>
                </c:pt>
                <c:pt idx="94">
                  <c:v>44112</c:v>
                </c:pt>
                <c:pt idx="95">
                  <c:v>44119</c:v>
                </c:pt>
                <c:pt idx="96">
                  <c:v>44126</c:v>
                </c:pt>
                <c:pt idx="97">
                  <c:v>44133</c:v>
                </c:pt>
                <c:pt idx="98">
                  <c:v>44140</c:v>
                </c:pt>
                <c:pt idx="99">
                  <c:v>44147</c:v>
                </c:pt>
                <c:pt idx="100">
                  <c:v>44154</c:v>
                </c:pt>
                <c:pt idx="101">
                  <c:v>44161</c:v>
                </c:pt>
                <c:pt idx="102">
                  <c:v>44168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3"/>
                <c:pt idx="0">
                  <c:v>6.3712984807301754E-3</c:v>
                </c:pt>
                <c:pt idx="1">
                  <c:v>7.8487840642898453E-3</c:v>
                </c:pt>
                <c:pt idx="2">
                  <c:v>9.6688939778353522E-3</c:v>
                </c:pt>
                <c:pt idx="3">
                  <c:v>1.1911081597819484E-2</c:v>
                </c:pt>
                <c:pt idx="4">
                  <c:v>1.4673225184410197E-2</c:v>
                </c:pt>
                <c:pt idx="5">
                  <c:v>1.807590049120817E-2</c:v>
                </c:pt>
                <c:pt idx="6">
                  <c:v>2.226764414513269E-2</c:v>
                </c:pt>
                <c:pt idx="7">
                  <c:v>2.743143753458533E-2</c:v>
                </c:pt>
                <c:pt idx="8">
                  <c:v>3.3792694209925055E-2</c:v>
                </c:pt>
                <c:pt idx="9">
                  <c:v>4.1629099413407263E-2</c:v>
                </c:pt>
                <c:pt idx="10">
                  <c:v>5.1282731176733508E-2</c:v>
                </c:pt>
                <c:pt idx="11">
                  <c:v>6.3174991975944172E-2</c:v>
                </c:pt>
                <c:pt idx="12">
                  <c:v>7.7825002553146866E-2</c:v>
                </c:pt>
                <c:pt idx="13">
                  <c:v>9.5872260542864726E-2</c:v>
                </c:pt>
                <c:pt idx="14">
                  <c:v>0.11810455255167786</c:v>
                </c:pt>
                <c:pt idx="15">
                  <c:v>0.14549233742475587</c:v>
                </c:pt>
                <c:pt idx="16">
                  <c:v>0.17923110054882554</c:v>
                </c:pt>
                <c:pt idx="17">
                  <c:v>0.22079352643764122</c:v>
                </c:pt>
                <c:pt idx="18">
                  <c:v>0.27199376458837904</c:v>
                </c:pt>
                <c:pt idx="19">
                  <c:v>0.3350665902065712</c:v>
                </c:pt>
                <c:pt idx="20">
                  <c:v>0.41276490963182538</c:v>
                </c:pt>
                <c:pt idx="21">
                  <c:v>0.508479858105782</c:v>
                </c:pt>
                <c:pt idx="22">
                  <c:v>0.62638871920597339</c:v>
                </c:pt>
                <c:pt idx="23">
                  <c:v>0.77163710287616338</c:v>
                </c:pt>
                <c:pt idx="24">
                  <c:v>0.95056330401493339</c:v>
                </c:pt>
                <c:pt idx="25">
                  <c:v>1.1709745890210341</c:v>
                </c:pt>
                <c:pt idx="26">
                  <c:v>1.4424874004241792</c:v>
                </c:pt>
                <c:pt idx="27">
                  <c:v>1.7769462234123128</c:v>
                </c:pt>
                <c:pt idx="28">
                  <c:v>2.1889392364740052</c:v>
                </c:pt>
                <c:pt idx="29">
                  <c:v>2.6964330092326785</c:v>
                </c:pt>
                <c:pt idx="30">
                  <c:v>3.3215535798391</c:v>
                </c:pt>
                <c:pt idx="31">
                  <c:v>4.0915474409086281</c:v>
                </c:pt>
                <c:pt idx="32">
                  <c:v>5.0399635235325233</c:v>
                </c:pt>
                <c:pt idx="33">
                  <c:v>6.208106472073557</c:v>
                </c:pt>
                <c:pt idx="34">
                  <c:v>7.6468226723816715</c:v>
                </c:pt>
                <c:pt idx="35">
                  <c:v>9.4186940029785617</c:v>
                </c:pt>
                <c:pt idx="36">
                  <c:v>11.600730535048687</c:v>
                </c:pt>
                <c:pt idx="37">
                  <c:v>14.287672855037508</c:v>
                </c:pt>
                <c:pt idx="38">
                  <c:v>17.596037769575929</c:v>
                </c:pt>
                <c:pt idx="39">
                  <c:v>21.669068278614812</c:v>
                </c:pt>
                <c:pt idx="40">
                  <c:v>26.682780144797977</c:v>
                </c:pt>
                <c:pt idx="41">
                  <c:v>32.853333158594644</c:v>
                </c:pt>
                <c:pt idx="42">
                  <c:v>40.445994834390724</c:v>
                </c:pt>
                <c:pt idx="43">
                  <c:v>49.786006493631319</c:v>
                </c:pt>
                <c:pt idx="44">
                  <c:v>61.271703896265599</c:v>
                </c:pt>
                <c:pt idx="45">
                  <c:v>75.390282094892427</c:v>
                </c:pt>
                <c:pt idx="46">
                  <c:v>92.736619165176265</c:v>
                </c:pt>
                <c:pt idx="47">
                  <c:v>114.03557336852663</c:v>
                </c:pt>
                <c:pt idx="48">
                  <c:v>140.16812379875256</c:v>
                </c:pt>
                <c:pt idx="49">
                  <c:v>172.20160683402094</c:v>
                </c:pt>
                <c:pt idx="50">
                  <c:v>211.42406819814897</c:v>
                </c:pt>
                <c:pt idx="51">
                  <c:v>259.38234538965673</c:v>
                </c:pt>
                <c:pt idx="52">
                  <c:v>317.92284106745399</c:v>
                </c:pt>
                <c:pt idx="53">
                  <c:v>389.23294933643001</c:v>
                </c:pt>
                <c:pt idx="54">
                  <c:v>475.87964623656359</c:v>
                </c:pt>
                <c:pt idx="55">
                  <c:v>580.83975269771838</c:v>
                </c:pt>
                <c:pt idx="56">
                  <c:v>707.51377059479773</c:v>
                </c:pt>
                <c:pt idx="57">
                  <c:v>859.71205066950142</c:v>
                </c:pt>
                <c:pt idx="58">
                  <c:v>1041.5986850414913</c:v>
                </c:pt>
                <c:pt idx="59">
                  <c:v>1257.5756347546417</c:v>
                </c:pt>
                <c:pt idx="60">
                  <c:v>1512.0884766621496</c:v>
                </c:pt>
                <c:pt idx="61">
                  <c:v>1809.3377049792223</c:v>
                </c:pt>
                <c:pt idx="62">
                  <c:v>2152.8881502544336</c:v>
                </c:pt>
                <c:pt idx="63">
                  <c:v>2545.1859962546355</c:v>
                </c:pt>
                <c:pt idx="64">
                  <c:v>2987.0187662352032</c:v>
                </c:pt>
                <c:pt idx="65">
                  <c:v>3476.9857623387938</c:v>
                </c:pt>
                <c:pt idx="66">
                  <c:v>4011.0769128489947</c:v>
                </c:pt>
                <c:pt idx="67">
                  <c:v>4582.4739601766814</c:v>
                </c:pt>
                <c:pt idx="68">
                  <c:v>8672.7236910020129</c:v>
                </c:pt>
                <c:pt idx="69" formatCode="0.00E+00">
                  <c:v>10940.930780631754</c:v>
                </c:pt>
                <c:pt idx="70" formatCode="0.00E+00">
                  <c:v>11648.511933451053</c:v>
                </c:pt>
                <c:pt idx="71" formatCode="0.00E+00">
                  <c:v>11826.153299668858</c:v>
                </c:pt>
                <c:pt idx="72" formatCode="0.00E+00">
                  <c:v>11868.190790849338</c:v>
                </c:pt>
                <c:pt idx="73" formatCode="0.00E+00">
                  <c:v>11877.99731544269</c:v>
                </c:pt>
                <c:pt idx="74" formatCode="0.00E+00">
                  <c:v>11880.277320420282</c:v>
                </c:pt>
                <c:pt idx="75" formatCode="0.00E+00">
                  <c:v>11880.807004753402</c:v>
                </c:pt>
                <c:pt idx="76" formatCode="0.00E+00">
                  <c:v>11880.930037183418</c:v>
                </c:pt>
                <c:pt idx="77" formatCode="0.00E+00">
                  <c:v>11880.958613336119</c:v>
                </c:pt>
                <c:pt idx="78" formatCode="0.00E+00">
                  <c:v>11880.965250517091</c:v>
                </c:pt>
                <c:pt idx="79" formatCode="0.00E+00">
                  <c:v>11880.966792084682</c:v>
                </c:pt>
                <c:pt idx="80" formatCode="0.00E+00">
                  <c:v>11880.967150132688</c:v>
                </c:pt>
                <c:pt idx="81" formatCode="0.00E+00">
                  <c:v>11880.967233293723</c:v>
                </c:pt>
                <c:pt idx="82" formatCode="0.00E+00">
                  <c:v>11880.967252608893</c:v>
                </c:pt>
                <c:pt idx="83" formatCode="0.00E+00">
                  <c:v>11880.967257095075</c:v>
                </c:pt>
                <c:pt idx="84" formatCode="0.00E+00">
                  <c:v>11880.967258137045</c:v>
                </c:pt>
                <c:pt idx="85" formatCode="0.00E+00">
                  <c:v>11880.967258379056</c:v>
                </c:pt>
                <c:pt idx="86" formatCode="0.00E+00">
                  <c:v>11880.967258435265</c:v>
                </c:pt>
                <c:pt idx="87" formatCode="0.00E+00">
                  <c:v>11880.96725844832</c:v>
                </c:pt>
                <c:pt idx="88" formatCode="0.00E+00">
                  <c:v>11880.967258451356</c:v>
                </c:pt>
                <c:pt idx="89" formatCode="0.00E+00">
                  <c:v>11880.967258452059</c:v>
                </c:pt>
                <c:pt idx="90" formatCode="0.00E+00">
                  <c:v>11880.967258452221</c:v>
                </c:pt>
                <c:pt idx="91" formatCode="0.00E+00">
                  <c:v>11880.96725845226</c:v>
                </c:pt>
                <c:pt idx="92" formatCode="0.00E+00">
                  <c:v>11880.967258452269</c:v>
                </c:pt>
                <c:pt idx="93" formatCode="0.00E+00">
                  <c:v>11880.96725845227</c:v>
                </c:pt>
                <c:pt idx="94" formatCode="0.00E+00">
                  <c:v>11880.96725845227</c:v>
                </c:pt>
                <c:pt idx="95" formatCode="0.00E+00">
                  <c:v>11880.96725845227</c:v>
                </c:pt>
                <c:pt idx="96" formatCode="0.00E+00">
                  <c:v>11880.96725845227</c:v>
                </c:pt>
                <c:pt idx="97" formatCode="0.00E+00">
                  <c:v>11880.96725845227</c:v>
                </c:pt>
                <c:pt idx="98" formatCode="0.00E+00">
                  <c:v>11880.96725845227</c:v>
                </c:pt>
                <c:pt idx="99" formatCode="0.00E+00">
                  <c:v>11880.96725845227</c:v>
                </c:pt>
                <c:pt idx="100" formatCode="0.00E+00">
                  <c:v>11880.96725845227</c:v>
                </c:pt>
                <c:pt idx="101" formatCode="0.00E+00">
                  <c:v>11880.96725845227</c:v>
                </c:pt>
                <c:pt idx="102" formatCode="0.00E+00">
                  <c:v>11880.96725845227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041936"/>
        <c:axId val="634039976"/>
      </c:scatterChart>
      <c:valAx>
        <c:axId val="63404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39976"/>
        <c:crosses val="autoZero"/>
        <c:crossBetween val="midCat"/>
      </c:valAx>
      <c:valAx>
        <c:axId val="634039976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41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542621438983967"/>
          <c:y val="0.21857955690483466"/>
          <c:w val="0.18750031493421657"/>
          <c:h val="0.167378369857047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myData!$CX$19</c:f>
          <c:strCache>
            <c:ptCount val="1"/>
            <c:pt idx="0">
              <c:v>COVID19  NSW TestsP(t) = b / {d+[( b/Po - d ) ]* exp(-b*t)}
b=0.202, d=1.88E-06, P0=3093.029 Limit = =&gt;108 k cases 
 26-Mar</c:v>
            </c:pt>
          </c:strCache>
        </c:strRef>
      </c:tx>
      <c:layout>
        <c:manualLayout>
          <c:xMode val="edge"/>
          <c:yMode val="edge"/>
          <c:x val="0.2354672452946992"/>
          <c:y val="9.821976672805401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72478846281398"/>
          <c:y val="0.1656882392463373"/>
          <c:w val="0.8272091620316413"/>
          <c:h val="0.67598427743716105"/>
        </c:manualLayout>
      </c:layout>
      <c:scatterChart>
        <c:scatterStyle val="lineMarker"/>
        <c:varyColors val="0"/>
        <c:ser>
          <c:idx val="0"/>
          <c:order val="0"/>
          <c:tx>
            <c:v>NSW Tests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myData!TestsDates</c:f>
              <c:numCache>
                <c:formatCode>m/d/yyyy</c:formatCode>
                <c:ptCount val="21"/>
                <c:pt idx="0">
                  <c:v>43896</c:v>
                </c:pt>
                <c:pt idx="1">
                  <c:v>43897</c:v>
                </c:pt>
                <c:pt idx="2">
                  <c:v>43898</c:v>
                </c:pt>
                <c:pt idx="3">
                  <c:v>43899</c:v>
                </c:pt>
                <c:pt idx="4">
                  <c:v>43900</c:v>
                </c:pt>
                <c:pt idx="5">
                  <c:v>43901</c:v>
                </c:pt>
                <c:pt idx="6">
                  <c:v>43902</c:v>
                </c:pt>
                <c:pt idx="7">
                  <c:v>43903</c:v>
                </c:pt>
                <c:pt idx="8">
                  <c:v>43904</c:v>
                </c:pt>
                <c:pt idx="9">
                  <c:v>43905</c:v>
                </c:pt>
                <c:pt idx="10">
                  <c:v>43906</c:v>
                </c:pt>
                <c:pt idx="11">
                  <c:v>43907</c:v>
                </c:pt>
                <c:pt idx="12">
                  <c:v>43908</c:v>
                </c:pt>
                <c:pt idx="13">
                  <c:v>43909</c:v>
                </c:pt>
                <c:pt idx="14">
                  <c:v>43910</c:v>
                </c:pt>
                <c:pt idx="15">
                  <c:v>43911</c:v>
                </c:pt>
                <c:pt idx="16">
                  <c:v>43912</c:v>
                </c:pt>
                <c:pt idx="17">
                  <c:v>43913</c:v>
                </c:pt>
                <c:pt idx="18">
                  <c:v>43914</c:v>
                </c:pt>
                <c:pt idx="19">
                  <c:v>43915</c:v>
                </c:pt>
                <c:pt idx="20">
                  <c:v>43916</c:v>
                </c:pt>
              </c:numCache>
            </c:numRef>
          </c:xVal>
          <c:yVal>
            <c:numRef>
              <c:f>myData!TestsCases</c:f>
              <c:numCache>
                <c:formatCode>General</c:formatCode>
                <c:ptCount val="21"/>
                <c:pt idx="0">
                  <c:v>6217</c:v>
                </c:pt>
                <c:pt idx="1">
                  <c:v>6690</c:v>
                </c:pt>
                <c:pt idx="2">
                  <c:v>7361</c:v>
                </c:pt>
                <c:pt idx="3">
                  <c:v>7848</c:v>
                </c:pt>
                <c:pt idx="4">
                  <c:v>8361</c:v>
                </c:pt>
                <c:pt idx="5">
                  <c:v>9152</c:v>
                </c:pt>
                <c:pt idx="6">
                  <c:v>11040</c:v>
                </c:pt>
                <c:pt idx="7">
                  <c:v>18716</c:v>
                </c:pt>
                <c:pt idx="8">
                  <c:v>18716</c:v>
                </c:pt>
                <c:pt idx="9">
                  <c:v>20511</c:v>
                </c:pt>
                <c:pt idx="10">
                  <c:v>25511</c:v>
                </c:pt>
                <c:pt idx="11">
                  <c:v>28552</c:v>
                </c:pt>
                <c:pt idx="12">
                  <c:v>33387</c:v>
                </c:pt>
                <c:pt idx="13">
                  <c:v>38782</c:v>
                </c:pt>
                <c:pt idx="14">
                  <c:v>40298</c:v>
                </c:pt>
                <c:pt idx="15">
                  <c:v>46456</c:v>
                </c:pt>
                <c:pt idx="16">
                  <c:v>52130</c:v>
                </c:pt>
                <c:pt idx="17">
                  <c:v>56272</c:v>
                </c:pt>
                <c:pt idx="18">
                  <c:v>61030</c:v>
                </c:pt>
                <c:pt idx="19">
                  <c:v>67148</c:v>
                </c:pt>
                <c:pt idx="20" formatCode="0">
                  <c:v>72787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myData!$BT$7</c:f>
              <c:strCache>
                <c:ptCount val="1"/>
                <c:pt idx="0">
                  <c:v>Test Logistic Growth Limit 107.54E+3 mse = 1783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myData!TestsLogiDates</c:f>
              <c:numCache>
                <c:formatCode>m/d/yyyy</c:formatCode>
                <c:ptCount val="63"/>
                <c:pt idx="0">
                  <c:v>43896</c:v>
                </c:pt>
                <c:pt idx="1">
                  <c:v>43897</c:v>
                </c:pt>
                <c:pt idx="2">
                  <c:v>43898</c:v>
                </c:pt>
                <c:pt idx="3">
                  <c:v>43899</c:v>
                </c:pt>
                <c:pt idx="4">
                  <c:v>43900</c:v>
                </c:pt>
                <c:pt idx="5">
                  <c:v>43901</c:v>
                </c:pt>
                <c:pt idx="6">
                  <c:v>43902</c:v>
                </c:pt>
                <c:pt idx="7">
                  <c:v>43903</c:v>
                </c:pt>
                <c:pt idx="8">
                  <c:v>43904</c:v>
                </c:pt>
                <c:pt idx="9">
                  <c:v>43905</c:v>
                </c:pt>
                <c:pt idx="10">
                  <c:v>43906</c:v>
                </c:pt>
                <c:pt idx="11">
                  <c:v>43907</c:v>
                </c:pt>
                <c:pt idx="12">
                  <c:v>43908</c:v>
                </c:pt>
                <c:pt idx="13">
                  <c:v>43909</c:v>
                </c:pt>
                <c:pt idx="14">
                  <c:v>43910</c:v>
                </c:pt>
                <c:pt idx="15">
                  <c:v>43911</c:v>
                </c:pt>
                <c:pt idx="16">
                  <c:v>43912</c:v>
                </c:pt>
                <c:pt idx="17">
                  <c:v>43913</c:v>
                </c:pt>
                <c:pt idx="18">
                  <c:v>43914</c:v>
                </c:pt>
                <c:pt idx="19">
                  <c:v>43915</c:v>
                </c:pt>
                <c:pt idx="20">
                  <c:v>43916</c:v>
                </c:pt>
                <c:pt idx="21">
                  <c:v>43917</c:v>
                </c:pt>
                <c:pt idx="22">
                  <c:v>43918</c:v>
                </c:pt>
                <c:pt idx="23">
                  <c:v>43919</c:v>
                </c:pt>
                <c:pt idx="24">
                  <c:v>43920</c:v>
                </c:pt>
                <c:pt idx="25">
                  <c:v>43921</c:v>
                </c:pt>
                <c:pt idx="26">
                  <c:v>43922</c:v>
                </c:pt>
                <c:pt idx="27">
                  <c:v>43923</c:v>
                </c:pt>
                <c:pt idx="28">
                  <c:v>43930</c:v>
                </c:pt>
                <c:pt idx="29">
                  <c:v>43937</c:v>
                </c:pt>
                <c:pt idx="30">
                  <c:v>43944</c:v>
                </c:pt>
                <c:pt idx="31">
                  <c:v>43951</c:v>
                </c:pt>
                <c:pt idx="32">
                  <c:v>43958</c:v>
                </c:pt>
                <c:pt idx="33">
                  <c:v>43965</c:v>
                </c:pt>
                <c:pt idx="34">
                  <c:v>43972</c:v>
                </c:pt>
                <c:pt idx="35">
                  <c:v>43979</c:v>
                </c:pt>
                <c:pt idx="36">
                  <c:v>43986</c:v>
                </c:pt>
                <c:pt idx="37">
                  <c:v>43993</c:v>
                </c:pt>
                <c:pt idx="38">
                  <c:v>44000</c:v>
                </c:pt>
                <c:pt idx="39">
                  <c:v>44007</c:v>
                </c:pt>
                <c:pt idx="40">
                  <c:v>44014</c:v>
                </c:pt>
                <c:pt idx="41">
                  <c:v>44021</c:v>
                </c:pt>
                <c:pt idx="42">
                  <c:v>44028</c:v>
                </c:pt>
                <c:pt idx="43">
                  <c:v>44035</c:v>
                </c:pt>
                <c:pt idx="44">
                  <c:v>44042</c:v>
                </c:pt>
                <c:pt idx="45">
                  <c:v>44049</c:v>
                </c:pt>
                <c:pt idx="46">
                  <c:v>44056</c:v>
                </c:pt>
                <c:pt idx="47">
                  <c:v>44063</c:v>
                </c:pt>
                <c:pt idx="48">
                  <c:v>44070</c:v>
                </c:pt>
                <c:pt idx="49">
                  <c:v>44077</c:v>
                </c:pt>
                <c:pt idx="50">
                  <c:v>44084</c:v>
                </c:pt>
                <c:pt idx="51">
                  <c:v>44091</c:v>
                </c:pt>
                <c:pt idx="52">
                  <c:v>44098</c:v>
                </c:pt>
                <c:pt idx="53">
                  <c:v>44105</c:v>
                </c:pt>
                <c:pt idx="54">
                  <c:v>44112</c:v>
                </c:pt>
                <c:pt idx="55">
                  <c:v>44119</c:v>
                </c:pt>
                <c:pt idx="56">
                  <c:v>44126</c:v>
                </c:pt>
                <c:pt idx="57">
                  <c:v>44133</c:v>
                </c:pt>
                <c:pt idx="58">
                  <c:v>44140</c:v>
                </c:pt>
                <c:pt idx="59">
                  <c:v>44147</c:v>
                </c:pt>
                <c:pt idx="60">
                  <c:v>44154</c:v>
                </c:pt>
                <c:pt idx="61">
                  <c:v>44161</c:v>
                </c:pt>
                <c:pt idx="62">
                  <c:v>44168</c:v>
                </c:pt>
              </c:numCache>
            </c:numRef>
          </c:xVal>
          <c:yVal>
            <c:numRef>
              <c:f>myData!TestsLogi</c:f>
              <c:numCache>
                <c:formatCode>0</c:formatCode>
                <c:ptCount val="63"/>
                <c:pt idx="0">
                  <c:v>3762.6292540789545</c:v>
                </c:pt>
                <c:pt idx="1">
                  <c:v>4570.8462360967715</c:v>
                </c:pt>
                <c:pt idx="2">
                  <c:v>5543.3960287488944</c:v>
                </c:pt>
                <c:pt idx="3">
                  <c:v>6709.3944240937462</c:v>
                </c:pt>
                <c:pt idx="4">
                  <c:v>8101.1699103551809</c:v>
                </c:pt>
                <c:pt idx="5">
                  <c:v>9753.724155624961</c:v>
                </c:pt>
                <c:pt idx="6">
                  <c:v>11703.707156044797</c:v>
                </c:pt>
                <c:pt idx="7">
                  <c:v>13987.771164658772</c:v>
                </c:pt>
                <c:pt idx="8">
                  <c:v>16640.192883932879</c:v>
                </c:pt>
                <c:pt idx="9">
                  <c:v>19689.724096534828</c:v>
                </c:pt>
                <c:pt idx="10">
                  <c:v>23155.76098345589</c:v>
                </c:pt>
                <c:pt idx="11">
                  <c:v>27044.114171174813</c:v>
                </c:pt>
                <c:pt idx="12">
                  <c:v>31342.893254136536</c:v>
                </c:pt>
                <c:pt idx="13">
                  <c:v>36019.23505944504</c:v>
                </c:pt>
                <c:pt idx="14">
                  <c:v>41017.715902367345</c:v>
                </c:pt>
                <c:pt idx="15">
                  <c:v>46261.19837757913</c:v>
                </c:pt>
                <c:pt idx="16">
                  <c:v>51654.51659307009</c:v>
                </c:pt>
                <c:pt idx="17">
                  <c:v>57090.835986673985</c:v>
                </c:pt>
                <c:pt idx="18">
                  <c:v>62459.883242217576</c:v>
                </c:pt>
                <c:pt idx="19">
                  <c:v>67656.74700952055</c:v>
                </c:pt>
                <c:pt idx="20">
                  <c:v>72589.792430180154</c:v>
                </c:pt>
                <c:pt idx="21">
                  <c:v>77186.476021685346</c:v>
                </c:pt>
                <c:pt idx="22">
                  <c:v>81396.393818577024</c:v>
                </c:pt>
                <c:pt idx="23">
                  <c:v>85191.537788463625</c:v>
                </c:pt>
                <c:pt idx="24">
                  <c:v>88564.26332857438</c:v>
                </c:pt>
                <c:pt idx="25">
                  <c:v>91523.759555536381</c:v>
                </c:pt>
                <c:pt idx="26">
                  <c:v>94091.852214468454</c:v>
                </c:pt>
                <c:pt idx="27">
                  <c:v>96298.826267159937</c:v>
                </c:pt>
                <c:pt idx="28">
                  <c:v>104581.8807571199</c:v>
                </c:pt>
                <c:pt idx="29">
                  <c:v>106809.67924141571</c:v>
                </c:pt>
                <c:pt idx="30">
                  <c:v>107364.27304504</c:v>
                </c:pt>
                <c:pt idx="31">
                  <c:v>107499.62580734566</c:v>
                </c:pt>
                <c:pt idx="32">
                  <c:v>107532.49907253287</c:v>
                </c:pt>
                <c:pt idx="33">
                  <c:v>107540.47357513332</c:v>
                </c:pt>
                <c:pt idx="34">
                  <c:v>107542.40749906773</c:v>
                </c:pt>
                <c:pt idx="35">
                  <c:v>107542.87646885069</c:v>
                </c:pt>
                <c:pt idx="36">
                  <c:v>107542.99019045627</c:v>
                </c:pt>
                <c:pt idx="37">
                  <c:v>107543.01776696752</c:v>
                </c:pt>
                <c:pt idx="38">
                  <c:v>107543.02445402766</c:v>
                </c:pt>
                <c:pt idx="39">
                  <c:v>107543.02607558022</c:v>
                </c:pt>
                <c:pt idx="40">
                  <c:v>107543.02646879226</c:v>
                </c:pt>
                <c:pt idx="41">
                  <c:v>107543.02656414268</c:v>
                </c:pt>
                <c:pt idx="42">
                  <c:v>107543.02658726429</c:v>
                </c:pt>
                <c:pt idx="43">
                  <c:v>107543.02659287107</c:v>
                </c:pt>
                <c:pt idx="44">
                  <c:v>107543.02659423069</c:v>
                </c:pt>
                <c:pt idx="45">
                  <c:v>107543.02659456038</c:v>
                </c:pt>
                <c:pt idx="46">
                  <c:v>107543.02659464032</c:v>
                </c:pt>
                <c:pt idx="47">
                  <c:v>107543.02659465971</c:v>
                </c:pt>
                <c:pt idx="48">
                  <c:v>107543.02659466441</c:v>
                </c:pt>
                <c:pt idx="49">
                  <c:v>107543.02659466554</c:v>
                </c:pt>
                <c:pt idx="50">
                  <c:v>107543.02659466582</c:v>
                </c:pt>
                <c:pt idx="51">
                  <c:v>107543.02659466589</c:v>
                </c:pt>
                <c:pt idx="52">
                  <c:v>107543.02659466591</c:v>
                </c:pt>
                <c:pt idx="53">
                  <c:v>107543.02659466591</c:v>
                </c:pt>
                <c:pt idx="54">
                  <c:v>107543.02659466591</c:v>
                </c:pt>
                <c:pt idx="55">
                  <c:v>107543.02659466591</c:v>
                </c:pt>
                <c:pt idx="56">
                  <c:v>107543.02659466591</c:v>
                </c:pt>
                <c:pt idx="57">
                  <c:v>107543.02659466591</c:v>
                </c:pt>
                <c:pt idx="58">
                  <c:v>107543.02659466591</c:v>
                </c:pt>
                <c:pt idx="59">
                  <c:v>107543.02659466591</c:v>
                </c:pt>
                <c:pt idx="60">
                  <c:v>107543.02659466591</c:v>
                </c:pt>
                <c:pt idx="61">
                  <c:v>107543.02659466591</c:v>
                </c:pt>
                <c:pt idx="62">
                  <c:v>107543.02659466591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myData!TestsLogestLabel</c:f>
              <c:strCache>
                <c:ptCount val="1"/>
                <c:pt idx="0">
                  <c:v>Exponential Growth: 
y = 5066.7 x 1.145^ [day number]
r^2=97.9% mse=36624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myData!TestsLogiDates</c:f>
              <c:numCache>
                <c:formatCode>m/d/yyyy</c:formatCode>
                <c:ptCount val="63"/>
                <c:pt idx="0">
                  <c:v>43896</c:v>
                </c:pt>
                <c:pt idx="1">
                  <c:v>43897</c:v>
                </c:pt>
                <c:pt idx="2">
                  <c:v>43898</c:v>
                </c:pt>
                <c:pt idx="3">
                  <c:v>43899</c:v>
                </c:pt>
                <c:pt idx="4">
                  <c:v>43900</c:v>
                </c:pt>
                <c:pt idx="5">
                  <c:v>43901</c:v>
                </c:pt>
                <c:pt idx="6">
                  <c:v>43902</c:v>
                </c:pt>
                <c:pt idx="7">
                  <c:v>43903</c:v>
                </c:pt>
                <c:pt idx="8">
                  <c:v>43904</c:v>
                </c:pt>
                <c:pt idx="9">
                  <c:v>43905</c:v>
                </c:pt>
                <c:pt idx="10">
                  <c:v>43906</c:v>
                </c:pt>
                <c:pt idx="11">
                  <c:v>43907</c:v>
                </c:pt>
                <c:pt idx="12">
                  <c:v>43908</c:v>
                </c:pt>
                <c:pt idx="13">
                  <c:v>43909</c:v>
                </c:pt>
                <c:pt idx="14">
                  <c:v>43910</c:v>
                </c:pt>
                <c:pt idx="15">
                  <c:v>43911</c:v>
                </c:pt>
                <c:pt idx="16">
                  <c:v>43912</c:v>
                </c:pt>
                <c:pt idx="17">
                  <c:v>43913</c:v>
                </c:pt>
                <c:pt idx="18">
                  <c:v>43914</c:v>
                </c:pt>
                <c:pt idx="19">
                  <c:v>43915</c:v>
                </c:pt>
                <c:pt idx="20">
                  <c:v>43916</c:v>
                </c:pt>
                <c:pt idx="21">
                  <c:v>43917</c:v>
                </c:pt>
                <c:pt idx="22">
                  <c:v>43918</c:v>
                </c:pt>
                <c:pt idx="23">
                  <c:v>43919</c:v>
                </c:pt>
                <c:pt idx="24">
                  <c:v>43920</c:v>
                </c:pt>
                <c:pt idx="25">
                  <c:v>43921</c:v>
                </c:pt>
                <c:pt idx="26">
                  <c:v>43922</c:v>
                </c:pt>
                <c:pt idx="27">
                  <c:v>43923</c:v>
                </c:pt>
                <c:pt idx="28">
                  <c:v>43930</c:v>
                </c:pt>
                <c:pt idx="29">
                  <c:v>43937</c:v>
                </c:pt>
                <c:pt idx="30">
                  <c:v>43944</c:v>
                </c:pt>
                <c:pt idx="31">
                  <c:v>43951</c:v>
                </c:pt>
                <c:pt idx="32">
                  <c:v>43958</c:v>
                </c:pt>
                <c:pt idx="33">
                  <c:v>43965</c:v>
                </c:pt>
                <c:pt idx="34">
                  <c:v>43972</c:v>
                </c:pt>
                <c:pt idx="35">
                  <c:v>43979</c:v>
                </c:pt>
                <c:pt idx="36">
                  <c:v>43986</c:v>
                </c:pt>
                <c:pt idx="37">
                  <c:v>43993</c:v>
                </c:pt>
                <c:pt idx="38">
                  <c:v>44000</c:v>
                </c:pt>
                <c:pt idx="39">
                  <c:v>44007</c:v>
                </c:pt>
                <c:pt idx="40">
                  <c:v>44014</c:v>
                </c:pt>
                <c:pt idx="41">
                  <c:v>44021</c:v>
                </c:pt>
                <c:pt idx="42">
                  <c:v>44028</c:v>
                </c:pt>
                <c:pt idx="43">
                  <c:v>44035</c:v>
                </c:pt>
                <c:pt idx="44">
                  <c:v>44042</c:v>
                </c:pt>
                <c:pt idx="45">
                  <c:v>44049</c:v>
                </c:pt>
                <c:pt idx="46">
                  <c:v>44056</c:v>
                </c:pt>
                <c:pt idx="47">
                  <c:v>44063</c:v>
                </c:pt>
                <c:pt idx="48">
                  <c:v>44070</c:v>
                </c:pt>
                <c:pt idx="49">
                  <c:v>44077</c:v>
                </c:pt>
                <c:pt idx="50">
                  <c:v>44084</c:v>
                </c:pt>
                <c:pt idx="51">
                  <c:v>44091</c:v>
                </c:pt>
                <c:pt idx="52">
                  <c:v>44098</c:v>
                </c:pt>
                <c:pt idx="53">
                  <c:v>44105</c:v>
                </c:pt>
                <c:pt idx="54">
                  <c:v>44112</c:v>
                </c:pt>
                <c:pt idx="55">
                  <c:v>44119</c:v>
                </c:pt>
                <c:pt idx="56">
                  <c:v>44126</c:v>
                </c:pt>
                <c:pt idx="57">
                  <c:v>44133</c:v>
                </c:pt>
                <c:pt idx="58">
                  <c:v>44140</c:v>
                </c:pt>
                <c:pt idx="59">
                  <c:v>44147</c:v>
                </c:pt>
                <c:pt idx="60">
                  <c:v>44154</c:v>
                </c:pt>
                <c:pt idx="61">
                  <c:v>44161</c:v>
                </c:pt>
                <c:pt idx="62">
                  <c:v>44168</c:v>
                </c:pt>
              </c:numCache>
            </c:numRef>
          </c:xVal>
          <c:yVal>
            <c:numRef>
              <c:f>myData!TestsLOGEST</c:f>
              <c:numCache>
                <c:formatCode>##0.0E+00</c:formatCode>
                <c:ptCount val="63"/>
                <c:pt idx="0">
                  <c:v>5799.6385258679657</c:v>
                </c:pt>
                <c:pt idx="1">
                  <c:v>6638.561856995505</c:v>
                </c:pt>
                <c:pt idx="2">
                  <c:v>7598.8362606719656</c:v>
                </c:pt>
                <c:pt idx="3">
                  <c:v>8698.0152870995844</c:v>
                </c:pt>
                <c:pt idx="4">
                  <c:v>9956.191624522231</c:v>
                </c:pt>
                <c:pt idx="5">
                  <c:v>11396.364388002912</c:v>
                </c:pt>
                <c:pt idx="6">
                  <c:v>13044.859536878734</c:v>
                </c:pt>
                <c:pt idx="7">
                  <c:v>14931.811106008008</c:v>
                </c:pt>
                <c:pt idx="8">
                  <c:v>17091.712047583449</c:v>
                </c:pt>
                <c:pt idx="9">
                  <c:v>19564.044752747257</c:v>
                </c:pt>
                <c:pt idx="10">
                  <c:v>22394.002778768656</c:v>
                </c:pt>
                <c:pt idx="11">
                  <c:v>25633.316974756824</c:v>
                </c:pt>
                <c:pt idx="12">
                  <c:v>29341.201107258468</c:v>
                </c:pt>
                <c:pt idx="13">
                  <c:v>33585.434271514248</c:v>
                </c:pt>
                <c:pt idx="14">
                  <c:v>38443.599874551903</c:v>
                </c:pt>
                <c:pt idx="15">
                  <c:v>44004.503838384131</c:v>
                </c:pt>
                <c:pt idx="16">
                  <c:v>50369.797947672938</c:v>
                </c:pt>
                <c:pt idx="17">
                  <c:v>57655.838016206144</c:v>
                </c:pt>
                <c:pt idx="18">
                  <c:v>65995.810838954887</c:v>
                </c:pt>
                <c:pt idx="19">
                  <c:v>75542.168809806724</c:v>
                </c:pt>
                <c:pt idx="20">
                  <c:v>86469.416709112207</c:v>
                </c:pt>
                <c:pt idx="21">
                  <c:v>98977.301602749998</c:v>
                </c:pt>
                <c:pt idx="22">
                  <c:v>113294.46416318172</c:v>
                </c:pt>
                <c:pt idx="23">
                  <c:v>129682.6181576346</c:v>
                </c:pt>
                <c:pt idx="24">
                  <c:v>148441.33450329883</c:v>
                </c:pt>
                <c:pt idx="25">
                  <c:v>169913.51734074345</c:v>
                </c:pt>
                <c:pt idx="26">
                  <c:v>194491.67222665684</c:v>
                </c:pt>
                <c:pt idx="27">
                  <c:v>222625.08102673953</c:v>
                </c:pt>
                <c:pt idx="28">
                  <c:v>573172.90422914887</c:v>
                </c:pt>
                <c:pt idx="29">
                  <c:v>1475697.0626459543</c:v>
                </c:pt>
                <c:pt idx="30">
                  <c:v>3799345.3714121864</c:v>
                </c:pt>
                <c:pt idx="31">
                  <c:v>9781835.0504736528</c:v>
                </c:pt>
                <c:pt idx="32">
                  <c:v>25184416.682579655</c:v>
                </c:pt>
                <c:pt idx="33">
                  <c:v>64840067.366611831</c:v>
                </c:pt>
                <c:pt idx="34">
                  <c:v>166937927.88994303</c:v>
                </c:pt>
                <c:pt idx="35">
                  <c:v>429800166.77987069</c:v>
                </c:pt>
                <c:pt idx="36">
                  <c:v>1106568086.1079705</c:v>
                </c:pt>
                <c:pt idx="37">
                  <c:v>2848981977.7566576</c:v>
                </c:pt>
                <c:pt idx="38">
                  <c:v>7335019337.2468777</c:v>
                </c:pt>
                <c:pt idx="39">
                  <c:v>18884818892.449001</c:v>
                </c:pt>
                <c:pt idx="40">
                  <c:v>48621055815.029175</c:v>
                </c:pt>
                <c:pt idx="41">
                  <c:v>125180288041.49228</c:v>
                </c:pt>
                <c:pt idx="42">
                  <c:v>322290502570.84747</c:v>
                </c:pt>
                <c:pt idx="43">
                  <c:v>829772559821.40173</c:v>
                </c:pt>
                <c:pt idx="44">
                  <c:v>2136341268328.8962</c:v>
                </c:pt>
                <c:pt idx="45">
                  <c:v>5500246978217.0811</c:v>
                </c:pt>
                <c:pt idx="46">
                  <c:v>14160994439362.502</c:v>
                </c:pt>
                <c:pt idx="47">
                  <c:v>36459047076584.039</c:v>
                </c:pt>
                <c:pt idx="48">
                  <c:v>93867850836640.25</c:v>
                </c:pt>
                <c:pt idx="49">
                  <c:v>241673168313517.28</c:v>
                </c:pt>
                <c:pt idx="50">
                  <c:v>622214312590776.25</c:v>
                </c:pt>
                <c:pt idx="51">
                  <c:v>1601959594830032</c:v>
                </c:pt>
                <c:pt idx="52">
                  <c:v>4124422231276785</c:v>
                </c:pt>
                <c:pt idx="53">
                  <c:v>1.0618781395454E+16</c:v>
                </c:pt>
                <c:pt idx="54">
                  <c:v>2.7339227654568652E+16</c:v>
                </c:pt>
                <c:pt idx="55">
                  <c:v>7.0387866640546392E+16</c:v>
                </c:pt>
                <c:pt idx="56">
                  <c:v>1.812213509762192E+17</c:v>
                </c:pt>
                <c:pt idx="57">
                  <c:v>4.6657441995447706E+17</c:v>
                </c:pt>
                <c:pt idx="58">
                  <c:v>1.2012474699210437E+18</c:v>
                </c:pt>
                <c:pt idx="59">
                  <c:v>3.0927445275128883E+18</c:v>
                </c:pt>
                <c:pt idx="60">
                  <c:v>7.9626129935487908E+18</c:v>
                </c:pt>
                <c:pt idx="61">
                  <c:v>2.0500628202879533E+19</c:v>
                </c:pt>
                <c:pt idx="62">
                  <c:v>5.2781135671569351E+19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040760"/>
        <c:axId val="634063104"/>
      </c:scatterChart>
      <c:valAx>
        <c:axId val="634040760"/>
        <c:scaling>
          <c:orientation val="minMax"/>
          <c:max val="43922"/>
          <c:min val="43895"/>
        </c:scaling>
        <c:delete val="0"/>
        <c:axPos val="b"/>
        <c:majorGridlines>
          <c:spPr>
            <a:ln w="190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Date</a:t>
                </a:r>
              </a:p>
            </c:rich>
          </c:tx>
          <c:layout>
            <c:manualLayout>
              <c:xMode val="edge"/>
              <c:yMode val="edge"/>
              <c:x val="0.84938830299642143"/>
              <c:y val="0.906002136473272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d\ dd\-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63104"/>
        <c:crosses val="autoZero"/>
        <c:crossBetween val="midCat"/>
        <c:majorUnit val="7"/>
        <c:minorUnit val="1"/>
      </c:valAx>
      <c:valAx>
        <c:axId val="634063104"/>
        <c:scaling>
          <c:orientation val="minMax"/>
          <c:max val="100000"/>
          <c:min val="1000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3175" cap="flat" cmpd="sng" algn="ctr">
              <a:solidFill>
                <a:schemeClr val="bg1">
                  <a:lumMod val="85000"/>
                </a:schemeClr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 b="1"/>
                  <a:t>Number of Tests</a:t>
                </a:r>
              </a:p>
            </c:rich>
          </c:tx>
          <c:layout>
            <c:manualLayout>
              <c:xMode val="edge"/>
              <c:yMode val="edge"/>
              <c:x val="1.6348894204711178E-2"/>
              <c:y val="0.375689022600649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40760"/>
        <c:crosses val="autoZero"/>
        <c:crossBetween val="midCat"/>
        <c:majorUnit val="10000"/>
        <c:minorUnit val="10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2286022911396"/>
          <c:y val="0.19818042081756354"/>
          <c:w val="0.27207418567263936"/>
          <c:h val="0.24033178173170341"/>
        </c:manualLayout>
      </c:layout>
      <c:overlay val="0"/>
      <c:spPr>
        <a:solidFill>
          <a:schemeClr val="accent1">
            <a:lumMod val="20000"/>
            <a:lumOff val="80000"/>
            <a:alpha val="57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Logistic Equation Asymptote v's Date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876130895670227E-2"/>
          <c:y val="7.7413138390551917E-2"/>
          <c:w val="0.90261765137958339"/>
          <c:h val="0.7113688647471057"/>
        </c:manualLayout>
      </c:layout>
      <c:scatterChart>
        <c:scatterStyle val="lineMarker"/>
        <c:varyColors val="0"/>
        <c:ser>
          <c:idx val="1"/>
          <c:order val="0"/>
          <c:tx>
            <c:v>Italy Asymptote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myData!HisTableItalyDates</c:f>
              <c:numCache>
                <c:formatCode>m/d/yyyy</c:formatCode>
                <c:ptCount val="20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43907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43911</c:v>
                </c:pt>
                <c:pt idx="9">
                  <c:v>43911</c:v>
                </c:pt>
                <c:pt idx="10">
                  <c:v>43911</c:v>
                </c:pt>
                <c:pt idx="11">
                  <c:v>43912</c:v>
                </c:pt>
                <c:pt idx="12">
                  <c:v>43912</c:v>
                </c:pt>
                <c:pt idx="13">
                  <c:v>43914</c:v>
                </c:pt>
                <c:pt idx="14">
                  <c:v>43915</c:v>
                </c:pt>
                <c:pt idx="15">
                  <c:v>43915</c:v>
                </c:pt>
                <c:pt idx="16">
                  <c:v>43915</c:v>
                </c:pt>
                <c:pt idx="17">
                  <c:v>43915</c:v>
                </c:pt>
                <c:pt idx="18">
                  <c:v>43915</c:v>
                </c:pt>
                <c:pt idx="19">
                  <c:v>43915</c:v>
                </c:pt>
              </c:numCache>
            </c:numRef>
          </c:xVal>
          <c:yVal>
            <c:numRef>
              <c:f>myData!HisTableItalyLimit</c:f>
              <c:numCache>
                <c:formatCode>##0.0E+0</c:formatCode>
                <c:ptCount val="20"/>
                <c:pt idx="0">
                  <c:v>32853.312146806733</c:v>
                </c:pt>
                <c:pt idx="1">
                  <c:v>36357.597379060448</c:v>
                </c:pt>
                <c:pt idx="2">
                  <c:v>42656.90071971056</c:v>
                </c:pt>
                <c:pt idx="3">
                  <c:v>44773.432595385282</c:v>
                </c:pt>
                <c:pt idx="4">
                  <c:v>44773.432595385282</c:v>
                </c:pt>
                <c:pt idx="5">
                  <c:v>47251.221157049207</c:v>
                </c:pt>
                <c:pt idx="6">
                  <c:v>55402.511466544704</c:v>
                </c:pt>
                <c:pt idx="7">
                  <c:v>60634.520713483966</c:v>
                </c:pt>
                <c:pt idx="8">
                  <c:v>60634.520713483966</c:v>
                </c:pt>
                <c:pt idx="9">
                  <c:v>60634.520713483966</c:v>
                </c:pt>
                <c:pt idx="10">
                  <c:v>60634.520713483966</c:v>
                </c:pt>
                <c:pt idx="11">
                  <c:v>65423.849218858661</c:v>
                </c:pt>
                <c:pt idx="12">
                  <c:v>65423.849218858661</c:v>
                </c:pt>
                <c:pt idx="13">
                  <c:v>72185.780764313138</c:v>
                </c:pt>
                <c:pt idx="14">
                  <c:v>76058.397470454249</c:v>
                </c:pt>
                <c:pt idx="15">
                  <c:v>76058.397470454249</c:v>
                </c:pt>
                <c:pt idx="16" formatCode="General">
                  <c:v>76058.397470454249</c:v>
                </c:pt>
                <c:pt idx="17">
                  <c:v>76058.397470454249</c:v>
                </c:pt>
                <c:pt idx="18" formatCode="General">
                  <c:v>76058.397470454249</c:v>
                </c:pt>
                <c:pt idx="19">
                  <c:v>76058.397470454249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058400"/>
        <c:axId val="634058792"/>
      </c:scatterChart>
      <c:valAx>
        <c:axId val="63405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58792"/>
        <c:crosses val="autoZero"/>
        <c:crossBetween val="midCat"/>
        <c:majorUnit val="1"/>
        <c:minorUnit val="1"/>
      </c:valAx>
      <c:valAx>
        <c:axId val="634058792"/>
        <c:scaling>
          <c:orientation val="minMax"/>
          <c:max val="100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#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58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865946713561977"/>
          <c:y val="0.68402545755862898"/>
          <c:w val="0.12269632761202429"/>
          <c:h val="7.0442483344547085E-2"/>
        </c:manualLayout>
      </c:layout>
      <c:overlay val="0"/>
      <c:spPr>
        <a:solidFill>
          <a:schemeClr val="bg1">
            <a:lumMod val="95000"/>
            <a:alpha val="71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myData!$CX$13</c:f>
          <c:strCache>
            <c:ptCount val="1"/>
            <c:pt idx="0">
              <c:v>COVID19 Italy P(t) = b / {d+[( b/Po - d ) ]* exp(-b*t)}
b=0.258, d=3.39E-06, P0=.442 Limit=12.6 k=&gt;76.1 k cases 
 25-Mar,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79874116309897425"/>
          <c:h val="0.69409564235042309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5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6"/>
                <c:pt idx="0">
                  <c:v>0.33066049433743905</c:v>
                </c:pt>
                <c:pt idx="1">
                  <c:v>0.33066049433743905</c:v>
                </c:pt>
                <c:pt idx="2">
                  <c:v>0.33066049433743905</c:v>
                </c:pt>
                <c:pt idx="3">
                  <c:v>0.33066049433743905</c:v>
                </c:pt>
                <c:pt idx="4">
                  <c:v>0.33066049433743905</c:v>
                </c:pt>
                <c:pt idx="5">
                  <c:v>0.33066049433743905</c:v>
                </c:pt>
                <c:pt idx="6">
                  <c:v>0.33066049433743905</c:v>
                </c:pt>
                <c:pt idx="7">
                  <c:v>0.49599074150615857</c:v>
                </c:pt>
                <c:pt idx="8">
                  <c:v>0.49599074150615857</c:v>
                </c:pt>
                <c:pt idx="9">
                  <c:v>0.49599074150615857</c:v>
                </c:pt>
                <c:pt idx="10">
                  <c:v>0.49599074150615857</c:v>
                </c:pt>
                <c:pt idx="11">
                  <c:v>0.49599074150615857</c:v>
                </c:pt>
                <c:pt idx="12">
                  <c:v>0.49599074150615857</c:v>
                </c:pt>
                <c:pt idx="13">
                  <c:v>0.49599074150615857</c:v>
                </c:pt>
                <c:pt idx="14">
                  <c:v>0.49599074150615857</c:v>
                </c:pt>
                <c:pt idx="15">
                  <c:v>0.49599074150615857</c:v>
                </c:pt>
                <c:pt idx="16">
                  <c:v>0.49599074150615857</c:v>
                </c:pt>
                <c:pt idx="17">
                  <c:v>0.49599074150615857</c:v>
                </c:pt>
                <c:pt idx="18">
                  <c:v>0.49599074150615857</c:v>
                </c:pt>
                <c:pt idx="19">
                  <c:v>0.49599074150615857</c:v>
                </c:pt>
                <c:pt idx="20">
                  <c:v>0.49599074150615857</c:v>
                </c:pt>
                <c:pt idx="21">
                  <c:v>3.3066049433743903</c:v>
                </c:pt>
                <c:pt idx="22" formatCode="##0.0E+00">
                  <c:v>10.250475324460611</c:v>
                </c:pt>
                <c:pt idx="23" formatCode="##0.0E+00">
                  <c:v>25.626188311151527</c:v>
                </c:pt>
                <c:pt idx="24" formatCode="##0.0E+00">
                  <c:v>37.860626601636774</c:v>
                </c:pt>
                <c:pt idx="25" formatCode="##0.0E+00">
                  <c:v>53.236339588327688</c:v>
                </c:pt>
                <c:pt idx="26" formatCode="##0.0E+00">
                  <c:v>74.894601967429949</c:v>
                </c:pt>
                <c:pt idx="27" formatCode="##0.0E+00">
                  <c:v>108.29131189551129</c:v>
                </c:pt>
                <c:pt idx="28" formatCode="##0.0E+00">
                  <c:v>146.81325948582293</c:v>
                </c:pt>
                <c:pt idx="29" formatCode="##0.0E+00">
                  <c:v>186.49251880631562</c:v>
                </c:pt>
                <c:pt idx="30" formatCode="##0.0E+00">
                  <c:v>280.06943870381087</c:v>
                </c:pt>
                <c:pt idx="31" formatCode="##0.0E+00">
                  <c:v>336.61238323551294</c:v>
                </c:pt>
                <c:pt idx="32" formatCode="##0.0E+00">
                  <c:v>413.65627841613627</c:v>
                </c:pt>
                <c:pt idx="33" formatCode="##0.0E+00">
                  <c:v>510.70513350417463</c:v>
                </c:pt>
                <c:pt idx="34" formatCode="##0.0E+00">
                  <c:v>637.84409357691993</c:v>
                </c:pt>
                <c:pt idx="35" formatCode="##0.0E+00">
                  <c:v>766.47102587418374</c:v>
                </c:pt>
                <c:pt idx="36" formatCode="##0.0E+00">
                  <c:v>972.63784409357697</c:v>
                </c:pt>
                <c:pt idx="37" formatCode="##0.0E+00">
                  <c:v>1219.3105728693065</c:v>
                </c:pt>
                <c:pt idx="38" formatCode="##0.0E+00">
                  <c:v>1516.4090270314955</c:v>
                </c:pt>
                <c:pt idx="39" formatCode="##0.0E+00">
                  <c:v>1677.9366785153345</c:v>
                </c:pt>
                <c:pt idx="40" formatCode="##0.0E+00">
                  <c:v>2060.3455402165828</c:v>
                </c:pt>
                <c:pt idx="41" formatCode="##0.0E+00">
                  <c:v>2490.0388526080847</c:v>
                </c:pt>
                <c:pt idx="42" formatCode="##0.0E+00">
                  <c:v>2919.732164999587</c:v>
                </c:pt>
                <c:pt idx="43" formatCode="##0.0E+00">
                  <c:v>3497.8920393485992</c:v>
                </c:pt>
                <c:pt idx="44" formatCode="##0.0E+00">
                  <c:v>4091.4276266843021</c:v>
                </c:pt>
                <c:pt idx="45" formatCode="##0.0E+00">
                  <c:v>4625.9403157807719</c:v>
                </c:pt>
                <c:pt idx="46" formatCode="##0.0E+00">
                  <c:v>5208.8947672976774</c:v>
                </c:pt>
                <c:pt idx="47" formatCode="##0.0E+00">
                  <c:v>5904.4391171364805</c:v>
                </c:pt>
                <c:pt idx="48" formatCode="##0.0E+00">
                  <c:v>6784.3266925684056</c:v>
                </c:pt>
                <c:pt idx="49" formatCode="##0.0E+00">
                  <c:v>7773.9935521203606</c:v>
                </c:pt>
                <c:pt idx="50" formatCode="##0.0E+00">
                  <c:v>8858.0639828056555</c:v>
                </c:pt>
                <c:pt idx="51" formatCode="##0.0E+00">
                  <c:v>9777.3001570637352</c:v>
                </c:pt>
                <c:pt idx="52" formatCode="##0.0E+00">
                  <c:v>10569.066710754732</c:v>
                </c:pt>
                <c:pt idx="53" formatCode="##0.0E+00">
                  <c:v>11436.885178143342</c:v>
                </c:pt>
                <c:pt idx="54">
                  <c:v>12298.255765892371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myData!ItalySeries</c:f>
              <c:strCache>
                <c:ptCount val="1"/>
                <c:pt idx="0">
                  <c:v>Italy Limit 12.6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8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  <c:pt idx="55">
                  <c:v>43916</c:v>
                </c:pt>
                <c:pt idx="56">
                  <c:v>43917</c:v>
                </c:pt>
                <c:pt idx="57">
                  <c:v>43918</c:v>
                </c:pt>
                <c:pt idx="58">
                  <c:v>43919</c:v>
                </c:pt>
                <c:pt idx="59">
                  <c:v>43920</c:v>
                </c:pt>
                <c:pt idx="60">
                  <c:v>43921</c:v>
                </c:pt>
                <c:pt idx="61">
                  <c:v>43922</c:v>
                </c:pt>
                <c:pt idx="62">
                  <c:v>43923</c:v>
                </c:pt>
                <c:pt idx="63">
                  <c:v>43930</c:v>
                </c:pt>
                <c:pt idx="64">
                  <c:v>43937</c:v>
                </c:pt>
                <c:pt idx="65">
                  <c:v>43944</c:v>
                </c:pt>
                <c:pt idx="66">
                  <c:v>43951</c:v>
                </c:pt>
                <c:pt idx="67">
                  <c:v>43958</c:v>
                </c:pt>
                <c:pt idx="68">
                  <c:v>43965</c:v>
                </c:pt>
                <c:pt idx="69">
                  <c:v>43972</c:v>
                </c:pt>
                <c:pt idx="70">
                  <c:v>43979</c:v>
                </c:pt>
                <c:pt idx="71">
                  <c:v>43986</c:v>
                </c:pt>
                <c:pt idx="72">
                  <c:v>43993</c:v>
                </c:pt>
                <c:pt idx="73">
                  <c:v>44000</c:v>
                </c:pt>
                <c:pt idx="74">
                  <c:v>44007</c:v>
                </c:pt>
                <c:pt idx="75">
                  <c:v>44014</c:v>
                </c:pt>
                <c:pt idx="76">
                  <c:v>44021</c:v>
                </c:pt>
                <c:pt idx="77">
                  <c:v>44028</c:v>
                </c:pt>
                <c:pt idx="78">
                  <c:v>44035</c:v>
                </c:pt>
                <c:pt idx="79">
                  <c:v>44042</c:v>
                </c:pt>
                <c:pt idx="80">
                  <c:v>44049</c:v>
                </c:pt>
                <c:pt idx="81">
                  <c:v>44056</c:v>
                </c:pt>
                <c:pt idx="82">
                  <c:v>44063</c:v>
                </c:pt>
                <c:pt idx="83">
                  <c:v>44070</c:v>
                </c:pt>
                <c:pt idx="84">
                  <c:v>44077</c:v>
                </c:pt>
                <c:pt idx="85">
                  <c:v>44084</c:v>
                </c:pt>
                <c:pt idx="86">
                  <c:v>44091</c:v>
                </c:pt>
                <c:pt idx="87">
                  <c:v>44098</c:v>
                </c:pt>
                <c:pt idx="88">
                  <c:v>44105</c:v>
                </c:pt>
                <c:pt idx="89">
                  <c:v>44112</c:v>
                </c:pt>
                <c:pt idx="90">
                  <c:v>44119</c:v>
                </c:pt>
                <c:pt idx="91">
                  <c:v>44126</c:v>
                </c:pt>
                <c:pt idx="92">
                  <c:v>44133</c:v>
                </c:pt>
                <c:pt idx="93">
                  <c:v>44140</c:v>
                </c:pt>
                <c:pt idx="94">
                  <c:v>44147</c:v>
                </c:pt>
                <c:pt idx="95">
                  <c:v>44154</c:v>
                </c:pt>
                <c:pt idx="96">
                  <c:v>44161</c:v>
                </c:pt>
                <c:pt idx="97">
                  <c:v>44168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8"/>
                <c:pt idx="0">
                  <c:v>0.12240853858695699</c:v>
                </c:pt>
                <c:pt idx="1">
                  <c:v>0.1583628730928473</c:v>
                </c:pt>
                <c:pt idx="2">
                  <c:v>0.20487768910249429</c:v>
                </c:pt>
                <c:pt idx="3">
                  <c:v>0.26505468779382163</c:v>
                </c:pt>
                <c:pt idx="4">
                  <c:v>0.34290648765903037</c:v>
                </c:pt>
                <c:pt idx="5">
                  <c:v>0.4436240929393882</c:v>
                </c:pt>
                <c:pt idx="6">
                  <c:v>0.57392286213201427</c:v>
                </c:pt>
                <c:pt idx="7">
                  <c:v>0.74248999189637677</c:v>
                </c:pt>
                <c:pt idx="8">
                  <c:v>0.96056326342689469</c:v>
                </c:pt>
                <c:pt idx="9">
                  <c:v>1.2426794882069432</c:v>
                </c:pt>
                <c:pt idx="10">
                  <c:v>1.6076423002591296</c:v>
                </c:pt>
                <c:pt idx="11">
                  <c:v>2.0797733912641552</c:v>
                </c:pt>
                <c:pt idx="12">
                  <c:v>2.6905298885442641</c:v>
                </c:pt>
                <c:pt idx="13">
                  <c:v>3.480594493832196</c:v>
                </c:pt>
                <c:pt idx="14">
                  <c:v>4.5025756931739878</c:v>
                </c:pt>
                <c:pt idx="15">
                  <c:v>5.824494636894932</c:v>
                </c:pt>
                <c:pt idx="16">
                  <c:v>7.5342854176167791</c:v>
                </c:pt>
                <c:pt idx="17">
                  <c:v>9.7455991603557539</c:v>
                </c:pt>
                <c:pt idx="18">
                  <c:v>12.605282785452665</c:v>
                </c:pt>
                <c:pt idx="19">
                  <c:v>16.303004142168387</c:v>
                </c:pt>
                <c:pt idx="20">
                  <c:v>21.083620282854319</c:v>
                </c:pt>
                <c:pt idx="21">
                  <c:v>27.263038527230602</c:v>
                </c:pt>
                <c:pt idx="22">
                  <c:v>35.248502979906938</c:v>
                </c:pt>
                <c:pt idx="23">
                  <c:v>45.564451586619064</c:v>
                </c:pt>
                <c:pt idx="24">
                  <c:v>58.88532368429447</c:v>
                </c:pt>
                <c:pt idx="25">
                  <c:v>76.076936714109053</c:v>
                </c:pt>
                <c:pt idx="26">
                  <c:v>98.248254218165258</c:v>
                </c:pt>
                <c:pt idx="27">
                  <c:v>126.81546180333602</c:v>
                </c:pt>
                <c:pt idx="28">
                  <c:v>163.58012406414301</c:v>
                </c:pt>
                <c:pt idx="29">
                  <c:v>210.82259811419772</c:v>
                </c:pt>
                <c:pt idx="30">
                  <c:v>271.41048751891657</c:v>
                </c:pt>
                <c:pt idx="31">
                  <c:v>348.91922456337272</c:v>
                </c:pt>
                <c:pt idx="32">
                  <c:v>447.75716243775247</c:v>
                </c:pt>
                <c:pt idx="33">
                  <c:v>573.27996988088182</c:v>
                </c:pt>
                <c:pt idx="34">
                  <c:v>731.86779271537603</c:v>
                </c:pt>
                <c:pt idx="35">
                  <c:v>930.92322448969901</c:v>
                </c:pt>
                <c:pt idx="36">
                  <c:v>1178.7297519187343</c:v>
                </c:pt>
                <c:pt idx="37">
                  <c:v>1484.0932884623826</c:v>
                </c:pt>
                <c:pt idx="38">
                  <c:v>1855.6831480420774</c:v>
                </c:pt>
                <c:pt idx="39">
                  <c:v>2301.0092055315536</c:v>
                </c:pt>
                <c:pt idx="40">
                  <c:v>2825.0387785599746</c:v>
                </c:pt>
                <c:pt idx="41">
                  <c:v>3428.5831866093272</c:v>
                </c:pt>
                <c:pt idx="42">
                  <c:v>4106.7568234858363</c:v>
                </c:pt>
                <c:pt idx="43">
                  <c:v>4847.9702085321342</c:v>
                </c:pt>
                <c:pt idx="44">
                  <c:v>5633.9562535064415</c:v>
                </c:pt>
                <c:pt idx="45">
                  <c:v>6441.1449346171048</c:v>
                </c:pt>
                <c:pt idx="46">
                  <c:v>7243.2934251108209</c:v>
                </c:pt>
                <c:pt idx="47">
                  <c:v>8014.8036482442476</c:v>
                </c:pt>
                <c:pt idx="48">
                  <c:v>8733.8708334931998</c:v>
                </c:pt>
                <c:pt idx="49">
                  <c:v>9384.6791774212252</c:v>
                </c:pt>
                <c:pt idx="50">
                  <c:v>9958.2491881017559</c:v>
                </c:pt>
                <c:pt idx="51">
                  <c:v>10452.018714107591</c:v>
                </c:pt>
                <c:pt idx="52">
                  <c:v>10868.572313677741</c:v>
                </c:pt>
                <c:pt idx="53">
                  <c:v>11214.025621862253</c:v>
                </c:pt>
                <c:pt idx="54">
                  <c:v>11496.473687834947</c:v>
                </c:pt>
                <c:pt idx="55">
                  <c:v>11724.737619230449</c:v>
                </c:pt>
                <c:pt idx="56">
                  <c:v>11907.484411988562</c:v>
                </c:pt>
                <c:pt idx="57">
                  <c:v>12052.691484549587</c:v>
                </c:pt>
                <c:pt idx="58">
                  <c:v>12167.380529921342</c:v>
                </c:pt>
                <c:pt idx="59">
                  <c:v>12257.537274031965</c:v>
                </c:pt>
                <c:pt idx="60">
                  <c:v>12328.145611035123</c:v>
                </c:pt>
                <c:pt idx="61">
                  <c:v>12383.282931289163</c:v>
                </c:pt>
                <c:pt idx="62">
                  <c:v>12542.782363206032</c:v>
                </c:pt>
                <c:pt idx="63">
                  <c:v>12569.471840392351</c:v>
                </c:pt>
                <c:pt idx="64">
                  <c:v>12573.88261914732</c:v>
                </c:pt>
                <c:pt idx="65">
                  <c:v>12574.610051250018</c:v>
                </c:pt>
                <c:pt idx="66">
                  <c:v>12574.729979479438</c:v>
                </c:pt>
                <c:pt idx="67">
                  <c:v>12574.749750356659</c:v>
                </c:pt>
                <c:pt idx="68">
                  <c:v>12574.753009672346</c:v>
                </c:pt>
                <c:pt idx="69">
                  <c:v>12574.753546983988</c:v>
                </c:pt>
                <c:pt idx="70">
                  <c:v>12574.753635562007</c:v>
                </c:pt>
                <c:pt idx="71">
                  <c:v>12574.753650164455</c:v>
                </c:pt>
                <c:pt idx="72">
                  <c:v>12574.75365257173</c:v>
                </c:pt>
                <c:pt idx="73">
                  <c:v>12574.753652968575</c:v>
                </c:pt>
                <c:pt idx="74">
                  <c:v>12574.753653033998</c:v>
                </c:pt>
                <c:pt idx="75">
                  <c:v>12574.753653044783</c:v>
                </c:pt>
                <c:pt idx="76">
                  <c:v>12574.753653046562</c:v>
                </c:pt>
                <c:pt idx="77">
                  <c:v>12574.753653046855</c:v>
                </c:pt>
                <c:pt idx="78">
                  <c:v>12574.753653046902</c:v>
                </c:pt>
                <c:pt idx="79">
                  <c:v>12574.75365304691</c:v>
                </c:pt>
                <c:pt idx="80">
                  <c:v>12574.753653046913</c:v>
                </c:pt>
                <c:pt idx="81">
                  <c:v>12574.753653046913</c:v>
                </c:pt>
                <c:pt idx="82">
                  <c:v>12574.753653046913</c:v>
                </c:pt>
                <c:pt idx="83">
                  <c:v>12574.753653046913</c:v>
                </c:pt>
                <c:pt idx="84">
                  <c:v>12574.753653046913</c:v>
                </c:pt>
                <c:pt idx="85">
                  <c:v>12574.753653046913</c:v>
                </c:pt>
                <c:pt idx="86">
                  <c:v>12574.753653046913</c:v>
                </c:pt>
                <c:pt idx="87">
                  <c:v>12574.753653046913</c:v>
                </c:pt>
                <c:pt idx="88">
                  <c:v>12574.753653046913</c:v>
                </c:pt>
                <c:pt idx="89">
                  <c:v>12574.753653046913</c:v>
                </c:pt>
                <c:pt idx="90">
                  <c:v>12574.753653046913</c:v>
                </c:pt>
                <c:pt idx="91">
                  <c:v>12574.753653046913</c:v>
                </c:pt>
                <c:pt idx="92">
                  <c:v>12574.753653046913</c:v>
                </c:pt>
                <c:pt idx="93">
                  <c:v>12574.753653046913</c:v>
                </c:pt>
                <c:pt idx="94">
                  <c:v>12574.753653046913</c:v>
                </c:pt>
                <c:pt idx="95">
                  <c:v>12574.753653046913</c:v>
                </c:pt>
                <c:pt idx="96">
                  <c:v>12574.753653046913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057224"/>
        <c:axId val="634051736"/>
      </c:scatterChart>
      <c:valAx>
        <c:axId val="634057224"/>
        <c:scaling>
          <c:orientation val="minMax"/>
          <c:max val="43916"/>
          <c:min val="438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51736"/>
        <c:crossesAt val="0.1"/>
        <c:crossBetween val="midCat"/>
        <c:majorUnit val="7"/>
        <c:minorUnit val="1"/>
      </c:valAx>
      <c:valAx>
        <c:axId val="634051736"/>
        <c:scaling>
          <c:logBase val="10"/>
          <c:orientation val="minMax"/>
          <c:max val="1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#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57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432251928890691E-2"/>
          <c:y val="0.16096157076147521"/>
          <c:w val="0.19738559171691672"/>
          <c:h val="0.1107572417406406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myData!$CX$16</c:f>
          <c:strCache>
            <c:ptCount val="1"/>
            <c:pt idx="0">
              <c:v>COVID19 Skorea P(t) = b / {d+[( b/Po - d ) ]* exp(-b*t)}
b=0.3, d=3.49E-05, P0=219.422 Limit=1.67 k=&gt;8.61 k cases , log fit from 19th Feb 
 25-Mar,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Skorea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64"/>
                <c:pt idx="0">
                  <c:v>0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 formatCode="##0.0E+00">
                  <c:v>117.1206225680934</c:v>
                </c:pt>
                <c:pt idx="33" formatCode="##0.0E+00">
                  <c:v>162.06225680933852</c:v>
                </c:pt>
                <c:pt idx="34" formatCode="##0.0E+00">
                  <c:v>190.07782101167317</c:v>
                </c:pt>
                <c:pt idx="35" formatCode="##0.0E+00">
                  <c:v>245.33073929961091</c:v>
                </c:pt>
                <c:pt idx="36" formatCode="##0.0E+00">
                  <c:v>343.579766536965</c:v>
                </c:pt>
                <c:pt idx="37" formatCode="##0.0E+00">
                  <c:v>454.66926070038915</c:v>
                </c:pt>
                <c:pt idx="38" formatCode="##0.0E+00">
                  <c:v>612.84046692607012</c:v>
                </c:pt>
                <c:pt idx="39" formatCode="##0.0E+00">
                  <c:v>726.84824902723744</c:v>
                </c:pt>
                <c:pt idx="40" formatCode="##0.0E+00">
                  <c:v>843.38521400778211</c:v>
                </c:pt>
                <c:pt idx="41" formatCode="##0.0E+00">
                  <c:v>1008.9494163424125</c:v>
                </c:pt>
                <c:pt idx="42" formatCode="##0.0E+00">
                  <c:v>1093.5797665369651</c:v>
                </c:pt>
                <c:pt idx="43" formatCode="##0.0E+00">
                  <c:v>1184.4357976653698</c:v>
                </c:pt>
                <c:pt idx="44" formatCode="##0.0E+00">
                  <c:v>1282.6848249027239</c:v>
                </c:pt>
                <c:pt idx="45" formatCode="##0.0E+00">
                  <c:v>1369.8443579766538</c:v>
                </c:pt>
                <c:pt idx="46" formatCode="##0.0E+00">
                  <c:v>1422.95719844358</c:v>
                </c:pt>
                <c:pt idx="47" formatCode="##0.0E+00">
                  <c:v>1454.8638132295721</c:v>
                </c:pt>
                <c:pt idx="48" formatCode="##0.0E+00">
                  <c:v>1461.6731517509729</c:v>
                </c:pt>
                <c:pt idx="49" formatCode="##0.0E+00">
                  <c:v>1508.7548638132296</c:v>
                </c:pt>
                <c:pt idx="50" formatCode="##0.0E+00">
                  <c:v>1530.933852140078</c:v>
                </c:pt>
                <c:pt idx="51" formatCode="##0.0E+00">
                  <c:v>1552.3346303501946</c:v>
                </c:pt>
                <c:pt idx="52" formatCode="##0.0E+00">
                  <c:v>1573.1517509727628</c:v>
                </c:pt>
                <c:pt idx="53" formatCode="##0.0E+00">
                  <c:v>1587.9377431906616</c:v>
                </c:pt>
                <c:pt idx="54" formatCode="##0.0E+00">
                  <c:v>1602.3346303501946</c:v>
                </c:pt>
                <c:pt idx="55" formatCode="##0.0E+00">
                  <c:v>1618.6770428015566</c:v>
                </c:pt>
                <c:pt idx="56" formatCode="##0.0E+00">
                  <c:v>1636.7704280155642</c:v>
                </c:pt>
                <c:pt idx="57" formatCode="##0.0E+00">
                  <c:v>1666.342412451362</c:v>
                </c:pt>
                <c:pt idx="58" formatCode="##0.0E+00">
                  <c:v>1683.2684824902724</c:v>
                </c:pt>
                <c:pt idx="59" formatCode="##0.0E+00">
                  <c:v>1711.8677042801557</c:v>
                </c:pt>
                <c:pt idx="60" formatCode="##0.0E+00">
                  <c:v>1743.3852140077822</c:v>
                </c:pt>
                <c:pt idx="61" formatCode="##0.0E+00">
                  <c:v>1743.3852140077822</c:v>
                </c:pt>
                <c:pt idx="62" formatCode="##0.0E+00">
                  <c:v>1758.1712062256811</c:v>
                </c:pt>
                <c:pt idx="63" formatCode="##0.0E+00">
                  <c:v>1777.626459143969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myData!SKoreaSeries</c:f>
              <c:strCache>
                <c:ptCount val="1"/>
                <c:pt idx="0">
                  <c:v>Skorea Limit 1.67 k fr 19th Feb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79"/>
                <c:pt idx="0">
                  <c:v>43880</c:v>
                </c:pt>
                <c:pt idx="1">
                  <c:v>43881</c:v>
                </c:pt>
                <c:pt idx="2">
                  <c:v>43882</c:v>
                </c:pt>
                <c:pt idx="3">
                  <c:v>43883</c:v>
                </c:pt>
                <c:pt idx="4">
                  <c:v>43884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43930</c:v>
                </c:pt>
                <c:pt idx="45">
                  <c:v>43937</c:v>
                </c:pt>
                <c:pt idx="46">
                  <c:v>43944</c:v>
                </c:pt>
                <c:pt idx="47">
                  <c:v>43951</c:v>
                </c:pt>
                <c:pt idx="48">
                  <c:v>43958</c:v>
                </c:pt>
                <c:pt idx="49">
                  <c:v>43965</c:v>
                </c:pt>
                <c:pt idx="50">
                  <c:v>43972</c:v>
                </c:pt>
                <c:pt idx="51">
                  <c:v>43979</c:v>
                </c:pt>
                <c:pt idx="52">
                  <c:v>43986</c:v>
                </c:pt>
                <c:pt idx="53">
                  <c:v>43993</c:v>
                </c:pt>
                <c:pt idx="54">
                  <c:v>44000</c:v>
                </c:pt>
                <c:pt idx="55">
                  <c:v>44007</c:v>
                </c:pt>
                <c:pt idx="56">
                  <c:v>44014</c:v>
                </c:pt>
                <c:pt idx="57">
                  <c:v>44021</c:v>
                </c:pt>
                <c:pt idx="58">
                  <c:v>44028</c:v>
                </c:pt>
                <c:pt idx="59">
                  <c:v>44035</c:v>
                </c:pt>
                <c:pt idx="60">
                  <c:v>44042</c:v>
                </c:pt>
                <c:pt idx="61">
                  <c:v>44049</c:v>
                </c:pt>
                <c:pt idx="62">
                  <c:v>44056</c:v>
                </c:pt>
                <c:pt idx="63">
                  <c:v>44063</c:v>
                </c:pt>
                <c:pt idx="64">
                  <c:v>44070</c:v>
                </c:pt>
                <c:pt idx="65">
                  <c:v>44077</c:v>
                </c:pt>
                <c:pt idx="66">
                  <c:v>44084</c:v>
                </c:pt>
                <c:pt idx="67">
                  <c:v>44091</c:v>
                </c:pt>
                <c:pt idx="68">
                  <c:v>44098</c:v>
                </c:pt>
                <c:pt idx="69">
                  <c:v>44105</c:v>
                </c:pt>
                <c:pt idx="70">
                  <c:v>44112</c:v>
                </c:pt>
                <c:pt idx="71">
                  <c:v>44119</c:v>
                </c:pt>
                <c:pt idx="72">
                  <c:v>44126</c:v>
                </c:pt>
                <c:pt idx="73">
                  <c:v>44133</c:v>
                </c:pt>
                <c:pt idx="74">
                  <c:v>44140</c:v>
                </c:pt>
                <c:pt idx="75">
                  <c:v>44147</c:v>
                </c:pt>
                <c:pt idx="76">
                  <c:v>44154</c:v>
                </c:pt>
                <c:pt idx="77">
                  <c:v>44161</c:v>
                </c:pt>
                <c:pt idx="78">
                  <c:v>44168</c:v>
                </c:pt>
              </c:numCache>
            </c:numRef>
          </c:xVal>
          <c:yVal>
            <c:numRef>
              <c:f>myData!SKoreaLogi</c:f>
              <c:numCache>
                <c:formatCode>0.0</c:formatCode>
                <c:ptCount val="79"/>
                <c:pt idx="0">
                  <c:v>42.689071504860067</c:v>
                </c:pt>
                <c:pt idx="1">
                  <c:v>57.125715155604773</c:v>
                </c:pt>
                <c:pt idx="2">
                  <c:v>76.216546368837299</c:v>
                </c:pt>
                <c:pt idx="3">
                  <c:v>101.28782458561645</c:v>
                </c:pt>
                <c:pt idx="4">
                  <c:v>133.91529830872742</c:v>
                </c:pt>
                <c:pt idx="5">
                  <c:v>175.87804141596899</c:v>
                </c:pt>
                <c:pt idx="6">
                  <c:v>229.0352313762765</c:v>
                </c:pt>
                <c:pt idx="7">
                  <c:v>295.09524334715269</c:v>
                </c:pt>
                <c:pt idx="8">
                  <c:v>375.26262798900956</c:v>
                </c:pt>
                <c:pt idx="9">
                  <c:v>469.79210772894976</c:v>
                </c:pt>
                <c:pt idx="10">
                  <c:v>577.54954150487197</c:v>
                </c:pt>
                <c:pt idx="11">
                  <c:v>695.75053186509251</c:v>
                </c:pt>
                <c:pt idx="12">
                  <c:v>820.05977639250727</c:v>
                </c:pt>
                <c:pt idx="13">
                  <c:v>945.13449647174377</c:v>
                </c:pt>
                <c:pt idx="14">
                  <c:v>1065.5004658453468</c:v>
                </c:pt>
                <c:pt idx="15">
                  <c:v>1176.4737360121678</c:v>
                </c:pt>
                <c:pt idx="16">
                  <c:v>1274.8155309138397</c:v>
                </c:pt>
                <c:pt idx="17">
                  <c:v>1358.9523663555181</c:v>
                </c:pt>
                <c:pt idx="18">
                  <c:v>1428.7973987469989</c:v>
                </c:pt>
                <c:pt idx="19">
                  <c:v>1485.3410050761204</c:v>
                </c:pt>
                <c:pt idx="20">
                  <c:v>1530.1933558478495</c:v>
                </c:pt>
                <c:pt idx="21">
                  <c:v>1565.2003663595126</c:v>
                </c:pt>
                <c:pt idx="22">
                  <c:v>1592.1794233012943</c:v>
                </c:pt>
                <c:pt idx="23">
                  <c:v>1612.7693658163619</c:v>
                </c:pt>
                <c:pt idx="24">
                  <c:v>1628.3663739058684</c:v>
                </c:pt>
                <c:pt idx="25">
                  <c:v>1640.1145175889246</c:v>
                </c:pt>
                <c:pt idx="26">
                  <c:v>1648.9259052695952</c:v>
                </c:pt>
                <c:pt idx="27">
                  <c:v>1655.5135309857842</c:v>
                </c:pt>
                <c:pt idx="28">
                  <c:v>1660.4268341641477</c:v>
                </c:pt>
                <c:pt idx="29">
                  <c:v>1664.0848226404412</c:v>
                </c:pt>
                <c:pt idx="30">
                  <c:v>1666.8045998145201</c:v>
                </c:pt>
                <c:pt idx="31">
                  <c:v>1668.8248011557205</c:v>
                </c:pt>
                <c:pt idx="32">
                  <c:v>1670.3242677694802</c:v>
                </c:pt>
                <c:pt idx="33">
                  <c:v>1671.4366191870788</c:v>
                </c:pt>
                <c:pt idx="34">
                  <c:v>1672.2614624810558</c:v>
                </c:pt>
                <c:pt idx="35">
                  <c:v>1672.8729259732977</c:v>
                </c:pt>
                <c:pt idx="36">
                  <c:v>1673.326108318807</c:v>
                </c:pt>
                <c:pt idx="37">
                  <c:v>1673.6619261956942</c:v>
                </c:pt>
                <c:pt idx="38">
                  <c:v>1673.9107440645398</c:v>
                </c:pt>
                <c:pt idx="39">
                  <c:v>1674.0950842394766</c:v>
                </c:pt>
                <c:pt idx="40">
                  <c:v>1674.2316460574734</c:v>
                </c:pt>
                <c:pt idx="41">
                  <c:v>1674.3328079628106</c:v>
                </c:pt>
                <c:pt idx="42">
                  <c:v>1674.4077436548459</c:v>
                </c:pt>
                <c:pt idx="43">
                  <c:v>1674.4632507628428</c:v>
                </c:pt>
                <c:pt idx="44">
                  <c:v>1674.6024152133152</c:v>
                </c:pt>
                <c:pt idx="45">
                  <c:v>1674.6194348830604</c:v>
                </c:pt>
                <c:pt idx="46">
                  <c:v>1674.6215162008459</c:v>
                </c:pt>
                <c:pt idx="47">
                  <c:v>1674.6217707204937</c:v>
                </c:pt>
                <c:pt idx="48">
                  <c:v>1674.6218018450882</c:v>
                </c:pt>
                <c:pt idx="49">
                  <c:v>1674.6218056512396</c:v>
                </c:pt>
                <c:pt idx="50">
                  <c:v>1674.6218061166842</c:v>
                </c:pt>
                <c:pt idx="51">
                  <c:v>1674.6218061736024</c:v>
                </c:pt>
                <c:pt idx="52">
                  <c:v>1674.621806180563</c:v>
                </c:pt>
                <c:pt idx="53">
                  <c:v>1674.6218061814141</c:v>
                </c:pt>
                <c:pt idx="54">
                  <c:v>1674.6218061815182</c:v>
                </c:pt>
                <c:pt idx="55">
                  <c:v>1674.6218061815309</c:v>
                </c:pt>
                <c:pt idx="56">
                  <c:v>1674.6218061815323</c:v>
                </c:pt>
                <c:pt idx="57">
                  <c:v>1674.6218061815327</c:v>
                </c:pt>
                <c:pt idx="58">
                  <c:v>1674.6218061815327</c:v>
                </c:pt>
                <c:pt idx="59">
                  <c:v>1674.6218061815327</c:v>
                </c:pt>
                <c:pt idx="60">
                  <c:v>1674.6218061815327</c:v>
                </c:pt>
                <c:pt idx="61">
                  <c:v>1674.6218061815327</c:v>
                </c:pt>
                <c:pt idx="62">
                  <c:v>1674.6218061815327</c:v>
                </c:pt>
                <c:pt idx="63">
                  <c:v>1674.6218061815327</c:v>
                </c:pt>
                <c:pt idx="64">
                  <c:v>1674.6218061815327</c:v>
                </c:pt>
                <c:pt idx="65">
                  <c:v>1674.6218061815327</c:v>
                </c:pt>
                <c:pt idx="66">
                  <c:v>1674.6218061815327</c:v>
                </c:pt>
                <c:pt idx="67">
                  <c:v>1674.6218061815327</c:v>
                </c:pt>
                <c:pt idx="68">
                  <c:v>1674.6218061815327</c:v>
                </c:pt>
                <c:pt idx="69">
                  <c:v>1674.6218061815327</c:v>
                </c:pt>
                <c:pt idx="70">
                  <c:v>1674.6218061815327</c:v>
                </c:pt>
                <c:pt idx="71">
                  <c:v>1674.6218061815327</c:v>
                </c:pt>
                <c:pt idx="72">
                  <c:v>1674.6218061815327</c:v>
                </c:pt>
                <c:pt idx="73">
                  <c:v>1674.6218061815327</c:v>
                </c:pt>
                <c:pt idx="74">
                  <c:v>1674.6218061815327</c:v>
                </c:pt>
                <c:pt idx="75">
                  <c:v>1674.6218061815327</c:v>
                </c:pt>
                <c:pt idx="76">
                  <c:v>1674.6218061815327</c:v>
                </c:pt>
                <c:pt idx="77">
                  <c:v>1674.6218061815327</c:v>
                </c:pt>
                <c:pt idx="78">
                  <c:v>1674.6218061815327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056832"/>
        <c:axId val="634056440"/>
      </c:scatterChart>
      <c:valAx>
        <c:axId val="634056832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56440"/>
        <c:crossesAt val="0.1"/>
        <c:crossBetween val="midCat"/>
        <c:majorUnit val="14"/>
        <c:minorUnit val="7"/>
      </c:valAx>
      <c:valAx>
        <c:axId val="634056440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56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myData!$CX$13</c:f>
          <c:strCache>
            <c:ptCount val="1"/>
            <c:pt idx="0">
              <c:v>COVID19 Italy P(t) = b / {d+[( b/Po - d ) ]* exp(-b*t)}
b=0.258, d=3.39E-06, P0=.442 Limit=12.6 k=&gt;76.1 k cases 
 25-Mar,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72749036368363496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forward val="14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myData!ItalyDates</c:f>
              <c:numCache>
                <c:formatCode>m/d/yyyy</c:formatCode>
                <c:ptCount val="55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6"/>
                <c:pt idx="0">
                  <c:v>0.33066049433743905</c:v>
                </c:pt>
                <c:pt idx="1">
                  <c:v>0.33066049433743905</c:v>
                </c:pt>
                <c:pt idx="2">
                  <c:v>0.33066049433743905</c:v>
                </c:pt>
                <c:pt idx="3">
                  <c:v>0.33066049433743905</c:v>
                </c:pt>
                <c:pt idx="4">
                  <c:v>0.33066049433743905</c:v>
                </c:pt>
                <c:pt idx="5">
                  <c:v>0.33066049433743905</c:v>
                </c:pt>
                <c:pt idx="6">
                  <c:v>0.33066049433743905</c:v>
                </c:pt>
                <c:pt idx="7">
                  <c:v>0.49599074150615857</c:v>
                </c:pt>
                <c:pt idx="8">
                  <c:v>0.49599074150615857</c:v>
                </c:pt>
                <c:pt idx="9">
                  <c:v>0.49599074150615857</c:v>
                </c:pt>
                <c:pt idx="10">
                  <c:v>0.49599074150615857</c:v>
                </c:pt>
                <c:pt idx="11">
                  <c:v>0.49599074150615857</c:v>
                </c:pt>
                <c:pt idx="12">
                  <c:v>0.49599074150615857</c:v>
                </c:pt>
                <c:pt idx="13">
                  <c:v>0.49599074150615857</c:v>
                </c:pt>
                <c:pt idx="14">
                  <c:v>0.49599074150615857</c:v>
                </c:pt>
                <c:pt idx="15">
                  <c:v>0.49599074150615857</c:v>
                </c:pt>
                <c:pt idx="16">
                  <c:v>0.49599074150615857</c:v>
                </c:pt>
                <c:pt idx="17">
                  <c:v>0.49599074150615857</c:v>
                </c:pt>
                <c:pt idx="18">
                  <c:v>0.49599074150615857</c:v>
                </c:pt>
                <c:pt idx="19">
                  <c:v>0.49599074150615857</c:v>
                </c:pt>
                <c:pt idx="20">
                  <c:v>0.49599074150615857</c:v>
                </c:pt>
                <c:pt idx="21">
                  <c:v>3.3066049433743903</c:v>
                </c:pt>
                <c:pt idx="22" formatCode="##0.0E+00">
                  <c:v>10.250475324460611</c:v>
                </c:pt>
                <c:pt idx="23" formatCode="##0.0E+00">
                  <c:v>25.626188311151527</c:v>
                </c:pt>
                <c:pt idx="24" formatCode="##0.0E+00">
                  <c:v>37.860626601636774</c:v>
                </c:pt>
                <c:pt idx="25" formatCode="##0.0E+00">
                  <c:v>53.236339588327688</c:v>
                </c:pt>
                <c:pt idx="26" formatCode="##0.0E+00">
                  <c:v>74.894601967429949</c:v>
                </c:pt>
                <c:pt idx="27" formatCode="##0.0E+00">
                  <c:v>108.29131189551129</c:v>
                </c:pt>
                <c:pt idx="28" formatCode="##0.0E+00">
                  <c:v>146.81325948582293</c:v>
                </c:pt>
                <c:pt idx="29" formatCode="##0.0E+00">
                  <c:v>186.49251880631562</c:v>
                </c:pt>
                <c:pt idx="30" formatCode="##0.0E+00">
                  <c:v>280.06943870381087</c:v>
                </c:pt>
                <c:pt idx="31" formatCode="##0.0E+00">
                  <c:v>336.61238323551294</c:v>
                </c:pt>
                <c:pt idx="32" formatCode="##0.0E+00">
                  <c:v>413.65627841613627</c:v>
                </c:pt>
                <c:pt idx="33" formatCode="##0.0E+00">
                  <c:v>510.70513350417463</c:v>
                </c:pt>
                <c:pt idx="34" formatCode="##0.0E+00">
                  <c:v>637.84409357691993</c:v>
                </c:pt>
                <c:pt idx="35" formatCode="##0.0E+00">
                  <c:v>766.47102587418374</c:v>
                </c:pt>
                <c:pt idx="36" formatCode="##0.0E+00">
                  <c:v>972.63784409357697</c:v>
                </c:pt>
                <c:pt idx="37" formatCode="##0.0E+00">
                  <c:v>1219.3105728693065</c:v>
                </c:pt>
                <c:pt idx="38" formatCode="##0.0E+00">
                  <c:v>1516.4090270314955</c:v>
                </c:pt>
                <c:pt idx="39" formatCode="##0.0E+00">
                  <c:v>1677.9366785153345</c:v>
                </c:pt>
                <c:pt idx="40" formatCode="##0.0E+00">
                  <c:v>2060.3455402165828</c:v>
                </c:pt>
                <c:pt idx="41" formatCode="##0.0E+00">
                  <c:v>2490.0388526080847</c:v>
                </c:pt>
                <c:pt idx="42" formatCode="##0.0E+00">
                  <c:v>2919.732164999587</c:v>
                </c:pt>
                <c:pt idx="43" formatCode="##0.0E+00">
                  <c:v>3497.8920393485992</c:v>
                </c:pt>
                <c:pt idx="44" formatCode="##0.0E+00">
                  <c:v>4091.4276266843021</c:v>
                </c:pt>
                <c:pt idx="45" formatCode="##0.0E+00">
                  <c:v>4625.9403157807719</c:v>
                </c:pt>
                <c:pt idx="46" formatCode="##0.0E+00">
                  <c:v>5208.8947672976774</c:v>
                </c:pt>
                <c:pt idx="47" formatCode="##0.0E+00">
                  <c:v>5904.4391171364805</c:v>
                </c:pt>
                <c:pt idx="48" formatCode="##0.0E+00">
                  <c:v>6784.3266925684056</c:v>
                </c:pt>
                <c:pt idx="49" formatCode="##0.0E+00">
                  <c:v>7773.9935521203606</c:v>
                </c:pt>
                <c:pt idx="50" formatCode="##0.0E+00">
                  <c:v>8858.0639828056555</c:v>
                </c:pt>
                <c:pt idx="51" formatCode="##0.0E+00">
                  <c:v>9777.3001570637352</c:v>
                </c:pt>
                <c:pt idx="52" formatCode="##0.0E+00">
                  <c:v>10569.066710754732</c:v>
                </c:pt>
                <c:pt idx="53" formatCode="##0.0E+00">
                  <c:v>11436.885178143342</c:v>
                </c:pt>
                <c:pt idx="54">
                  <c:v>12298.255765892371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myData!ItalySeries</c:f>
              <c:strCache>
                <c:ptCount val="1"/>
                <c:pt idx="0">
                  <c:v>Italy Limit 12.6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8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  <c:pt idx="55">
                  <c:v>43916</c:v>
                </c:pt>
                <c:pt idx="56">
                  <c:v>43917</c:v>
                </c:pt>
                <c:pt idx="57">
                  <c:v>43918</c:v>
                </c:pt>
                <c:pt idx="58">
                  <c:v>43919</c:v>
                </c:pt>
                <c:pt idx="59">
                  <c:v>43920</c:v>
                </c:pt>
                <c:pt idx="60">
                  <c:v>43921</c:v>
                </c:pt>
                <c:pt idx="61">
                  <c:v>43922</c:v>
                </c:pt>
                <c:pt idx="62">
                  <c:v>43923</c:v>
                </c:pt>
                <c:pt idx="63">
                  <c:v>43930</c:v>
                </c:pt>
                <c:pt idx="64">
                  <c:v>43937</c:v>
                </c:pt>
                <c:pt idx="65">
                  <c:v>43944</c:v>
                </c:pt>
                <c:pt idx="66">
                  <c:v>43951</c:v>
                </c:pt>
                <c:pt idx="67">
                  <c:v>43958</c:v>
                </c:pt>
                <c:pt idx="68">
                  <c:v>43965</c:v>
                </c:pt>
                <c:pt idx="69">
                  <c:v>43972</c:v>
                </c:pt>
                <c:pt idx="70">
                  <c:v>43979</c:v>
                </c:pt>
                <c:pt idx="71">
                  <c:v>43986</c:v>
                </c:pt>
                <c:pt idx="72">
                  <c:v>43993</c:v>
                </c:pt>
                <c:pt idx="73">
                  <c:v>44000</c:v>
                </c:pt>
                <c:pt idx="74">
                  <c:v>44007</c:v>
                </c:pt>
                <c:pt idx="75">
                  <c:v>44014</c:v>
                </c:pt>
                <c:pt idx="76">
                  <c:v>44021</c:v>
                </c:pt>
                <c:pt idx="77">
                  <c:v>44028</c:v>
                </c:pt>
                <c:pt idx="78">
                  <c:v>44035</c:v>
                </c:pt>
                <c:pt idx="79">
                  <c:v>44042</c:v>
                </c:pt>
                <c:pt idx="80">
                  <c:v>44049</c:v>
                </c:pt>
                <c:pt idx="81">
                  <c:v>44056</c:v>
                </c:pt>
                <c:pt idx="82">
                  <c:v>44063</c:v>
                </c:pt>
                <c:pt idx="83">
                  <c:v>44070</c:v>
                </c:pt>
                <c:pt idx="84">
                  <c:v>44077</c:v>
                </c:pt>
                <c:pt idx="85">
                  <c:v>44084</c:v>
                </c:pt>
                <c:pt idx="86">
                  <c:v>44091</c:v>
                </c:pt>
                <c:pt idx="87">
                  <c:v>44098</c:v>
                </c:pt>
                <c:pt idx="88">
                  <c:v>44105</c:v>
                </c:pt>
                <c:pt idx="89">
                  <c:v>44112</c:v>
                </c:pt>
                <c:pt idx="90">
                  <c:v>44119</c:v>
                </c:pt>
                <c:pt idx="91">
                  <c:v>44126</c:v>
                </c:pt>
                <c:pt idx="92">
                  <c:v>44133</c:v>
                </c:pt>
                <c:pt idx="93">
                  <c:v>44140</c:v>
                </c:pt>
                <c:pt idx="94">
                  <c:v>44147</c:v>
                </c:pt>
                <c:pt idx="95">
                  <c:v>44154</c:v>
                </c:pt>
                <c:pt idx="96">
                  <c:v>44161</c:v>
                </c:pt>
                <c:pt idx="97">
                  <c:v>44168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8"/>
                <c:pt idx="0">
                  <c:v>0.12240853858695699</c:v>
                </c:pt>
                <c:pt idx="1">
                  <c:v>0.1583628730928473</c:v>
                </c:pt>
                <c:pt idx="2">
                  <c:v>0.20487768910249429</c:v>
                </c:pt>
                <c:pt idx="3">
                  <c:v>0.26505468779382163</c:v>
                </c:pt>
                <c:pt idx="4">
                  <c:v>0.34290648765903037</c:v>
                </c:pt>
                <c:pt idx="5">
                  <c:v>0.4436240929393882</c:v>
                </c:pt>
                <c:pt idx="6">
                  <c:v>0.57392286213201427</c:v>
                </c:pt>
                <c:pt idx="7">
                  <c:v>0.74248999189637677</c:v>
                </c:pt>
                <c:pt idx="8">
                  <c:v>0.96056326342689469</c:v>
                </c:pt>
                <c:pt idx="9">
                  <c:v>1.2426794882069432</c:v>
                </c:pt>
                <c:pt idx="10">
                  <c:v>1.6076423002591296</c:v>
                </c:pt>
                <c:pt idx="11">
                  <c:v>2.0797733912641552</c:v>
                </c:pt>
                <c:pt idx="12">
                  <c:v>2.6905298885442641</c:v>
                </c:pt>
                <c:pt idx="13">
                  <c:v>3.480594493832196</c:v>
                </c:pt>
                <c:pt idx="14">
                  <c:v>4.5025756931739878</c:v>
                </c:pt>
                <c:pt idx="15">
                  <c:v>5.824494636894932</c:v>
                </c:pt>
                <c:pt idx="16">
                  <c:v>7.5342854176167791</c:v>
                </c:pt>
                <c:pt idx="17">
                  <c:v>9.7455991603557539</c:v>
                </c:pt>
                <c:pt idx="18">
                  <c:v>12.605282785452665</c:v>
                </c:pt>
                <c:pt idx="19">
                  <c:v>16.303004142168387</c:v>
                </c:pt>
                <c:pt idx="20">
                  <c:v>21.083620282854319</c:v>
                </c:pt>
                <c:pt idx="21">
                  <c:v>27.263038527230602</c:v>
                </c:pt>
                <c:pt idx="22">
                  <c:v>35.248502979906938</c:v>
                </c:pt>
                <c:pt idx="23">
                  <c:v>45.564451586619064</c:v>
                </c:pt>
                <c:pt idx="24">
                  <c:v>58.88532368429447</c:v>
                </c:pt>
                <c:pt idx="25">
                  <c:v>76.076936714109053</c:v>
                </c:pt>
                <c:pt idx="26">
                  <c:v>98.248254218165258</c:v>
                </c:pt>
                <c:pt idx="27">
                  <c:v>126.81546180333602</c:v>
                </c:pt>
                <c:pt idx="28">
                  <c:v>163.58012406414301</c:v>
                </c:pt>
                <c:pt idx="29">
                  <c:v>210.82259811419772</c:v>
                </c:pt>
                <c:pt idx="30">
                  <c:v>271.41048751891657</c:v>
                </c:pt>
                <c:pt idx="31">
                  <c:v>348.91922456337272</c:v>
                </c:pt>
                <c:pt idx="32">
                  <c:v>447.75716243775247</c:v>
                </c:pt>
                <c:pt idx="33">
                  <c:v>573.27996988088182</c:v>
                </c:pt>
                <c:pt idx="34">
                  <c:v>731.86779271537603</c:v>
                </c:pt>
                <c:pt idx="35">
                  <c:v>930.92322448969901</c:v>
                </c:pt>
                <c:pt idx="36">
                  <c:v>1178.7297519187343</c:v>
                </c:pt>
                <c:pt idx="37">
                  <c:v>1484.0932884623826</c:v>
                </c:pt>
                <c:pt idx="38">
                  <c:v>1855.6831480420774</c:v>
                </c:pt>
                <c:pt idx="39">
                  <c:v>2301.0092055315536</c:v>
                </c:pt>
                <c:pt idx="40">
                  <c:v>2825.0387785599746</c:v>
                </c:pt>
                <c:pt idx="41">
                  <c:v>3428.5831866093272</c:v>
                </c:pt>
                <c:pt idx="42">
                  <c:v>4106.7568234858363</c:v>
                </c:pt>
                <c:pt idx="43">
                  <c:v>4847.9702085321342</c:v>
                </c:pt>
                <c:pt idx="44">
                  <c:v>5633.9562535064415</c:v>
                </c:pt>
                <c:pt idx="45">
                  <c:v>6441.1449346171048</c:v>
                </c:pt>
                <c:pt idx="46">
                  <c:v>7243.2934251108209</c:v>
                </c:pt>
                <c:pt idx="47">
                  <c:v>8014.8036482442476</c:v>
                </c:pt>
                <c:pt idx="48">
                  <c:v>8733.8708334931998</c:v>
                </c:pt>
                <c:pt idx="49">
                  <c:v>9384.6791774212252</c:v>
                </c:pt>
                <c:pt idx="50">
                  <c:v>9958.2491881017559</c:v>
                </c:pt>
                <c:pt idx="51">
                  <c:v>10452.018714107591</c:v>
                </c:pt>
                <c:pt idx="52">
                  <c:v>10868.572313677741</c:v>
                </c:pt>
                <c:pt idx="53">
                  <c:v>11214.025621862253</c:v>
                </c:pt>
                <c:pt idx="54">
                  <c:v>11496.473687834947</c:v>
                </c:pt>
                <c:pt idx="55">
                  <c:v>11724.737619230449</c:v>
                </c:pt>
                <c:pt idx="56">
                  <c:v>11907.484411988562</c:v>
                </c:pt>
                <c:pt idx="57">
                  <c:v>12052.691484549587</c:v>
                </c:pt>
                <c:pt idx="58">
                  <c:v>12167.380529921342</c:v>
                </c:pt>
                <c:pt idx="59">
                  <c:v>12257.537274031965</c:v>
                </c:pt>
                <c:pt idx="60">
                  <c:v>12328.145611035123</c:v>
                </c:pt>
                <c:pt idx="61">
                  <c:v>12383.282931289163</c:v>
                </c:pt>
                <c:pt idx="62">
                  <c:v>12542.782363206032</c:v>
                </c:pt>
                <c:pt idx="63">
                  <c:v>12569.471840392351</c:v>
                </c:pt>
                <c:pt idx="64">
                  <c:v>12573.88261914732</c:v>
                </c:pt>
                <c:pt idx="65">
                  <c:v>12574.610051250018</c:v>
                </c:pt>
                <c:pt idx="66">
                  <c:v>12574.729979479438</c:v>
                </c:pt>
                <c:pt idx="67">
                  <c:v>12574.749750356659</c:v>
                </c:pt>
                <c:pt idx="68">
                  <c:v>12574.753009672346</c:v>
                </c:pt>
                <c:pt idx="69">
                  <c:v>12574.753546983988</c:v>
                </c:pt>
                <c:pt idx="70">
                  <c:v>12574.753635562007</c:v>
                </c:pt>
                <c:pt idx="71">
                  <c:v>12574.753650164455</c:v>
                </c:pt>
                <c:pt idx="72">
                  <c:v>12574.75365257173</c:v>
                </c:pt>
                <c:pt idx="73">
                  <c:v>12574.753652968575</c:v>
                </c:pt>
                <c:pt idx="74">
                  <c:v>12574.753653033998</c:v>
                </c:pt>
                <c:pt idx="75">
                  <c:v>12574.753653044783</c:v>
                </c:pt>
                <c:pt idx="76">
                  <c:v>12574.753653046562</c:v>
                </c:pt>
                <c:pt idx="77">
                  <c:v>12574.753653046855</c:v>
                </c:pt>
                <c:pt idx="78">
                  <c:v>12574.753653046902</c:v>
                </c:pt>
                <c:pt idx="79">
                  <c:v>12574.75365304691</c:v>
                </c:pt>
                <c:pt idx="80">
                  <c:v>12574.753653046913</c:v>
                </c:pt>
                <c:pt idx="81">
                  <c:v>12574.753653046913</c:v>
                </c:pt>
                <c:pt idx="82">
                  <c:v>12574.753653046913</c:v>
                </c:pt>
                <c:pt idx="83">
                  <c:v>12574.753653046913</c:v>
                </c:pt>
                <c:pt idx="84">
                  <c:v>12574.753653046913</c:v>
                </c:pt>
                <c:pt idx="85">
                  <c:v>12574.753653046913</c:v>
                </c:pt>
                <c:pt idx="86">
                  <c:v>12574.753653046913</c:v>
                </c:pt>
                <c:pt idx="87">
                  <c:v>12574.753653046913</c:v>
                </c:pt>
                <c:pt idx="88">
                  <c:v>12574.753653046913</c:v>
                </c:pt>
                <c:pt idx="89">
                  <c:v>12574.753653046913</c:v>
                </c:pt>
                <c:pt idx="90">
                  <c:v>12574.753653046913</c:v>
                </c:pt>
                <c:pt idx="91">
                  <c:v>12574.753653046913</c:v>
                </c:pt>
                <c:pt idx="92">
                  <c:v>12574.753653046913</c:v>
                </c:pt>
                <c:pt idx="93">
                  <c:v>12574.753653046913</c:v>
                </c:pt>
                <c:pt idx="94">
                  <c:v>12574.753653046913</c:v>
                </c:pt>
                <c:pt idx="95">
                  <c:v>12574.753653046913</c:v>
                </c:pt>
                <c:pt idx="96">
                  <c:v>12574.753653046913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055264"/>
        <c:axId val="634060360"/>
      </c:scatterChart>
      <c:valAx>
        <c:axId val="634055264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60360"/>
        <c:crossesAt val="0.1"/>
        <c:crossBetween val="midCat"/>
        <c:majorUnit val="14"/>
        <c:minorUnit val="7"/>
      </c:valAx>
      <c:valAx>
        <c:axId val="634060360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55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63370188801795979"/>
          <c:w val="0.19456695891080134"/>
          <c:h val="8.9885519216343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myData!$CX$15</c:f>
          <c:strCache>
            <c:ptCount val="1"/>
            <c:pt idx="0">
              <c:v>COVID19 China P(t) = b / {d+[( b/Po - d ) ]* exp(-b*t)}
b=0.222, d=2.74E-06, P0=1537.649 Limit=563  =&gt;81.0 k cases 
 25-Mar, Cases per 10 M population</c:v>
            </c:pt>
          </c:strCache>
        </c:strRef>
      </c:tx>
      <c:layout>
        <c:manualLayout>
          <c:xMode val="edge"/>
          <c:yMode val="edge"/>
          <c:x val="0.33870089262443082"/>
          <c:y val="3.3394721333211939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36011458196639E-2"/>
          <c:y val="0.16483581859961077"/>
          <c:w val="0.88715308130366799"/>
          <c:h val="0.67768374738733961"/>
        </c:manualLayout>
      </c:layout>
      <c:scatterChart>
        <c:scatterStyle val="lineMarker"/>
        <c:varyColors val="0"/>
        <c:ser>
          <c:idx val="0"/>
          <c:order val="0"/>
          <c:tx>
            <c:v>China Logi Prediction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43930</c:v>
                </c:pt>
                <c:pt idx="73">
                  <c:v>43937</c:v>
                </c:pt>
                <c:pt idx="74">
                  <c:v>43944</c:v>
                </c:pt>
                <c:pt idx="75">
                  <c:v>43951</c:v>
                </c:pt>
                <c:pt idx="76">
                  <c:v>43958</c:v>
                </c:pt>
                <c:pt idx="77">
                  <c:v>43965</c:v>
                </c:pt>
                <c:pt idx="78">
                  <c:v>43972</c:v>
                </c:pt>
                <c:pt idx="79">
                  <c:v>43979</c:v>
                </c:pt>
                <c:pt idx="80">
                  <c:v>43986</c:v>
                </c:pt>
                <c:pt idx="81">
                  <c:v>43993</c:v>
                </c:pt>
                <c:pt idx="82">
                  <c:v>44000</c:v>
                </c:pt>
                <c:pt idx="83">
                  <c:v>44007</c:v>
                </c:pt>
                <c:pt idx="84">
                  <c:v>44014</c:v>
                </c:pt>
                <c:pt idx="85">
                  <c:v>44021</c:v>
                </c:pt>
                <c:pt idx="86">
                  <c:v>44028</c:v>
                </c:pt>
                <c:pt idx="87">
                  <c:v>44035</c:v>
                </c:pt>
                <c:pt idx="88">
                  <c:v>44042</c:v>
                </c:pt>
                <c:pt idx="89">
                  <c:v>44049</c:v>
                </c:pt>
                <c:pt idx="90">
                  <c:v>44056</c:v>
                </c:pt>
                <c:pt idx="91">
                  <c:v>44063</c:v>
                </c:pt>
                <c:pt idx="92">
                  <c:v>44070</c:v>
                </c:pt>
                <c:pt idx="93">
                  <c:v>44077</c:v>
                </c:pt>
                <c:pt idx="94">
                  <c:v>44084</c:v>
                </c:pt>
                <c:pt idx="95">
                  <c:v>44091</c:v>
                </c:pt>
                <c:pt idx="96">
                  <c:v>44098</c:v>
                </c:pt>
                <c:pt idx="97">
                  <c:v>44105</c:v>
                </c:pt>
                <c:pt idx="98">
                  <c:v>44112</c:v>
                </c:pt>
                <c:pt idx="99">
                  <c:v>44119</c:v>
                </c:pt>
                <c:pt idx="100">
                  <c:v>44126</c:v>
                </c:pt>
                <c:pt idx="101">
                  <c:v>44133</c:v>
                </c:pt>
                <c:pt idx="102">
                  <c:v>44140</c:v>
                </c:pt>
                <c:pt idx="103">
                  <c:v>44147</c:v>
                </c:pt>
                <c:pt idx="104">
                  <c:v>44154</c:v>
                </c:pt>
                <c:pt idx="105">
                  <c:v>44161</c:v>
                </c:pt>
                <c:pt idx="106">
                  <c:v>44168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13.277879447066788</c:v>
                </c:pt>
                <c:pt idx="2">
                  <c:v>16.484025158498682</c:v>
                </c:pt>
                <c:pt idx="3">
                  <c:v>20.435557567426564</c:v>
                </c:pt>
                <c:pt idx="4">
                  <c:v>25.290501829557009</c:v>
                </c:pt>
                <c:pt idx="5">
                  <c:v>31.232441089395362</c:v>
                </c:pt>
                <c:pt idx="6">
                  <c:v>38.470520532809786</c:v>
                </c:pt>
                <c:pt idx="7">
                  <c:v>47.236975856005962</c:v>
                </c:pt>
                <c:pt idx="8">
                  <c:v>57.780974610663726</c:v>
                </c:pt>
                <c:pt idx="9">
                  <c:v>70.357412171750113</c:v>
                </c:pt>
                <c:pt idx="10">
                  <c:v>85.209409130504824</c:v>
                </c:pt>
                <c:pt idx="11">
                  <c:v>102.54381624813004</c:v>
                </c:pt>
                <c:pt idx="12">
                  <c:v>122.50025002999644</c:v>
                </c:pt>
                <c:pt idx="13">
                  <c:v>145.11614101891283</c:v>
                </c:pt>
                <c:pt idx="14">
                  <c:v>170.29276175115768</c:v>
                </c:pt>
                <c:pt idx="15">
                  <c:v>197.76952773596358</c:v>
                </c:pt>
                <c:pt idx="16">
                  <c:v>227.11489628142812</c:v>
                </c:pt>
                <c:pt idx="17">
                  <c:v>257.74071779720998</c:v>
                </c:pt>
                <c:pt idx="18">
                  <c:v>288.9423931902565</c:v>
                </c:pt>
                <c:pt idx="19">
                  <c:v>319.96053813308185</c:v>
                </c:pt>
                <c:pt idx="20">
                  <c:v>350.05339135025753</c:v>
                </c:pt>
                <c:pt idx="21">
                  <c:v>378.5657247416421</c:v>
                </c:pt>
                <c:pt idx="22">
                  <c:v>404.98116271540044</c:v>
                </c:pt>
                <c:pt idx="23">
                  <c:v>428.9500439666773</c:v>
                </c:pt>
                <c:pt idx="24">
                  <c:v>450.29186964358246</c:v>
                </c:pt>
                <c:pt idx="25">
                  <c:v>468.97721443524625</c:v>
                </c:pt>
                <c:pt idx="26">
                  <c:v>485.09703305386586</c:v>
                </c:pt>
                <c:pt idx="27">
                  <c:v>498.82743532617133</c:v>
                </c:pt>
                <c:pt idx="28">
                  <c:v>510.39618937343494</c:v>
                </c:pt>
                <c:pt idx="29">
                  <c:v>520.05469188858694</c:v>
                </c:pt>
                <c:pt idx="30">
                  <c:v>528.05685838737736</c:v>
                </c:pt>
                <c:pt idx="31">
                  <c:v>534.64477991143008</c:v>
                </c:pt>
                <c:pt idx="32">
                  <c:v>540.04011311565966</c:v>
                </c:pt>
                <c:pt idx="33">
                  <c:v>544.43985676337707</c:v>
                </c:pt>
                <c:pt idx="34">
                  <c:v>548.01520612193474</c:v>
                </c:pt>
                <c:pt idx="35">
                  <c:v>550.91238715096574</c:v>
                </c:pt>
                <c:pt idx="36">
                  <c:v>553.254633686425</c:v>
                </c:pt>
                <c:pt idx="37">
                  <c:v>555.14471635709356</c:v>
                </c:pt>
                <c:pt idx="38">
                  <c:v>556.66763335036103</c:v>
                </c:pt>
                <c:pt idx="39">
                  <c:v>557.89322454156468</c:v>
                </c:pt>
                <c:pt idx="40">
                  <c:v>558.87857709112427</c:v>
                </c:pt>
                <c:pt idx="41">
                  <c:v>559.67016150191012</c:v>
                </c:pt>
                <c:pt idx="42">
                  <c:v>560.30568164218823</c:v>
                </c:pt>
                <c:pt idx="43">
                  <c:v>560.81564833239645</c:v>
                </c:pt>
                <c:pt idx="44">
                  <c:v>561.22469991929427</c:v>
                </c:pt>
                <c:pt idx="45">
                  <c:v>561.55269928180894</c:v>
                </c:pt>
                <c:pt idx="46">
                  <c:v>561.81563801642449</c:v>
                </c:pt>
                <c:pt idx="47">
                  <c:v>562.02637718859285</c:v>
                </c:pt>
                <c:pt idx="48">
                  <c:v>562.19525132492754</c:v>
                </c:pt>
                <c:pt idx="49">
                  <c:v>562.33055906783136</c:v>
                </c:pt>
                <c:pt idx="50">
                  <c:v>562.43896059369558</c:v>
                </c:pt>
                <c:pt idx="51">
                  <c:v>562.52579876654454</c:v>
                </c:pt>
                <c:pt idx="52">
                  <c:v>562.5953581856262</c:v>
                </c:pt>
                <c:pt idx="53">
                  <c:v>562.65107383225461</c:v>
                </c:pt>
                <c:pt idx="54">
                  <c:v>562.69569892667312</c:v>
                </c:pt>
                <c:pt idx="55">
                  <c:v>562.7314398442245</c:v>
                </c:pt>
                <c:pt idx="56">
                  <c:v>562.76006447507518</c:v>
                </c:pt>
                <c:pt idx="57">
                  <c:v>562.78298920344093</c:v>
                </c:pt>
                <c:pt idx="58">
                  <c:v>562.8013486920064</c:v>
                </c:pt>
                <c:pt idx="59">
                  <c:v>562.81605184966952</c:v>
                </c:pt>
                <c:pt idx="60">
                  <c:v>562.82782670466872</c:v>
                </c:pt>
                <c:pt idx="61">
                  <c:v>562.83725637373834</c:v>
                </c:pt>
                <c:pt idx="62">
                  <c:v>562.84480788851272</c:v>
                </c:pt>
                <c:pt idx="63">
                  <c:v>562.85085529402204</c:v>
                </c:pt>
                <c:pt idx="64">
                  <c:v>562.85569815515476</c:v>
                </c:pt>
                <c:pt idx="65">
                  <c:v>562.85957638252387</c:v>
                </c:pt>
                <c:pt idx="66">
                  <c:v>562.86268210880723</c:v>
                </c:pt>
                <c:pt idx="67">
                  <c:v>562.86516920174654</c:v>
                </c:pt>
                <c:pt idx="68">
                  <c:v>562.8671608837177</c:v>
                </c:pt>
                <c:pt idx="69">
                  <c:v>562.86875583448295</c:v>
                </c:pt>
                <c:pt idx="70">
                  <c:v>562.87003307891825</c:v>
                </c:pt>
                <c:pt idx="71">
                  <c:v>562.87105590151873</c:v>
                </c:pt>
                <c:pt idx="72">
                  <c:v>562.87429939848346</c:v>
                </c:pt>
                <c:pt idx="73">
                  <c:v>562.87498439471096</c:v>
                </c:pt>
                <c:pt idx="74">
                  <c:v>562.87512905871199</c:v>
                </c:pt>
                <c:pt idx="75">
                  <c:v>562.87515961019244</c:v>
                </c:pt>
                <c:pt idx="76">
                  <c:v>562.87516606233476</c:v>
                </c:pt>
                <c:pt idx="77">
                  <c:v>562.87516742495757</c:v>
                </c:pt>
                <c:pt idx="78">
                  <c:v>562.87516771272851</c:v>
                </c:pt>
                <c:pt idx="79">
                  <c:v>562.87516777350288</c:v>
                </c:pt>
                <c:pt idx="80">
                  <c:v>562.87516778633756</c:v>
                </c:pt>
                <c:pt idx="81">
                  <c:v>562.87516778904819</c:v>
                </c:pt>
                <c:pt idx="82">
                  <c:v>562.8751677896206</c:v>
                </c:pt>
                <c:pt idx="83">
                  <c:v>562.87516778974145</c:v>
                </c:pt>
                <c:pt idx="84">
                  <c:v>562.87516778976703</c:v>
                </c:pt>
                <c:pt idx="85">
                  <c:v>562.87516778977249</c:v>
                </c:pt>
                <c:pt idx="86">
                  <c:v>562.87516778977351</c:v>
                </c:pt>
                <c:pt idx="87">
                  <c:v>562.87516778977385</c:v>
                </c:pt>
                <c:pt idx="88">
                  <c:v>562.87516778977385</c:v>
                </c:pt>
                <c:pt idx="89">
                  <c:v>562.87516778977385</c:v>
                </c:pt>
                <c:pt idx="90">
                  <c:v>562.87516778977385</c:v>
                </c:pt>
                <c:pt idx="91">
                  <c:v>562.87516778977385</c:v>
                </c:pt>
                <c:pt idx="92">
                  <c:v>562.87516778977385</c:v>
                </c:pt>
                <c:pt idx="93">
                  <c:v>562.87516778977385</c:v>
                </c:pt>
                <c:pt idx="94">
                  <c:v>562.87516778977385</c:v>
                </c:pt>
                <c:pt idx="95">
                  <c:v>562.87516778977385</c:v>
                </c:pt>
                <c:pt idx="96">
                  <c:v>562.87516778977385</c:v>
                </c:pt>
                <c:pt idx="97">
                  <c:v>562.87516778977385</c:v>
                </c:pt>
                <c:pt idx="98">
                  <c:v>562.87516778977385</c:v>
                </c:pt>
                <c:pt idx="99">
                  <c:v>562.87516778977385</c:v>
                </c:pt>
                <c:pt idx="100">
                  <c:v>562.87516778977385</c:v>
                </c:pt>
                <c:pt idx="101">
                  <c:v>562.87516778977385</c:v>
                </c:pt>
                <c:pt idx="102">
                  <c:v>562.87516778977385</c:v>
                </c:pt>
                <c:pt idx="103">
                  <c:v>562.87516778977385</c:v>
                </c:pt>
                <c:pt idx="104">
                  <c:v>562.87516778977385</c:v>
                </c:pt>
                <c:pt idx="105">
                  <c:v>562.87516778977385</c:v>
                </c:pt>
                <c:pt idx="106">
                  <c:v>562.87516778977385</c:v>
                </c:pt>
              </c:numCache>
            </c:numRef>
          </c:yVal>
          <c:smooth val="0"/>
        </c:ser>
        <c:ser>
          <c:idx val="1"/>
          <c:order val="1"/>
          <c:tx>
            <c:v>China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0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 formatCode="##0.0E+00">
                  <c:v>536.64784316048156</c:v>
                </c:pt>
                <c:pt idx="34" formatCode="##0.0E+00">
                  <c:v>540.21201689646796</c:v>
                </c:pt>
                <c:pt idx="35" formatCode="##0.0E+00">
                  <c:v>543.07447221659743</c:v>
                </c:pt>
                <c:pt idx="36" formatCode="##0.0E+00">
                  <c:v>546.08977709265605</c:v>
                </c:pt>
                <c:pt idx="37" formatCode="##0.0E+00">
                  <c:v>548.36862501741928</c:v>
                </c:pt>
                <c:pt idx="38" formatCode="##0.0E+00">
                  <c:v>551.34224365095179</c:v>
                </c:pt>
                <c:pt idx="39" formatCode="##0.0E+00">
                  <c:v>555.34412293346293</c:v>
                </c:pt>
                <c:pt idx="40" formatCode="##0.0E+00">
                  <c:v>556.7614551793522</c:v>
                </c:pt>
                <c:pt idx="41" formatCode="##0.0E+00">
                  <c:v>557.6299185653138</c:v>
                </c:pt>
                <c:pt idx="42" formatCode="##0.0E+00">
                  <c:v>558.49838195127541</c:v>
                </c:pt>
                <c:pt idx="43" formatCode="##0.0E+00">
                  <c:v>559.54748572151709</c:v>
                </c:pt>
                <c:pt idx="44" formatCode="##0.0E+00">
                  <c:v>560.61048490593407</c:v>
                </c:pt>
                <c:pt idx="45" formatCode="##0.0E+00">
                  <c:v>561.1663014729495</c:v>
                </c:pt>
                <c:pt idx="46" formatCode="##0.0E+00">
                  <c:v>561.5345299485972</c:v>
                </c:pt>
                <c:pt idx="47" formatCode="##0.0E+00">
                  <c:v>561.79159511084185</c:v>
                </c:pt>
                <c:pt idx="48" formatCode="##0.0E+00">
                  <c:v>561.97918320220958</c:v>
                </c:pt>
                <c:pt idx="49" formatCode="##0.0E+00">
                  <c:v>562.21540524319107</c:v>
                </c:pt>
                <c:pt idx="50" formatCode="##0.0E+00">
                  <c:v>562.29183002115576</c:v>
                </c:pt>
                <c:pt idx="51" formatCode="##0.0E+00">
                  <c:v>562.38215021329574</c:v>
                </c:pt>
                <c:pt idx="52" formatCode="##0.0E+00">
                  <c:v>562.60447684010194</c:v>
                </c:pt>
                <c:pt idx="53" formatCode="##0.0E+00">
                  <c:v>562.78511722438191</c:v>
                </c:pt>
                <c:pt idx="54" formatCode="##0.0E+00">
                  <c:v>562.99354843701269</c:v>
                </c:pt>
                <c:pt idx="55" formatCode="##0.0E+00">
                  <c:v>563.16724111420501</c:v>
                </c:pt>
                <c:pt idx="56" formatCode="##0.0E+00">
                  <c:v>563.47294022606354</c:v>
                </c:pt>
                <c:pt idx="57" formatCode="##0.0E+00">
                  <c:v>563.84811640879889</c:v>
                </c:pt>
                <c:pt idx="58" formatCode="##0.0E+00">
                  <c:v>564.50120087504206</c:v>
                </c:pt>
                <c:pt idx="59" formatCode="##0.0E+00">
                  <c:v>564.88332476486516</c:v>
                </c:pt>
                <c:pt idx="60" formatCode="##0.0E+00">
                  <c:v>565.78652668626523</c:v>
                </c:pt>
                <c:pt idx="61" formatCode="##0.0E+00">
                  <c:v>566.22423223278986</c:v>
                </c:pt>
                <c:pt idx="62">
                  <c:v>566.87036899194527</c:v>
                </c:pt>
                <c:pt idx="63">
                  <c:v>567.35670848808377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061144"/>
        <c:axId val="634055656"/>
      </c:scatterChart>
      <c:valAx>
        <c:axId val="634061144"/>
        <c:scaling>
          <c:orientation val="minMax"/>
          <c:max val="43920"/>
          <c:min val="438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55656"/>
        <c:crosses val="autoZero"/>
        <c:crossBetween val="midCat"/>
        <c:majorUnit val="14"/>
        <c:minorUnit val="7"/>
      </c:valAx>
      <c:valAx>
        <c:axId val="634055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61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90512430477899"/>
          <c:y val="0.33565589895072867"/>
          <c:w val="0.12872628493749097"/>
          <c:h val="0.18523683792746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myData!TitleCases</c:f>
          <c:strCache>
            <c:ptCount val="1"/>
            <c:pt idx="0">
              <c:v>COVID 19  Thu 26-Mar-2020, Cases per 10 M population</c:v>
            </c:pt>
          </c:strCache>
        </c:strRef>
      </c:tx>
      <c:layout>
        <c:manualLayout>
          <c:xMode val="edge"/>
          <c:yMode val="edge"/>
          <c:x val="0.21988155226886738"/>
          <c:y val="1.2541254885863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899602932735263E-2"/>
          <c:y val="8.8784513755633482E-2"/>
          <c:w val="0.72112299939910018"/>
          <c:h val="0.76714659526682405"/>
        </c:manualLayout>
      </c:layout>
      <c:scatterChart>
        <c:scatterStyle val="lineMarker"/>
        <c:varyColors val="0"/>
        <c:ser>
          <c:idx val="10"/>
          <c:order val="0"/>
          <c:tx>
            <c:v>Au Cases</c:v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3"/>
            <c:spPr>
              <a:noFill/>
              <a:ln w="6350">
                <a:solidFill>
                  <a:srgbClr val="FF0000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61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61"/>
                <c:pt idx="0">
                  <c:v>1.5770383220312254</c:v>
                </c:pt>
                <c:pt idx="1">
                  <c:v>1.9712979025390318</c:v>
                </c:pt>
                <c:pt idx="2">
                  <c:v>1.9712979025390318</c:v>
                </c:pt>
                <c:pt idx="3">
                  <c:v>2.365557483046838</c:v>
                </c:pt>
                <c:pt idx="4">
                  <c:v>3.548336224570257</c:v>
                </c:pt>
                <c:pt idx="5">
                  <c:v>3.548336224570257</c:v>
                </c:pt>
                <c:pt idx="6">
                  <c:v>4.731114966093676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5.1253745466014822</c:v>
                </c:pt>
                <c:pt idx="10">
                  <c:v>5.1253745466014822</c:v>
                </c:pt>
                <c:pt idx="11">
                  <c:v>5.5196341271092884</c:v>
                </c:pt>
                <c:pt idx="12">
                  <c:v>5.9138937076170954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9.856489512695159</c:v>
                </c:pt>
                <c:pt idx="35">
                  <c:v>10.645008673710771</c:v>
                </c:pt>
                <c:pt idx="36">
                  <c:v>11.827787415234191</c:v>
                </c:pt>
                <c:pt idx="37">
                  <c:v>15.376123639804447</c:v>
                </c:pt>
                <c:pt idx="38">
                  <c:v>20.501498186405929</c:v>
                </c:pt>
                <c:pt idx="39">
                  <c:v>21.68427692792935</c:v>
                </c:pt>
                <c:pt idx="40">
                  <c:v>23.655574830468382</c:v>
                </c:pt>
                <c:pt idx="41">
                  <c:v>24.838353571991799</c:v>
                </c:pt>
                <c:pt idx="42">
                  <c:v>29.963728118593281</c:v>
                </c:pt>
                <c:pt idx="43">
                  <c:v>35.87762182621038</c:v>
                </c:pt>
                <c:pt idx="44">
                  <c:v>42.185775114335279</c:v>
                </c:pt>
                <c:pt idx="45">
                  <c:v>50.465226304999213</c:v>
                </c:pt>
                <c:pt idx="46">
                  <c:v>50.465226304999213</c:v>
                </c:pt>
                <c:pt idx="47">
                  <c:v>78.851916101561272</c:v>
                </c:pt>
                <c:pt idx="48">
                  <c:v>98.564895126951583</c:v>
                </c:pt>
                <c:pt idx="49">
                  <c:v>117.09509541081849</c:v>
                </c:pt>
                <c:pt idx="50">
                  <c:v>148.635861851443</c:v>
                </c:pt>
                <c:pt idx="51">
                  <c:v>178.20533038952846</c:v>
                </c:pt>
                <c:pt idx="52">
                  <c:v>223.93944172843399</c:v>
                </c:pt>
                <c:pt idx="53">
                  <c:v>268.49077432581612</c:v>
                </c:pt>
                <c:pt idx="54">
                  <c:v>311.85932818167481</c:v>
                </c:pt>
                <c:pt idx="55">
                  <c:v>422.25201072386056</c:v>
                </c:pt>
                <c:pt idx="56">
                  <c:v>610.70809020659203</c:v>
                </c:pt>
                <c:pt idx="57">
                  <c:v>663.14461441413027</c:v>
                </c:pt>
                <c:pt idx="58">
                  <c:v>805.86658255795612</c:v>
                </c:pt>
                <c:pt idx="59">
                  <c:v>958.44504021447722</c:v>
                </c:pt>
                <c:pt idx="60">
                  <c:v>1106.2923829049046</c:v>
                </c:pt>
              </c:numCache>
            </c:numRef>
          </c:yVal>
          <c:smooth val="0"/>
        </c:ser>
        <c:ser>
          <c:idx val="3"/>
          <c:order val="1"/>
          <c:tx>
            <c:v>NSW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61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61"/>
                <c:pt idx="0">
                  <c:v>3.7128712871287126</c:v>
                </c:pt>
                <c:pt idx="1">
                  <c:v>4.9504950495049505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7.4257425742574252</c:v>
                </c:pt>
                <c:pt idx="36">
                  <c:v>7.4257425742574252</c:v>
                </c:pt>
                <c:pt idx="37">
                  <c:v>16.089108910891088</c:v>
                </c:pt>
                <c:pt idx="38">
                  <c:v>27.227722772277225</c:v>
                </c:pt>
                <c:pt idx="39">
                  <c:v>27.227722772277225</c:v>
                </c:pt>
                <c:pt idx="40">
                  <c:v>32.178217821782177</c:v>
                </c:pt>
                <c:pt idx="41">
                  <c:v>34.653465346534652</c:v>
                </c:pt>
                <c:pt idx="42">
                  <c:v>47.029702970297024</c:v>
                </c:pt>
                <c:pt idx="43">
                  <c:v>59.405940594059402</c:v>
                </c:pt>
                <c:pt idx="44">
                  <c:v>68.06930693069306</c:v>
                </c:pt>
                <c:pt idx="45">
                  <c:v>80.445544554455438</c:v>
                </c:pt>
                <c:pt idx="46">
                  <c:v>80.445544554455438</c:v>
                </c:pt>
                <c:pt idx="47">
                  <c:v>113.86138613861385</c:v>
                </c:pt>
                <c:pt idx="48">
                  <c:v>138.61386138613861</c:v>
                </c:pt>
                <c:pt idx="49">
                  <c:v>165.84158415841583</c:v>
                </c:pt>
                <c:pt idx="50">
                  <c:v>211.63366336633663</c:v>
                </c:pt>
                <c:pt idx="51">
                  <c:v>259.9009900990099</c:v>
                </c:pt>
                <c:pt idx="52">
                  <c:v>330.44554455445541</c:v>
                </c:pt>
                <c:pt idx="53">
                  <c:v>379.95049504950492</c:v>
                </c:pt>
                <c:pt idx="54">
                  <c:v>436.88118811881185</c:v>
                </c:pt>
                <c:pt idx="55">
                  <c:v>539.60396039603961</c:v>
                </c:pt>
                <c:pt idx="56">
                  <c:v>827.97029702970292</c:v>
                </c:pt>
                <c:pt idx="57">
                  <c:v>827.97029702970292</c:v>
                </c:pt>
                <c:pt idx="58">
                  <c:v>1012.3762376237623</c:v>
                </c:pt>
                <c:pt idx="59">
                  <c:v>1273.5148514851485</c:v>
                </c:pt>
                <c:pt idx="60">
                  <c:v>1508.6633663366335</c:v>
                </c:pt>
              </c:numCache>
            </c:numRef>
          </c:yVal>
          <c:smooth val="0"/>
        </c:ser>
        <c:ser>
          <c:idx val="1"/>
          <c:order val="2"/>
          <c:tx>
            <c:v>Italy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5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6"/>
                <c:pt idx="0">
                  <c:v>0.33066049433743905</c:v>
                </c:pt>
                <c:pt idx="1">
                  <c:v>0.33066049433743905</c:v>
                </c:pt>
                <c:pt idx="2">
                  <c:v>0.33066049433743905</c:v>
                </c:pt>
                <c:pt idx="3">
                  <c:v>0.33066049433743905</c:v>
                </c:pt>
                <c:pt idx="4">
                  <c:v>0.33066049433743905</c:v>
                </c:pt>
                <c:pt idx="5">
                  <c:v>0.33066049433743905</c:v>
                </c:pt>
                <c:pt idx="6">
                  <c:v>0.33066049433743905</c:v>
                </c:pt>
                <c:pt idx="7">
                  <c:v>0.49599074150615857</c:v>
                </c:pt>
                <c:pt idx="8">
                  <c:v>0.49599074150615857</c:v>
                </c:pt>
                <c:pt idx="9">
                  <c:v>0.49599074150615857</c:v>
                </c:pt>
                <c:pt idx="10">
                  <c:v>0.49599074150615857</c:v>
                </c:pt>
                <c:pt idx="11">
                  <c:v>0.49599074150615857</c:v>
                </c:pt>
                <c:pt idx="12">
                  <c:v>0.49599074150615857</c:v>
                </c:pt>
                <c:pt idx="13">
                  <c:v>0.49599074150615857</c:v>
                </c:pt>
                <c:pt idx="14">
                  <c:v>0.49599074150615857</c:v>
                </c:pt>
                <c:pt idx="15">
                  <c:v>0.49599074150615857</c:v>
                </c:pt>
                <c:pt idx="16">
                  <c:v>0.49599074150615857</c:v>
                </c:pt>
                <c:pt idx="17">
                  <c:v>0.49599074150615857</c:v>
                </c:pt>
                <c:pt idx="18">
                  <c:v>0.49599074150615857</c:v>
                </c:pt>
                <c:pt idx="19">
                  <c:v>0.49599074150615857</c:v>
                </c:pt>
                <c:pt idx="20">
                  <c:v>0.49599074150615857</c:v>
                </c:pt>
                <c:pt idx="21">
                  <c:v>3.3066049433743903</c:v>
                </c:pt>
                <c:pt idx="22" formatCode="##0.0E+00">
                  <c:v>10.250475324460611</c:v>
                </c:pt>
                <c:pt idx="23" formatCode="##0.0E+00">
                  <c:v>25.626188311151527</c:v>
                </c:pt>
                <c:pt idx="24" formatCode="##0.0E+00">
                  <c:v>37.860626601636774</c:v>
                </c:pt>
                <c:pt idx="25" formatCode="##0.0E+00">
                  <c:v>53.236339588327688</c:v>
                </c:pt>
                <c:pt idx="26" formatCode="##0.0E+00">
                  <c:v>74.894601967429949</c:v>
                </c:pt>
                <c:pt idx="27" formatCode="##0.0E+00">
                  <c:v>108.29131189551129</c:v>
                </c:pt>
                <c:pt idx="28" formatCode="##0.0E+00">
                  <c:v>146.81325948582293</c:v>
                </c:pt>
                <c:pt idx="29" formatCode="##0.0E+00">
                  <c:v>186.49251880631562</c:v>
                </c:pt>
                <c:pt idx="30" formatCode="##0.0E+00">
                  <c:v>280.06943870381087</c:v>
                </c:pt>
                <c:pt idx="31" formatCode="##0.0E+00">
                  <c:v>336.61238323551294</c:v>
                </c:pt>
                <c:pt idx="32" formatCode="##0.0E+00">
                  <c:v>413.65627841613627</c:v>
                </c:pt>
                <c:pt idx="33" formatCode="##0.0E+00">
                  <c:v>510.70513350417463</c:v>
                </c:pt>
                <c:pt idx="34" formatCode="##0.0E+00">
                  <c:v>637.84409357691993</c:v>
                </c:pt>
                <c:pt idx="35" formatCode="##0.0E+00">
                  <c:v>766.47102587418374</c:v>
                </c:pt>
                <c:pt idx="36" formatCode="##0.0E+00">
                  <c:v>972.63784409357697</c:v>
                </c:pt>
                <c:pt idx="37" formatCode="##0.0E+00">
                  <c:v>1219.3105728693065</c:v>
                </c:pt>
                <c:pt idx="38" formatCode="##0.0E+00">
                  <c:v>1516.4090270314955</c:v>
                </c:pt>
                <c:pt idx="39" formatCode="##0.0E+00">
                  <c:v>1677.9366785153345</c:v>
                </c:pt>
                <c:pt idx="40" formatCode="##0.0E+00">
                  <c:v>2060.3455402165828</c:v>
                </c:pt>
                <c:pt idx="41" formatCode="##0.0E+00">
                  <c:v>2490.0388526080847</c:v>
                </c:pt>
                <c:pt idx="42" formatCode="##0.0E+00">
                  <c:v>2919.732164999587</c:v>
                </c:pt>
                <c:pt idx="43" formatCode="##0.0E+00">
                  <c:v>3497.8920393485992</c:v>
                </c:pt>
                <c:pt idx="44" formatCode="##0.0E+00">
                  <c:v>4091.4276266843021</c:v>
                </c:pt>
                <c:pt idx="45" formatCode="##0.0E+00">
                  <c:v>4625.9403157807719</c:v>
                </c:pt>
                <c:pt idx="46" formatCode="##0.0E+00">
                  <c:v>5208.8947672976774</c:v>
                </c:pt>
                <c:pt idx="47" formatCode="##0.0E+00">
                  <c:v>5904.4391171364805</c:v>
                </c:pt>
                <c:pt idx="48" formatCode="##0.0E+00">
                  <c:v>6784.3266925684056</c:v>
                </c:pt>
                <c:pt idx="49" formatCode="##0.0E+00">
                  <c:v>7773.9935521203606</c:v>
                </c:pt>
                <c:pt idx="50" formatCode="##0.0E+00">
                  <c:v>8858.0639828056555</c:v>
                </c:pt>
                <c:pt idx="51" formatCode="##0.0E+00">
                  <c:v>9777.3001570637352</c:v>
                </c:pt>
                <c:pt idx="52" formatCode="##0.0E+00">
                  <c:v>10569.066710754732</c:v>
                </c:pt>
                <c:pt idx="53" formatCode="##0.0E+00">
                  <c:v>11436.885178143342</c:v>
                </c:pt>
                <c:pt idx="54">
                  <c:v>12298.255765892371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2"/>
          <c:order val="3"/>
          <c:tx>
            <c:v>SKorea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64"/>
                <c:pt idx="0">
                  <c:v>0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 formatCode="##0.0E+00">
                  <c:v>117.1206225680934</c:v>
                </c:pt>
                <c:pt idx="33" formatCode="##0.0E+00">
                  <c:v>162.06225680933852</c:v>
                </c:pt>
                <c:pt idx="34" formatCode="##0.0E+00">
                  <c:v>190.07782101167317</c:v>
                </c:pt>
                <c:pt idx="35" formatCode="##0.0E+00">
                  <c:v>245.33073929961091</c:v>
                </c:pt>
                <c:pt idx="36" formatCode="##0.0E+00">
                  <c:v>343.579766536965</c:v>
                </c:pt>
                <c:pt idx="37" formatCode="##0.0E+00">
                  <c:v>454.66926070038915</c:v>
                </c:pt>
                <c:pt idx="38" formatCode="##0.0E+00">
                  <c:v>612.84046692607012</c:v>
                </c:pt>
                <c:pt idx="39" formatCode="##0.0E+00">
                  <c:v>726.84824902723744</c:v>
                </c:pt>
                <c:pt idx="40" formatCode="##0.0E+00">
                  <c:v>843.38521400778211</c:v>
                </c:pt>
                <c:pt idx="41" formatCode="##0.0E+00">
                  <c:v>1008.9494163424125</c:v>
                </c:pt>
                <c:pt idx="42" formatCode="##0.0E+00">
                  <c:v>1093.5797665369651</c:v>
                </c:pt>
                <c:pt idx="43" formatCode="##0.0E+00">
                  <c:v>1184.4357976653698</c:v>
                </c:pt>
                <c:pt idx="44" formatCode="##0.0E+00">
                  <c:v>1282.6848249027239</c:v>
                </c:pt>
                <c:pt idx="45" formatCode="##0.0E+00">
                  <c:v>1369.8443579766538</c:v>
                </c:pt>
                <c:pt idx="46" formatCode="##0.0E+00">
                  <c:v>1422.95719844358</c:v>
                </c:pt>
                <c:pt idx="47" formatCode="##0.0E+00">
                  <c:v>1454.8638132295721</c:v>
                </c:pt>
                <c:pt idx="48" formatCode="##0.0E+00">
                  <c:v>1461.6731517509729</c:v>
                </c:pt>
                <c:pt idx="49" formatCode="##0.0E+00">
                  <c:v>1508.7548638132296</c:v>
                </c:pt>
                <c:pt idx="50" formatCode="##0.0E+00">
                  <c:v>1530.933852140078</c:v>
                </c:pt>
                <c:pt idx="51" formatCode="##0.0E+00">
                  <c:v>1552.3346303501946</c:v>
                </c:pt>
                <c:pt idx="52" formatCode="##0.0E+00">
                  <c:v>1573.1517509727628</c:v>
                </c:pt>
                <c:pt idx="53" formatCode="##0.0E+00">
                  <c:v>1587.9377431906616</c:v>
                </c:pt>
                <c:pt idx="54" formatCode="##0.0E+00">
                  <c:v>1602.3346303501946</c:v>
                </c:pt>
                <c:pt idx="55" formatCode="##0.0E+00">
                  <c:v>1618.6770428015566</c:v>
                </c:pt>
                <c:pt idx="56" formatCode="##0.0E+00">
                  <c:v>1636.7704280155642</c:v>
                </c:pt>
                <c:pt idx="57" formatCode="##0.0E+00">
                  <c:v>1666.342412451362</c:v>
                </c:pt>
                <c:pt idx="58" formatCode="##0.0E+00">
                  <c:v>1683.2684824902724</c:v>
                </c:pt>
                <c:pt idx="59" formatCode="##0.0E+00">
                  <c:v>1711.8677042801557</c:v>
                </c:pt>
                <c:pt idx="60" formatCode="##0.0E+00">
                  <c:v>1743.3852140077822</c:v>
                </c:pt>
                <c:pt idx="61" formatCode="##0.0E+00">
                  <c:v>1743.3852140077822</c:v>
                </c:pt>
                <c:pt idx="62" formatCode="##0.0E+00">
                  <c:v>1758.1712062256811</c:v>
                </c:pt>
                <c:pt idx="63" formatCode="##0.0E+00">
                  <c:v>1777.626459143969</c:v>
                </c:pt>
              </c:numCache>
            </c:numRef>
          </c:yVal>
          <c:smooth val="0"/>
        </c:ser>
        <c:ser>
          <c:idx val="7"/>
          <c:order val="4"/>
          <c:tx>
            <c:v>UK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5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6"/>
                <c:pt idx="0">
                  <c:v>0.30102347983142685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0.45153521974714028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1.2040939193257074</c:v>
                </c:pt>
                <c:pt idx="11">
                  <c:v>1.2040939193257074</c:v>
                </c:pt>
                <c:pt idx="12">
                  <c:v>1.3546056592414208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 formatCode="##0.0E+00">
                  <c:v>1.3546056592414208</c:v>
                </c:pt>
                <c:pt idx="24" formatCode="##0.0E+00">
                  <c:v>1.9566526189042746</c:v>
                </c:pt>
                <c:pt idx="25" formatCode="##0.0E+00">
                  <c:v>1.9566526189042746</c:v>
                </c:pt>
                <c:pt idx="26" formatCode="##0.0E+00">
                  <c:v>1.9566526189042746</c:v>
                </c:pt>
                <c:pt idx="27" formatCode="##0.0E+00">
                  <c:v>2.2576760987357014</c:v>
                </c:pt>
                <c:pt idx="28" formatCode="##0.0E+00">
                  <c:v>3.0102347983142685</c:v>
                </c:pt>
                <c:pt idx="29" formatCode="##0.0E+00">
                  <c:v>3.4617700180614088</c:v>
                </c:pt>
                <c:pt idx="30" formatCode="##0.0E+00">
                  <c:v>5.4184226369656834</c:v>
                </c:pt>
                <c:pt idx="31" formatCode="##0.0E+00">
                  <c:v>6.0204695966285371</c:v>
                </c:pt>
                <c:pt idx="32" formatCode="##0.0E+00">
                  <c:v>7.6760987357013848</c:v>
                </c:pt>
                <c:pt idx="33" formatCode="##0.0E+00">
                  <c:v>12.944009632751355</c:v>
                </c:pt>
                <c:pt idx="34" formatCode="##0.0E+00">
                  <c:v>17.459361830222758</c:v>
                </c:pt>
                <c:pt idx="35" formatCode="##0.0E+00">
                  <c:v>24.683925346177002</c:v>
                </c:pt>
                <c:pt idx="36" formatCode="##0.0E+00">
                  <c:v>31.155930162552679</c:v>
                </c:pt>
                <c:pt idx="37" formatCode="##0.0E+00">
                  <c:v>41.240216736905481</c:v>
                </c:pt>
                <c:pt idx="38" formatCode="##0.0E+00">
                  <c:v>48.464780252859725</c:v>
                </c:pt>
                <c:pt idx="39" formatCode="##0.0E+00">
                  <c:v>57.796508127633956</c:v>
                </c:pt>
                <c:pt idx="40" formatCode="##0.0E+00">
                  <c:v>69.084888621312459</c:v>
                </c:pt>
                <c:pt idx="41" formatCode="##0.0E+00">
                  <c:v>69.084888621312459</c:v>
                </c:pt>
                <c:pt idx="42" formatCode="##0.0E+00">
                  <c:v>120.71041541240217</c:v>
                </c:pt>
                <c:pt idx="43" formatCode="##0.0E+00">
                  <c:v>172.18543046357615</c:v>
                </c:pt>
                <c:pt idx="44" formatCode="##0.0E+00">
                  <c:v>172.33594220349187</c:v>
                </c:pt>
                <c:pt idx="45" formatCode="##0.0E+00">
                  <c:v>233.44370860927151</c:v>
                </c:pt>
                <c:pt idx="46" formatCode="##0.0E+00">
                  <c:v>295.0030102347983</c:v>
                </c:pt>
                <c:pt idx="47" formatCode="##0.0E+00">
                  <c:v>397.65201685731489</c:v>
                </c:pt>
                <c:pt idx="48" formatCode="##0.0E+00">
                  <c:v>408.78988561107764</c:v>
                </c:pt>
                <c:pt idx="49" formatCode="##0.0E+00">
                  <c:v>604.15412402167362</c:v>
                </c:pt>
                <c:pt idx="50" formatCode="##0.0E+00">
                  <c:v>762.64298615291989</c:v>
                </c:pt>
                <c:pt idx="51" formatCode="##0.0E+00">
                  <c:v>864.68994581577363</c:v>
                </c:pt>
                <c:pt idx="52" formatCode="##0.0E+00">
                  <c:v>1012.3419626730885</c:v>
                </c:pt>
                <c:pt idx="53" formatCode="##0.0E+00">
                  <c:v>1228.7778446718844</c:v>
                </c:pt>
                <c:pt idx="54">
                  <c:v>1259.0307043949429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0"/>
          <c:order val="5"/>
          <c:tx>
            <c:v>Italy 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5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6"/>
                <c:pt idx="0">
                  <c:v>0.33066049433743905</c:v>
                </c:pt>
                <c:pt idx="1">
                  <c:v>0.33066049433743905</c:v>
                </c:pt>
                <c:pt idx="2">
                  <c:v>0.33066049433743905</c:v>
                </c:pt>
                <c:pt idx="3">
                  <c:v>0.33066049433743905</c:v>
                </c:pt>
                <c:pt idx="4">
                  <c:v>0.33066049433743905</c:v>
                </c:pt>
                <c:pt idx="5">
                  <c:v>0.33066049433743905</c:v>
                </c:pt>
                <c:pt idx="6">
                  <c:v>0.33066049433743905</c:v>
                </c:pt>
                <c:pt idx="7">
                  <c:v>0.49599074150615857</c:v>
                </c:pt>
                <c:pt idx="8">
                  <c:v>0.49599074150615857</c:v>
                </c:pt>
                <c:pt idx="9">
                  <c:v>0.49599074150615857</c:v>
                </c:pt>
                <c:pt idx="10">
                  <c:v>0.49599074150615857</c:v>
                </c:pt>
                <c:pt idx="11">
                  <c:v>0.49599074150615857</c:v>
                </c:pt>
                <c:pt idx="12">
                  <c:v>0.49599074150615857</c:v>
                </c:pt>
                <c:pt idx="13">
                  <c:v>0.49599074150615857</c:v>
                </c:pt>
                <c:pt idx="14">
                  <c:v>0.49599074150615857</c:v>
                </c:pt>
                <c:pt idx="15">
                  <c:v>0.49599074150615857</c:v>
                </c:pt>
                <c:pt idx="16">
                  <c:v>0.49599074150615857</c:v>
                </c:pt>
                <c:pt idx="17">
                  <c:v>0.49599074150615857</c:v>
                </c:pt>
                <c:pt idx="18">
                  <c:v>0.49599074150615857</c:v>
                </c:pt>
                <c:pt idx="19">
                  <c:v>0.49599074150615857</c:v>
                </c:pt>
                <c:pt idx="20">
                  <c:v>0.49599074150615857</c:v>
                </c:pt>
                <c:pt idx="21">
                  <c:v>3.3066049433743903</c:v>
                </c:pt>
                <c:pt idx="22" formatCode="##0.0E+00">
                  <c:v>10.250475324460611</c:v>
                </c:pt>
                <c:pt idx="23" formatCode="##0.0E+00">
                  <c:v>25.626188311151527</c:v>
                </c:pt>
                <c:pt idx="24" formatCode="##0.0E+00">
                  <c:v>37.860626601636774</c:v>
                </c:pt>
                <c:pt idx="25" formatCode="##0.0E+00">
                  <c:v>53.236339588327688</c:v>
                </c:pt>
                <c:pt idx="26" formatCode="##0.0E+00">
                  <c:v>74.894601967429949</c:v>
                </c:pt>
                <c:pt idx="27" formatCode="##0.0E+00">
                  <c:v>108.29131189551129</c:v>
                </c:pt>
                <c:pt idx="28" formatCode="##0.0E+00">
                  <c:v>146.81325948582293</c:v>
                </c:pt>
                <c:pt idx="29" formatCode="##0.0E+00">
                  <c:v>186.49251880631562</c:v>
                </c:pt>
                <c:pt idx="30" formatCode="##0.0E+00">
                  <c:v>280.06943870381087</c:v>
                </c:pt>
                <c:pt idx="31" formatCode="##0.0E+00">
                  <c:v>336.61238323551294</c:v>
                </c:pt>
                <c:pt idx="32" formatCode="##0.0E+00">
                  <c:v>413.65627841613627</c:v>
                </c:pt>
                <c:pt idx="33" formatCode="##0.0E+00">
                  <c:v>510.70513350417463</c:v>
                </c:pt>
                <c:pt idx="34" formatCode="##0.0E+00">
                  <c:v>637.84409357691993</c:v>
                </c:pt>
                <c:pt idx="35" formatCode="##0.0E+00">
                  <c:v>766.47102587418374</c:v>
                </c:pt>
                <c:pt idx="36" formatCode="##0.0E+00">
                  <c:v>972.63784409357697</c:v>
                </c:pt>
                <c:pt idx="37" formatCode="##0.0E+00">
                  <c:v>1219.3105728693065</c:v>
                </c:pt>
                <c:pt idx="38" formatCode="##0.0E+00">
                  <c:v>1516.4090270314955</c:v>
                </c:pt>
                <c:pt idx="39" formatCode="##0.0E+00">
                  <c:v>1677.9366785153345</c:v>
                </c:pt>
                <c:pt idx="40" formatCode="##0.0E+00">
                  <c:v>2060.3455402165828</c:v>
                </c:pt>
                <c:pt idx="41" formatCode="##0.0E+00">
                  <c:v>2490.0388526080847</c:v>
                </c:pt>
                <c:pt idx="42" formatCode="##0.0E+00">
                  <c:v>2919.732164999587</c:v>
                </c:pt>
                <c:pt idx="43" formatCode="##0.0E+00">
                  <c:v>3497.8920393485992</c:v>
                </c:pt>
                <c:pt idx="44" formatCode="##0.0E+00">
                  <c:v>4091.4276266843021</c:v>
                </c:pt>
                <c:pt idx="45" formatCode="##0.0E+00">
                  <c:v>4625.9403157807719</c:v>
                </c:pt>
                <c:pt idx="46" formatCode="##0.0E+00">
                  <c:v>5208.8947672976774</c:v>
                </c:pt>
                <c:pt idx="47" formatCode="##0.0E+00">
                  <c:v>5904.4391171364805</c:v>
                </c:pt>
                <c:pt idx="48" formatCode="##0.0E+00">
                  <c:v>6784.3266925684056</c:v>
                </c:pt>
                <c:pt idx="49" formatCode="##0.0E+00">
                  <c:v>7773.9935521203606</c:v>
                </c:pt>
                <c:pt idx="50" formatCode="##0.0E+00">
                  <c:v>8858.0639828056555</c:v>
                </c:pt>
                <c:pt idx="51" formatCode="##0.0E+00">
                  <c:v>9777.3001570637352</c:v>
                </c:pt>
                <c:pt idx="52" formatCode="##0.0E+00">
                  <c:v>10569.066710754732</c:v>
                </c:pt>
                <c:pt idx="53" formatCode="##0.0E+00">
                  <c:v>11436.885178143342</c:v>
                </c:pt>
                <c:pt idx="54">
                  <c:v>12298.255765892371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4"/>
          <c:order val="6"/>
          <c:tx>
            <c:v>China Cases</c:v>
          </c:tx>
          <c:spPr>
            <a:ln w="952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75000"/>
                </a:schemeClr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0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 formatCode="##0.0E+00">
                  <c:v>536.64784316048156</c:v>
                </c:pt>
                <c:pt idx="34" formatCode="##0.0E+00">
                  <c:v>540.21201689646796</c:v>
                </c:pt>
                <c:pt idx="35" formatCode="##0.0E+00">
                  <c:v>543.07447221659743</c:v>
                </c:pt>
                <c:pt idx="36" formatCode="##0.0E+00">
                  <c:v>546.08977709265605</c:v>
                </c:pt>
                <c:pt idx="37" formatCode="##0.0E+00">
                  <c:v>548.36862501741928</c:v>
                </c:pt>
                <c:pt idx="38" formatCode="##0.0E+00">
                  <c:v>551.34224365095179</c:v>
                </c:pt>
                <c:pt idx="39" formatCode="##0.0E+00">
                  <c:v>555.34412293346293</c:v>
                </c:pt>
                <c:pt idx="40" formatCode="##0.0E+00">
                  <c:v>556.7614551793522</c:v>
                </c:pt>
                <c:pt idx="41" formatCode="##0.0E+00">
                  <c:v>557.6299185653138</c:v>
                </c:pt>
                <c:pt idx="42" formatCode="##0.0E+00">
                  <c:v>558.49838195127541</c:v>
                </c:pt>
                <c:pt idx="43" formatCode="##0.0E+00">
                  <c:v>559.54748572151709</c:v>
                </c:pt>
                <c:pt idx="44" formatCode="##0.0E+00">
                  <c:v>560.61048490593407</c:v>
                </c:pt>
                <c:pt idx="45" formatCode="##0.0E+00">
                  <c:v>561.1663014729495</c:v>
                </c:pt>
                <c:pt idx="46" formatCode="##0.0E+00">
                  <c:v>561.5345299485972</c:v>
                </c:pt>
                <c:pt idx="47" formatCode="##0.0E+00">
                  <c:v>561.79159511084185</c:v>
                </c:pt>
                <c:pt idx="48" formatCode="##0.0E+00">
                  <c:v>561.97918320220958</c:v>
                </c:pt>
                <c:pt idx="49" formatCode="##0.0E+00">
                  <c:v>562.21540524319107</c:v>
                </c:pt>
                <c:pt idx="50" formatCode="##0.0E+00">
                  <c:v>562.29183002115576</c:v>
                </c:pt>
                <c:pt idx="51" formatCode="##0.0E+00">
                  <c:v>562.38215021329574</c:v>
                </c:pt>
                <c:pt idx="52" formatCode="##0.0E+00">
                  <c:v>562.60447684010194</c:v>
                </c:pt>
                <c:pt idx="53" formatCode="##0.0E+00">
                  <c:v>562.78511722438191</c:v>
                </c:pt>
                <c:pt idx="54" formatCode="##0.0E+00">
                  <c:v>562.99354843701269</c:v>
                </c:pt>
                <c:pt idx="55" formatCode="##0.0E+00">
                  <c:v>563.16724111420501</c:v>
                </c:pt>
                <c:pt idx="56" formatCode="##0.0E+00">
                  <c:v>563.47294022606354</c:v>
                </c:pt>
                <c:pt idx="57" formatCode="##0.0E+00">
                  <c:v>563.84811640879889</c:v>
                </c:pt>
                <c:pt idx="58" formatCode="##0.0E+00">
                  <c:v>564.50120087504206</c:v>
                </c:pt>
                <c:pt idx="59" formatCode="##0.0E+00">
                  <c:v>564.88332476486516</c:v>
                </c:pt>
                <c:pt idx="60" formatCode="##0.0E+00">
                  <c:v>565.78652668626523</c:v>
                </c:pt>
                <c:pt idx="61" formatCode="##0.0E+00">
                  <c:v>566.22423223278986</c:v>
                </c:pt>
                <c:pt idx="62">
                  <c:v>566.87036899194527</c:v>
                </c:pt>
                <c:pt idx="63">
                  <c:v>567.35670848808377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5"/>
          <c:order val="7"/>
          <c:tx>
            <c:v>US</c:v>
          </c:tx>
          <c:spPr>
            <a:ln w="1270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63"/>
                <c:pt idx="0">
                  <c:v>43853</c:v>
                </c:pt>
                <c:pt idx="1">
                  <c:v>43854</c:v>
                </c:pt>
                <c:pt idx="2">
                  <c:v>43855</c:v>
                </c:pt>
                <c:pt idx="3">
                  <c:v>43856</c:v>
                </c:pt>
                <c:pt idx="4">
                  <c:v>43857</c:v>
                </c:pt>
                <c:pt idx="5">
                  <c:v>43858</c:v>
                </c:pt>
                <c:pt idx="6">
                  <c:v>43859</c:v>
                </c:pt>
                <c:pt idx="7">
                  <c:v>43860</c:v>
                </c:pt>
                <c:pt idx="8">
                  <c:v>43861</c:v>
                </c:pt>
                <c:pt idx="9">
                  <c:v>43862</c:v>
                </c:pt>
                <c:pt idx="10">
                  <c:v>43863</c:v>
                </c:pt>
                <c:pt idx="11">
                  <c:v>43864</c:v>
                </c:pt>
                <c:pt idx="12">
                  <c:v>43865</c:v>
                </c:pt>
                <c:pt idx="13">
                  <c:v>43866</c:v>
                </c:pt>
                <c:pt idx="14">
                  <c:v>43867</c:v>
                </c:pt>
                <c:pt idx="15">
                  <c:v>43868</c:v>
                </c:pt>
                <c:pt idx="16">
                  <c:v>43869</c:v>
                </c:pt>
                <c:pt idx="17">
                  <c:v>43870</c:v>
                </c:pt>
                <c:pt idx="18">
                  <c:v>43871</c:v>
                </c:pt>
                <c:pt idx="19">
                  <c:v>43872</c:v>
                </c:pt>
                <c:pt idx="20">
                  <c:v>43873</c:v>
                </c:pt>
                <c:pt idx="21">
                  <c:v>43874</c:v>
                </c:pt>
                <c:pt idx="22">
                  <c:v>43875</c:v>
                </c:pt>
                <c:pt idx="23">
                  <c:v>43876</c:v>
                </c:pt>
                <c:pt idx="24">
                  <c:v>43877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43883</c:v>
                </c:pt>
                <c:pt idx="31">
                  <c:v>43884</c:v>
                </c:pt>
                <c:pt idx="32">
                  <c:v>43885</c:v>
                </c:pt>
                <c:pt idx="33">
                  <c:v>43886</c:v>
                </c:pt>
                <c:pt idx="34">
                  <c:v>43887</c:v>
                </c:pt>
                <c:pt idx="35">
                  <c:v>43888</c:v>
                </c:pt>
                <c:pt idx="36">
                  <c:v>43889</c:v>
                </c:pt>
                <c:pt idx="37">
                  <c:v>43890</c:v>
                </c:pt>
                <c:pt idx="38">
                  <c:v>43891</c:v>
                </c:pt>
                <c:pt idx="39">
                  <c:v>43892</c:v>
                </c:pt>
                <c:pt idx="40">
                  <c:v>43893</c:v>
                </c:pt>
                <c:pt idx="41">
                  <c:v>43894</c:v>
                </c:pt>
                <c:pt idx="42">
                  <c:v>43895</c:v>
                </c:pt>
                <c:pt idx="43">
                  <c:v>43896</c:v>
                </c:pt>
                <c:pt idx="44">
                  <c:v>43897</c:v>
                </c:pt>
                <c:pt idx="45">
                  <c:v>43898</c:v>
                </c:pt>
                <c:pt idx="46">
                  <c:v>43899</c:v>
                </c:pt>
                <c:pt idx="47">
                  <c:v>43900</c:v>
                </c:pt>
                <c:pt idx="48">
                  <c:v>43901</c:v>
                </c:pt>
                <c:pt idx="49">
                  <c:v>43902</c:v>
                </c:pt>
                <c:pt idx="50">
                  <c:v>43903</c:v>
                </c:pt>
                <c:pt idx="51">
                  <c:v>43904</c:v>
                </c:pt>
                <c:pt idx="52">
                  <c:v>43905</c:v>
                </c:pt>
                <c:pt idx="53">
                  <c:v>43906</c:v>
                </c:pt>
                <c:pt idx="54">
                  <c:v>43907</c:v>
                </c:pt>
                <c:pt idx="55">
                  <c:v>43908</c:v>
                </c:pt>
                <c:pt idx="56">
                  <c:v>43909</c:v>
                </c:pt>
                <c:pt idx="57">
                  <c:v>43910</c:v>
                </c:pt>
                <c:pt idx="58">
                  <c:v>43911</c:v>
                </c:pt>
                <c:pt idx="59">
                  <c:v>43912</c:v>
                </c:pt>
                <c:pt idx="60">
                  <c:v>43913</c:v>
                </c:pt>
                <c:pt idx="61">
                  <c:v>43914</c:v>
                </c:pt>
                <c:pt idx="62">
                  <c:v>43915</c:v>
                </c:pt>
              </c:numCache>
            </c:numRef>
          </c:xVal>
          <c:yVal>
            <c:numRef>
              <c:f>myData!USCases</c:f>
              <c:numCache>
                <c:formatCode>##0.0E+00</c:formatCode>
                <c:ptCount val="63"/>
                <c:pt idx="0">
                  <c:v>3.037411069235945E-2</c:v>
                </c:pt>
                <c:pt idx="1">
                  <c:v>6.0748221384718901E-2</c:v>
                </c:pt>
                <c:pt idx="2">
                  <c:v>6.0748221384718901E-2</c:v>
                </c:pt>
                <c:pt idx="3">
                  <c:v>0.15187055346179726</c:v>
                </c:pt>
                <c:pt idx="4">
                  <c:v>0.15187055346179726</c:v>
                </c:pt>
                <c:pt idx="5">
                  <c:v>0.15187055346179726</c:v>
                </c:pt>
                <c:pt idx="6">
                  <c:v>0.15187055346179726</c:v>
                </c:pt>
                <c:pt idx="7">
                  <c:v>0.15187055346179726</c:v>
                </c:pt>
                <c:pt idx="8">
                  <c:v>0.21261877484651615</c:v>
                </c:pt>
                <c:pt idx="9">
                  <c:v>0.2429928855388756</c:v>
                </c:pt>
                <c:pt idx="10">
                  <c:v>0.2429928855388756</c:v>
                </c:pt>
                <c:pt idx="11">
                  <c:v>0.33411521761595392</c:v>
                </c:pt>
                <c:pt idx="12">
                  <c:v>0.33411521761595392</c:v>
                </c:pt>
                <c:pt idx="13">
                  <c:v>0.33411521761595392</c:v>
                </c:pt>
                <c:pt idx="14">
                  <c:v>0.33411521761595392</c:v>
                </c:pt>
                <c:pt idx="15">
                  <c:v>0.33411521761595392</c:v>
                </c:pt>
                <c:pt idx="16">
                  <c:v>0.33411521761595392</c:v>
                </c:pt>
                <c:pt idx="17">
                  <c:v>0.33411521761595392</c:v>
                </c:pt>
                <c:pt idx="18">
                  <c:v>0.33411521761595392</c:v>
                </c:pt>
                <c:pt idx="19">
                  <c:v>0.36448932830831338</c:v>
                </c:pt>
                <c:pt idx="20">
                  <c:v>0.36448932830831338</c:v>
                </c:pt>
                <c:pt idx="21">
                  <c:v>0.39486343900067283</c:v>
                </c:pt>
                <c:pt idx="22">
                  <c:v>0.39486343900067283</c:v>
                </c:pt>
                <c:pt idx="23">
                  <c:v>0.39486343900067283</c:v>
                </c:pt>
                <c:pt idx="24">
                  <c:v>0.39486343900067283</c:v>
                </c:pt>
                <c:pt idx="25">
                  <c:v>0.39486343900067283</c:v>
                </c:pt>
                <c:pt idx="26">
                  <c:v>0.39486343900067283</c:v>
                </c:pt>
                <c:pt idx="27">
                  <c:v>0.39486343900067283</c:v>
                </c:pt>
                <c:pt idx="28">
                  <c:v>0.39486343900067283</c:v>
                </c:pt>
                <c:pt idx="29">
                  <c:v>0.45561166038539175</c:v>
                </c:pt>
                <c:pt idx="30">
                  <c:v>0.45561166038539175</c:v>
                </c:pt>
                <c:pt idx="31">
                  <c:v>0.45561166038539175</c:v>
                </c:pt>
                <c:pt idx="32">
                  <c:v>1.5490796453103319</c:v>
                </c:pt>
                <c:pt idx="33">
                  <c:v>1.5490796453103319</c:v>
                </c:pt>
                <c:pt idx="34">
                  <c:v>1.7313243094644886</c:v>
                </c:pt>
                <c:pt idx="35">
                  <c:v>1.761698420156848</c:v>
                </c:pt>
                <c:pt idx="36">
                  <c:v>1.822446641541567</c:v>
                </c:pt>
                <c:pt idx="37">
                  <c:v>2.0654395270804424</c:v>
                </c:pt>
                <c:pt idx="38">
                  <c:v>2.2476841912345993</c:v>
                </c:pt>
                <c:pt idx="39">
                  <c:v>2.9766628478512263</c:v>
                </c:pt>
                <c:pt idx="40">
                  <c:v>3.5841450616984152</c:v>
                </c:pt>
                <c:pt idx="41">
                  <c:v>4.525742493161558</c:v>
                </c:pt>
                <c:pt idx="42">
                  <c:v>6.5911820202420008</c:v>
                </c:pt>
                <c:pt idx="43">
                  <c:v>7.9580170013981757</c:v>
                </c:pt>
                <c:pt idx="44">
                  <c:v>12.210392498328499</c:v>
                </c:pt>
                <c:pt idx="45">
                  <c:v>15.733789338642195</c:v>
                </c:pt>
                <c:pt idx="46">
                  <c:v>17.708106533645559</c:v>
                </c:pt>
                <c:pt idx="47">
                  <c:v>29.128772153972712</c:v>
                </c:pt>
                <c:pt idx="48">
                  <c:v>38.909235796912455</c:v>
                </c:pt>
                <c:pt idx="49">
                  <c:v>50.512146081393766</c:v>
                </c:pt>
                <c:pt idx="50">
                  <c:v>66.185187198651235</c:v>
                </c:pt>
                <c:pt idx="51">
                  <c:v>82.830199858064219</c:v>
                </c:pt>
                <c:pt idx="52">
                  <c:v>106.27901331256571</c:v>
                </c:pt>
                <c:pt idx="53">
                  <c:v>140.69288072700897</c:v>
                </c:pt>
                <c:pt idx="54">
                  <c:v>195.03216475564003</c:v>
                </c:pt>
                <c:pt idx="55">
                  <c:v>236.40170351863358</c:v>
                </c:pt>
                <c:pt idx="56">
                  <c:v>415.42671193940021</c:v>
                </c:pt>
                <c:pt idx="57">
                  <c:v>580.14551422406544</c:v>
                </c:pt>
                <c:pt idx="58">
                  <c:v>774.20570743755002</c:v>
                </c:pt>
                <c:pt idx="59">
                  <c:v>1010.7289073989531</c:v>
                </c:pt>
                <c:pt idx="60">
                  <c:v>1331.8136315278848</c:v>
                </c:pt>
                <c:pt idx="61">
                  <c:v>1632.3047086073968</c:v>
                </c:pt>
                <c:pt idx="62">
                  <c:v>1668.0246627816116</c:v>
                </c:pt>
              </c:numCache>
            </c:numRef>
          </c:yVal>
          <c:smooth val="0"/>
        </c:ser>
        <c:ser>
          <c:idx val="6"/>
          <c:order val="8"/>
          <c:tx>
            <c:v>Chinese New Year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myData!$DS$15:$DS$18</c:f>
              <c:numCache>
                <c:formatCode>m/d/yyyy</c:formatCode>
                <c:ptCount val="4"/>
                <c:pt idx="0">
                  <c:v>43854</c:v>
                </c:pt>
                <c:pt idx="1">
                  <c:v>43854</c:v>
                </c:pt>
                <c:pt idx="2">
                  <c:v>43860</c:v>
                </c:pt>
                <c:pt idx="3">
                  <c:v>43860</c:v>
                </c:pt>
              </c:numCache>
            </c:numRef>
          </c:xVal>
          <c:yVal>
            <c:numRef>
              <c:f>myData!$DT$15:$DT$18</c:f>
              <c:numCache>
                <c:formatCode>0.00E+00</c:formatCode>
                <c:ptCount val="4"/>
                <c:pt idx="0" formatCode="General">
                  <c:v>0.1</c:v>
                </c:pt>
                <c:pt idx="1">
                  <c:v>10000000</c:v>
                </c:pt>
                <c:pt idx="2" formatCode="General">
                  <c:v>10000000</c:v>
                </c:pt>
                <c:pt idx="3" formatCode="General">
                  <c:v>0.1</c:v>
                </c:pt>
              </c:numCache>
            </c:numRef>
          </c:yVal>
          <c:smooth val="0"/>
        </c:ser>
        <c:ser>
          <c:idx val="8"/>
          <c:order val="9"/>
          <c:tx>
            <c:v>Chinese NY +14 days</c:v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myData!$DS$19:$DS$22</c:f>
              <c:numCache>
                <c:formatCode>m/d/yyyy</c:formatCode>
                <c:ptCount val="4"/>
                <c:pt idx="0">
                  <c:v>43868</c:v>
                </c:pt>
                <c:pt idx="1">
                  <c:v>43868</c:v>
                </c:pt>
                <c:pt idx="2">
                  <c:v>43874</c:v>
                </c:pt>
                <c:pt idx="3">
                  <c:v>43874</c:v>
                </c:pt>
              </c:numCache>
            </c:numRef>
          </c:xVal>
          <c:yVal>
            <c:numRef>
              <c:f>myData!$DT$19:$DT$22</c:f>
              <c:numCache>
                <c:formatCode>0.00E+00</c:formatCode>
                <c:ptCount val="4"/>
                <c:pt idx="0" formatCode="General">
                  <c:v>0.1</c:v>
                </c:pt>
                <c:pt idx="1">
                  <c:v>10000000</c:v>
                </c:pt>
                <c:pt idx="2" formatCode="General">
                  <c:v>10000000</c:v>
                </c:pt>
                <c:pt idx="3" formatCode="General">
                  <c:v>0.1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062320"/>
        <c:axId val="634052912"/>
      </c:scatterChart>
      <c:valAx>
        <c:axId val="634062320"/>
        <c:scaling>
          <c:orientation val="minMax"/>
          <c:max val="43919"/>
          <c:min val="438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dd\ 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52912"/>
        <c:crossesAt val="1.0000000000000002E-2"/>
        <c:crossBetween val="midCat"/>
        <c:majorUnit val="7"/>
        <c:minorUnit val="1"/>
      </c:valAx>
      <c:valAx>
        <c:axId val="634052912"/>
        <c:scaling>
          <c:logBase val="10"/>
          <c:orientation val="minMax"/>
          <c:max val="1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#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62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4231388917729444"/>
          <c:y val="0.12337533556497449"/>
          <c:w val="0.12367647383180938"/>
          <c:h val="0.5787269046290233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Logistic Equation Asymptote v's Date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876130895670227E-2"/>
          <c:y val="7.7413138390551917E-2"/>
          <c:w val="0.90261765137958339"/>
          <c:h val="0.7113688647471057"/>
        </c:manualLayout>
      </c:layout>
      <c:scatterChart>
        <c:scatterStyle val="lineMarker"/>
        <c:varyColors val="0"/>
        <c:ser>
          <c:idx val="0"/>
          <c:order val="0"/>
          <c:tx>
            <c:v>NSW Asymptote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myData!HisTableNSWDates</c:f>
              <c:numCache>
                <c:formatCode>m/d/yyyy</c:formatCode>
                <c:ptCount val="21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43908</c:v>
                </c:pt>
                <c:pt idx="7">
                  <c:v>43910</c:v>
                </c:pt>
                <c:pt idx="8">
                  <c:v>43911</c:v>
                </c:pt>
                <c:pt idx="9">
                  <c:v>43912</c:v>
                </c:pt>
                <c:pt idx="10">
                  <c:v>43912</c:v>
                </c:pt>
                <c:pt idx="11">
                  <c:v>43913</c:v>
                </c:pt>
                <c:pt idx="12">
                  <c:v>43913</c:v>
                </c:pt>
                <c:pt idx="13">
                  <c:v>43913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43915</c:v>
                </c:pt>
                <c:pt idx="18">
                  <c:v>43915</c:v>
                </c:pt>
                <c:pt idx="19">
                  <c:v>43916</c:v>
                </c:pt>
                <c:pt idx="20">
                  <c:v>43916</c:v>
                </c:pt>
              </c:numCache>
            </c:numRef>
          </c:xVal>
          <c:yVal>
            <c:numRef>
              <c:f>myData!HisTableNSWLimit</c:f>
              <c:numCache>
                <c:formatCode>##0.0E+0</c:formatCode>
                <c:ptCount val="21"/>
                <c:pt idx="0">
                  <c:v>698.45143014252619</c:v>
                </c:pt>
                <c:pt idx="1">
                  <c:v>542.39562937001722</c:v>
                </c:pt>
                <c:pt idx="2">
                  <c:v>149466.80778825187</c:v>
                </c:pt>
                <c:pt idx="3">
                  <c:v>1903695418.3668838</c:v>
                </c:pt>
                <c:pt idx="4">
                  <c:v>1906532495.6548798</c:v>
                </c:pt>
                <c:pt idx="5">
                  <c:v>2020947810.4226243</c:v>
                </c:pt>
                <c:pt idx="6">
                  <c:v>2020947810.4226243</c:v>
                </c:pt>
                <c:pt idx="7">
                  <c:v>19837162.818940759</c:v>
                </c:pt>
                <c:pt idx="8">
                  <c:v>2724.7105763852951</c:v>
                </c:pt>
                <c:pt idx="9">
                  <c:v>3260.9876989496688</c:v>
                </c:pt>
                <c:pt idx="10">
                  <c:v>3260.9876989496688</c:v>
                </c:pt>
                <c:pt idx="11">
                  <c:v>249353.50939001123</c:v>
                </c:pt>
                <c:pt idx="12">
                  <c:v>250236.41257862665</c:v>
                </c:pt>
                <c:pt idx="13">
                  <c:v>198338944478.92844</c:v>
                </c:pt>
                <c:pt idx="14">
                  <c:v>198338706864.42471</c:v>
                </c:pt>
                <c:pt idx="15">
                  <c:v>136942.55830215677</c:v>
                </c:pt>
                <c:pt idx="16">
                  <c:v>198093103084.40268</c:v>
                </c:pt>
                <c:pt idx="17">
                  <c:v>198093103084.40268</c:v>
                </c:pt>
                <c:pt idx="18">
                  <c:v>199741905429.51889</c:v>
                </c:pt>
                <c:pt idx="19">
                  <c:v>19918.920521479704</c:v>
                </c:pt>
                <c:pt idx="20" formatCode="General">
                  <c:v>9599.8215448294359</c:v>
                </c:pt>
              </c:numCache>
            </c:numRef>
          </c:yVal>
          <c:smooth val="0"/>
        </c:ser>
        <c:ser>
          <c:idx val="1"/>
          <c:order val="1"/>
          <c:tx>
            <c:v>Italy Asymptote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myData!HisTableItalyDates</c:f>
              <c:numCache>
                <c:formatCode>m/d/yyyy</c:formatCode>
                <c:ptCount val="20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43907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43911</c:v>
                </c:pt>
                <c:pt idx="9">
                  <c:v>43911</c:v>
                </c:pt>
                <c:pt idx="10">
                  <c:v>43911</c:v>
                </c:pt>
                <c:pt idx="11">
                  <c:v>43912</c:v>
                </c:pt>
                <c:pt idx="12">
                  <c:v>43912</c:v>
                </c:pt>
                <c:pt idx="13">
                  <c:v>43914</c:v>
                </c:pt>
                <c:pt idx="14">
                  <c:v>43915</c:v>
                </c:pt>
                <c:pt idx="15">
                  <c:v>43915</c:v>
                </c:pt>
                <c:pt idx="16">
                  <c:v>43915</c:v>
                </c:pt>
                <c:pt idx="17">
                  <c:v>43915</c:v>
                </c:pt>
                <c:pt idx="18">
                  <c:v>43915</c:v>
                </c:pt>
                <c:pt idx="19">
                  <c:v>43915</c:v>
                </c:pt>
              </c:numCache>
            </c:numRef>
          </c:xVal>
          <c:yVal>
            <c:numRef>
              <c:f>myData!HisTableItalyLimit</c:f>
              <c:numCache>
                <c:formatCode>##0.0E+0</c:formatCode>
                <c:ptCount val="20"/>
                <c:pt idx="0">
                  <c:v>32853.312146806733</c:v>
                </c:pt>
                <c:pt idx="1">
                  <c:v>36357.597379060448</c:v>
                </c:pt>
                <c:pt idx="2">
                  <c:v>42656.90071971056</c:v>
                </c:pt>
                <c:pt idx="3">
                  <c:v>44773.432595385282</c:v>
                </c:pt>
                <c:pt idx="4">
                  <c:v>44773.432595385282</c:v>
                </c:pt>
                <c:pt idx="5">
                  <c:v>47251.221157049207</c:v>
                </c:pt>
                <c:pt idx="6">
                  <c:v>55402.511466544704</c:v>
                </c:pt>
                <c:pt idx="7">
                  <c:v>60634.520713483966</c:v>
                </c:pt>
                <c:pt idx="8">
                  <c:v>60634.520713483966</c:v>
                </c:pt>
                <c:pt idx="9">
                  <c:v>60634.520713483966</c:v>
                </c:pt>
                <c:pt idx="10">
                  <c:v>60634.520713483966</c:v>
                </c:pt>
                <c:pt idx="11">
                  <c:v>65423.849218858661</c:v>
                </c:pt>
                <c:pt idx="12">
                  <c:v>65423.849218858661</c:v>
                </c:pt>
                <c:pt idx="13">
                  <c:v>72185.780764313138</c:v>
                </c:pt>
                <c:pt idx="14">
                  <c:v>76058.397470454249</c:v>
                </c:pt>
                <c:pt idx="15">
                  <c:v>76058.397470454249</c:v>
                </c:pt>
                <c:pt idx="16" formatCode="General">
                  <c:v>76058.397470454249</c:v>
                </c:pt>
                <c:pt idx="17">
                  <c:v>76058.397470454249</c:v>
                </c:pt>
                <c:pt idx="18" formatCode="General">
                  <c:v>76058.397470454249</c:v>
                </c:pt>
                <c:pt idx="19">
                  <c:v>76058.397470454249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053304"/>
        <c:axId val="634058008"/>
      </c:scatterChart>
      <c:valAx>
        <c:axId val="634053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58008"/>
        <c:crosses val="autoZero"/>
        <c:crossBetween val="midCat"/>
        <c:majorUnit val="1"/>
        <c:minorUnit val="1"/>
      </c:valAx>
      <c:valAx>
        <c:axId val="634058008"/>
        <c:scaling>
          <c:logBase val="10"/>
          <c:orientation val="minMax"/>
          <c:max val="100000000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Cases Per 10M Population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53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865946713561977"/>
          <c:y val="0.68402545755862898"/>
          <c:w val="0.12269632761202429"/>
          <c:h val="7.0442483344547085E-2"/>
        </c:manualLayout>
      </c:layout>
      <c:overlay val="0"/>
      <c:spPr>
        <a:solidFill>
          <a:schemeClr val="bg1">
            <a:lumMod val="95000"/>
            <a:alpha val="71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myData!TitleAllSK</c:f>
          <c:strCache>
            <c:ptCount val="1"/>
            <c:pt idx="0">
              <c:v>COVID 19 Least Sq Err Logistic Eqns at Thu 26-Mar-2020, Cases per 10 M population</c:v>
            </c:pt>
          </c:strCache>
        </c:strRef>
      </c:tx>
      <c:layout>
        <c:manualLayout>
          <c:xMode val="edge"/>
          <c:yMode val="edge"/>
          <c:x val="0.26633965954750155"/>
          <c:y val="1.2541254885863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61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61"/>
                <c:pt idx="0">
                  <c:v>3.7128712871287126</c:v>
                </c:pt>
                <c:pt idx="1">
                  <c:v>4.9504950495049505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7.4257425742574252</c:v>
                </c:pt>
                <c:pt idx="36">
                  <c:v>7.4257425742574252</c:v>
                </c:pt>
                <c:pt idx="37">
                  <c:v>16.089108910891088</c:v>
                </c:pt>
                <c:pt idx="38">
                  <c:v>27.227722772277225</c:v>
                </c:pt>
                <c:pt idx="39">
                  <c:v>27.227722772277225</c:v>
                </c:pt>
                <c:pt idx="40">
                  <c:v>32.178217821782177</c:v>
                </c:pt>
                <c:pt idx="41">
                  <c:v>34.653465346534652</c:v>
                </c:pt>
                <c:pt idx="42">
                  <c:v>47.029702970297024</c:v>
                </c:pt>
                <c:pt idx="43">
                  <c:v>59.405940594059402</c:v>
                </c:pt>
                <c:pt idx="44">
                  <c:v>68.06930693069306</c:v>
                </c:pt>
                <c:pt idx="45">
                  <c:v>80.445544554455438</c:v>
                </c:pt>
                <c:pt idx="46">
                  <c:v>80.445544554455438</c:v>
                </c:pt>
                <c:pt idx="47">
                  <c:v>113.86138613861385</c:v>
                </c:pt>
                <c:pt idx="48">
                  <c:v>138.61386138613861</c:v>
                </c:pt>
                <c:pt idx="49">
                  <c:v>165.84158415841583</c:v>
                </c:pt>
                <c:pt idx="50">
                  <c:v>211.63366336633663</c:v>
                </c:pt>
                <c:pt idx="51">
                  <c:v>259.9009900990099</c:v>
                </c:pt>
                <c:pt idx="52">
                  <c:v>330.44554455445541</c:v>
                </c:pt>
                <c:pt idx="53">
                  <c:v>379.95049504950492</c:v>
                </c:pt>
                <c:pt idx="54">
                  <c:v>436.88118811881185</c:v>
                </c:pt>
                <c:pt idx="55">
                  <c:v>539.60396039603961</c:v>
                </c:pt>
                <c:pt idx="56">
                  <c:v>827.97029702970292</c:v>
                </c:pt>
                <c:pt idx="57">
                  <c:v>827.97029702970292</c:v>
                </c:pt>
                <c:pt idx="58">
                  <c:v>1012.3762376237623</c:v>
                </c:pt>
                <c:pt idx="59">
                  <c:v>1273.5148514851485</c:v>
                </c:pt>
                <c:pt idx="60">
                  <c:v>1508.6633663366335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11.9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43922</c:v>
                </c:pt>
                <c:pt idx="67">
                  <c:v>43923</c:v>
                </c:pt>
                <c:pt idx="68">
                  <c:v>43930</c:v>
                </c:pt>
                <c:pt idx="69">
                  <c:v>43937</c:v>
                </c:pt>
                <c:pt idx="70">
                  <c:v>43944</c:v>
                </c:pt>
                <c:pt idx="71">
                  <c:v>43951</c:v>
                </c:pt>
                <c:pt idx="72">
                  <c:v>43958</c:v>
                </c:pt>
                <c:pt idx="73">
                  <c:v>43965</c:v>
                </c:pt>
                <c:pt idx="74">
                  <c:v>43972</c:v>
                </c:pt>
                <c:pt idx="75">
                  <c:v>43979</c:v>
                </c:pt>
                <c:pt idx="76">
                  <c:v>43986</c:v>
                </c:pt>
                <c:pt idx="77">
                  <c:v>43993</c:v>
                </c:pt>
                <c:pt idx="78">
                  <c:v>44000</c:v>
                </c:pt>
                <c:pt idx="79">
                  <c:v>44007</c:v>
                </c:pt>
                <c:pt idx="80">
                  <c:v>44014</c:v>
                </c:pt>
                <c:pt idx="81">
                  <c:v>44021</c:v>
                </c:pt>
                <c:pt idx="82">
                  <c:v>44028</c:v>
                </c:pt>
                <c:pt idx="83">
                  <c:v>44035</c:v>
                </c:pt>
                <c:pt idx="84">
                  <c:v>44042</c:v>
                </c:pt>
                <c:pt idx="85">
                  <c:v>44049</c:v>
                </c:pt>
                <c:pt idx="86">
                  <c:v>44056</c:v>
                </c:pt>
                <c:pt idx="87">
                  <c:v>44063</c:v>
                </c:pt>
                <c:pt idx="88">
                  <c:v>44070</c:v>
                </c:pt>
                <c:pt idx="89">
                  <c:v>44077</c:v>
                </c:pt>
                <c:pt idx="90">
                  <c:v>44084</c:v>
                </c:pt>
                <c:pt idx="91">
                  <c:v>44091</c:v>
                </c:pt>
                <c:pt idx="92">
                  <c:v>44098</c:v>
                </c:pt>
                <c:pt idx="93">
                  <c:v>44105</c:v>
                </c:pt>
                <c:pt idx="94">
                  <c:v>44112</c:v>
                </c:pt>
                <c:pt idx="95">
                  <c:v>44119</c:v>
                </c:pt>
                <c:pt idx="96">
                  <c:v>44126</c:v>
                </c:pt>
                <c:pt idx="97">
                  <c:v>44133</c:v>
                </c:pt>
                <c:pt idx="98">
                  <c:v>44140</c:v>
                </c:pt>
                <c:pt idx="99">
                  <c:v>44147</c:v>
                </c:pt>
                <c:pt idx="100">
                  <c:v>44154</c:v>
                </c:pt>
                <c:pt idx="101">
                  <c:v>44161</c:v>
                </c:pt>
                <c:pt idx="102">
                  <c:v>44168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3"/>
                <c:pt idx="0">
                  <c:v>6.3712984807301754E-3</c:v>
                </c:pt>
                <c:pt idx="1">
                  <c:v>7.8487840642898453E-3</c:v>
                </c:pt>
                <c:pt idx="2">
                  <c:v>9.6688939778353522E-3</c:v>
                </c:pt>
                <c:pt idx="3">
                  <c:v>1.1911081597819484E-2</c:v>
                </c:pt>
                <c:pt idx="4">
                  <c:v>1.4673225184410197E-2</c:v>
                </c:pt>
                <c:pt idx="5">
                  <c:v>1.807590049120817E-2</c:v>
                </c:pt>
                <c:pt idx="6">
                  <c:v>2.226764414513269E-2</c:v>
                </c:pt>
                <c:pt idx="7">
                  <c:v>2.743143753458533E-2</c:v>
                </c:pt>
                <c:pt idx="8">
                  <c:v>3.3792694209925055E-2</c:v>
                </c:pt>
                <c:pt idx="9">
                  <c:v>4.1629099413407263E-2</c:v>
                </c:pt>
                <c:pt idx="10">
                  <c:v>5.1282731176733508E-2</c:v>
                </c:pt>
                <c:pt idx="11">
                  <c:v>6.3174991975944172E-2</c:v>
                </c:pt>
                <c:pt idx="12">
                  <c:v>7.7825002553146866E-2</c:v>
                </c:pt>
                <c:pt idx="13">
                  <c:v>9.5872260542864726E-2</c:v>
                </c:pt>
                <c:pt idx="14">
                  <c:v>0.11810455255167786</c:v>
                </c:pt>
                <c:pt idx="15">
                  <c:v>0.14549233742475587</c:v>
                </c:pt>
                <c:pt idx="16">
                  <c:v>0.17923110054882554</c:v>
                </c:pt>
                <c:pt idx="17">
                  <c:v>0.22079352643764122</c:v>
                </c:pt>
                <c:pt idx="18">
                  <c:v>0.27199376458837904</c:v>
                </c:pt>
                <c:pt idx="19">
                  <c:v>0.3350665902065712</c:v>
                </c:pt>
                <c:pt idx="20">
                  <c:v>0.41276490963182538</c:v>
                </c:pt>
                <c:pt idx="21">
                  <c:v>0.508479858105782</c:v>
                </c:pt>
                <c:pt idx="22">
                  <c:v>0.62638871920597339</c:v>
                </c:pt>
                <c:pt idx="23">
                  <c:v>0.77163710287616338</c:v>
                </c:pt>
                <c:pt idx="24">
                  <c:v>0.95056330401493339</c:v>
                </c:pt>
                <c:pt idx="25">
                  <c:v>1.1709745890210341</c:v>
                </c:pt>
                <c:pt idx="26">
                  <c:v>1.4424874004241792</c:v>
                </c:pt>
                <c:pt idx="27">
                  <c:v>1.7769462234123128</c:v>
                </c:pt>
                <c:pt idx="28">
                  <c:v>2.1889392364740052</c:v>
                </c:pt>
                <c:pt idx="29">
                  <c:v>2.6964330092326785</c:v>
                </c:pt>
                <c:pt idx="30">
                  <c:v>3.3215535798391</c:v>
                </c:pt>
                <c:pt idx="31">
                  <c:v>4.0915474409086281</c:v>
                </c:pt>
                <c:pt idx="32">
                  <c:v>5.0399635235325233</c:v>
                </c:pt>
                <c:pt idx="33">
                  <c:v>6.208106472073557</c:v>
                </c:pt>
                <c:pt idx="34">
                  <c:v>7.6468226723816715</c:v>
                </c:pt>
                <c:pt idx="35">
                  <c:v>9.4186940029785617</c:v>
                </c:pt>
                <c:pt idx="36">
                  <c:v>11.600730535048687</c:v>
                </c:pt>
                <c:pt idx="37">
                  <c:v>14.287672855037508</c:v>
                </c:pt>
                <c:pt idx="38">
                  <c:v>17.596037769575929</c:v>
                </c:pt>
                <c:pt idx="39">
                  <c:v>21.669068278614812</c:v>
                </c:pt>
                <c:pt idx="40">
                  <c:v>26.682780144797977</c:v>
                </c:pt>
                <c:pt idx="41">
                  <c:v>32.853333158594644</c:v>
                </c:pt>
                <c:pt idx="42">
                  <c:v>40.445994834390724</c:v>
                </c:pt>
                <c:pt idx="43">
                  <c:v>49.786006493631319</c:v>
                </c:pt>
                <c:pt idx="44">
                  <c:v>61.271703896265599</c:v>
                </c:pt>
                <c:pt idx="45">
                  <c:v>75.390282094892427</c:v>
                </c:pt>
                <c:pt idx="46">
                  <c:v>92.736619165176265</c:v>
                </c:pt>
                <c:pt idx="47">
                  <c:v>114.03557336852663</c:v>
                </c:pt>
                <c:pt idx="48">
                  <c:v>140.16812379875256</c:v>
                </c:pt>
                <c:pt idx="49">
                  <c:v>172.20160683402094</c:v>
                </c:pt>
                <c:pt idx="50">
                  <c:v>211.42406819814897</c:v>
                </c:pt>
                <c:pt idx="51">
                  <c:v>259.38234538965673</c:v>
                </c:pt>
                <c:pt idx="52">
                  <c:v>317.92284106745399</c:v>
                </c:pt>
                <c:pt idx="53">
                  <c:v>389.23294933643001</c:v>
                </c:pt>
                <c:pt idx="54">
                  <c:v>475.87964623656359</c:v>
                </c:pt>
                <c:pt idx="55">
                  <c:v>580.83975269771838</c:v>
                </c:pt>
                <c:pt idx="56">
                  <c:v>707.51377059479773</c:v>
                </c:pt>
                <c:pt idx="57">
                  <c:v>859.71205066950142</c:v>
                </c:pt>
                <c:pt idx="58">
                  <c:v>1041.5986850414913</c:v>
                </c:pt>
                <c:pt idx="59">
                  <c:v>1257.5756347546417</c:v>
                </c:pt>
                <c:pt idx="60">
                  <c:v>1512.0884766621496</c:v>
                </c:pt>
                <c:pt idx="61">
                  <c:v>1809.3377049792223</c:v>
                </c:pt>
                <c:pt idx="62">
                  <c:v>2152.8881502544336</c:v>
                </c:pt>
                <c:pt idx="63">
                  <c:v>2545.1859962546355</c:v>
                </c:pt>
                <c:pt idx="64">
                  <c:v>2987.0187662352032</c:v>
                </c:pt>
                <c:pt idx="65">
                  <c:v>3476.9857623387938</c:v>
                </c:pt>
                <c:pt idx="66">
                  <c:v>4011.0769128489947</c:v>
                </c:pt>
                <c:pt idx="67">
                  <c:v>4582.4739601766814</c:v>
                </c:pt>
                <c:pt idx="68">
                  <c:v>8672.7236910020129</c:v>
                </c:pt>
                <c:pt idx="69" formatCode="0.00E+00">
                  <c:v>10940.930780631754</c:v>
                </c:pt>
                <c:pt idx="70" formatCode="0.00E+00">
                  <c:v>11648.511933451053</c:v>
                </c:pt>
                <c:pt idx="71" formatCode="0.00E+00">
                  <c:v>11826.153299668858</c:v>
                </c:pt>
                <c:pt idx="72" formatCode="0.00E+00">
                  <c:v>11868.190790849338</c:v>
                </c:pt>
                <c:pt idx="73" formatCode="0.00E+00">
                  <c:v>11877.99731544269</c:v>
                </c:pt>
                <c:pt idx="74" formatCode="0.00E+00">
                  <c:v>11880.277320420282</c:v>
                </c:pt>
                <c:pt idx="75" formatCode="0.00E+00">
                  <c:v>11880.807004753402</c:v>
                </c:pt>
                <c:pt idx="76" formatCode="0.00E+00">
                  <c:v>11880.930037183418</c:v>
                </c:pt>
                <c:pt idx="77" formatCode="0.00E+00">
                  <c:v>11880.958613336119</c:v>
                </c:pt>
                <c:pt idx="78" formatCode="0.00E+00">
                  <c:v>11880.965250517091</c:v>
                </c:pt>
                <c:pt idx="79" formatCode="0.00E+00">
                  <c:v>11880.966792084682</c:v>
                </c:pt>
                <c:pt idx="80" formatCode="0.00E+00">
                  <c:v>11880.967150132688</c:v>
                </c:pt>
                <c:pt idx="81" formatCode="0.00E+00">
                  <c:v>11880.967233293723</c:v>
                </c:pt>
                <c:pt idx="82" formatCode="0.00E+00">
                  <c:v>11880.967252608893</c:v>
                </c:pt>
                <c:pt idx="83" formatCode="0.00E+00">
                  <c:v>11880.967257095075</c:v>
                </c:pt>
                <c:pt idx="84" formatCode="0.00E+00">
                  <c:v>11880.967258137045</c:v>
                </c:pt>
                <c:pt idx="85" formatCode="0.00E+00">
                  <c:v>11880.967258379056</c:v>
                </c:pt>
                <c:pt idx="86" formatCode="0.00E+00">
                  <c:v>11880.967258435265</c:v>
                </c:pt>
                <c:pt idx="87" formatCode="0.00E+00">
                  <c:v>11880.96725844832</c:v>
                </c:pt>
                <c:pt idx="88" formatCode="0.00E+00">
                  <c:v>11880.967258451356</c:v>
                </c:pt>
                <c:pt idx="89" formatCode="0.00E+00">
                  <c:v>11880.967258452059</c:v>
                </c:pt>
                <c:pt idx="90" formatCode="0.00E+00">
                  <c:v>11880.967258452221</c:v>
                </c:pt>
                <c:pt idx="91" formatCode="0.00E+00">
                  <c:v>11880.96725845226</c:v>
                </c:pt>
                <c:pt idx="92" formatCode="0.00E+00">
                  <c:v>11880.967258452269</c:v>
                </c:pt>
                <c:pt idx="93" formatCode="0.00E+00">
                  <c:v>11880.96725845227</c:v>
                </c:pt>
                <c:pt idx="94" formatCode="0.00E+00">
                  <c:v>11880.96725845227</c:v>
                </c:pt>
                <c:pt idx="95" formatCode="0.00E+00">
                  <c:v>11880.96725845227</c:v>
                </c:pt>
                <c:pt idx="96" formatCode="0.00E+00">
                  <c:v>11880.96725845227</c:v>
                </c:pt>
                <c:pt idx="97" formatCode="0.00E+00">
                  <c:v>11880.96725845227</c:v>
                </c:pt>
                <c:pt idx="98" formatCode="0.00E+00">
                  <c:v>11880.96725845227</c:v>
                </c:pt>
                <c:pt idx="99" formatCode="0.00E+00">
                  <c:v>11880.96725845227</c:v>
                </c:pt>
                <c:pt idx="100" formatCode="0.00E+00">
                  <c:v>11880.96725845227</c:v>
                </c:pt>
                <c:pt idx="101" formatCode="0.00E+00">
                  <c:v>11880.96725845227</c:v>
                </c:pt>
                <c:pt idx="102" formatCode="0.00E+00">
                  <c:v>11880.96725845227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5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6"/>
                <c:pt idx="0">
                  <c:v>0.33066049433743905</c:v>
                </c:pt>
                <c:pt idx="1">
                  <c:v>0.33066049433743905</c:v>
                </c:pt>
                <c:pt idx="2">
                  <c:v>0.33066049433743905</c:v>
                </c:pt>
                <c:pt idx="3">
                  <c:v>0.33066049433743905</c:v>
                </c:pt>
                <c:pt idx="4">
                  <c:v>0.33066049433743905</c:v>
                </c:pt>
                <c:pt idx="5">
                  <c:v>0.33066049433743905</c:v>
                </c:pt>
                <c:pt idx="6">
                  <c:v>0.33066049433743905</c:v>
                </c:pt>
                <c:pt idx="7">
                  <c:v>0.49599074150615857</c:v>
                </c:pt>
                <c:pt idx="8">
                  <c:v>0.49599074150615857</c:v>
                </c:pt>
                <c:pt idx="9">
                  <c:v>0.49599074150615857</c:v>
                </c:pt>
                <c:pt idx="10">
                  <c:v>0.49599074150615857</c:v>
                </c:pt>
                <c:pt idx="11">
                  <c:v>0.49599074150615857</c:v>
                </c:pt>
                <c:pt idx="12">
                  <c:v>0.49599074150615857</c:v>
                </c:pt>
                <c:pt idx="13">
                  <c:v>0.49599074150615857</c:v>
                </c:pt>
                <c:pt idx="14">
                  <c:v>0.49599074150615857</c:v>
                </c:pt>
                <c:pt idx="15">
                  <c:v>0.49599074150615857</c:v>
                </c:pt>
                <c:pt idx="16">
                  <c:v>0.49599074150615857</c:v>
                </c:pt>
                <c:pt idx="17">
                  <c:v>0.49599074150615857</c:v>
                </c:pt>
                <c:pt idx="18">
                  <c:v>0.49599074150615857</c:v>
                </c:pt>
                <c:pt idx="19">
                  <c:v>0.49599074150615857</c:v>
                </c:pt>
                <c:pt idx="20">
                  <c:v>0.49599074150615857</c:v>
                </c:pt>
                <c:pt idx="21">
                  <c:v>3.3066049433743903</c:v>
                </c:pt>
                <c:pt idx="22" formatCode="##0.0E+00">
                  <c:v>10.250475324460611</c:v>
                </c:pt>
                <c:pt idx="23" formatCode="##0.0E+00">
                  <c:v>25.626188311151527</c:v>
                </c:pt>
                <c:pt idx="24" formatCode="##0.0E+00">
                  <c:v>37.860626601636774</c:v>
                </c:pt>
                <c:pt idx="25" formatCode="##0.0E+00">
                  <c:v>53.236339588327688</c:v>
                </c:pt>
                <c:pt idx="26" formatCode="##0.0E+00">
                  <c:v>74.894601967429949</c:v>
                </c:pt>
                <c:pt idx="27" formatCode="##0.0E+00">
                  <c:v>108.29131189551129</c:v>
                </c:pt>
                <c:pt idx="28" formatCode="##0.0E+00">
                  <c:v>146.81325948582293</c:v>
                </c:pt>
                <c:pt idx="29" formatCode="##0.0E+00">
                  <c:v>186.49251880631562</c:v>
                </c:pt>
                <c:pt idx="30" formatCode="##0.0E+00">
                  <c:v>280.06943870381087</c:v>
                </c:pt>
                <c:pt idx="31" formatCode="##0.0E+00">
                  <c:v>336.61238323551294</c:v>
                </c:pt>
                <c:pt idx="32" formatCode="##0.0E+00">
                  <c:v>413.65627841613627</c:v>
                </c:pt>
                <c:pt idx="33" formatCode="##0.0E+00">
                  <c:v>510.70513350417463</c:v>
                </c:pt>
                <c:pt idx="34" formatCode="##0.0E+00">
                  <c:v>637.84409357691993</c:v>
                </c:pt>
                <c:pt idx="35" formatCode="##0.0E+00">
                  <c:v>766.47102587418374</c:v>
                </c:pt>
                <c:pt idx="36" formatCode="##0.0E+00">
                  <c:v>972.63784409357697</c:v>
                </c:pt>
                <c:pt idx="37" formatCode="##0.0E+00">
                  <c:v>1219.3105728693065</c:v>
                </c:pt>
                <c:pt idx="38" formatCode="##0.0E+00">
                  <c:v>1516.4090270314955</c:v>
                </c:pt>
                <c:pt idx="39" formatCode="##0.0E+00">
                  <c:v>1677.9366785153345</c:v>
                </c:pt>
                <c:pt idx="40" formatCode="##0.0E+00">
                  <c:v>2060.3455402165828</c:v>
                </c:pt>
                <c:pt idx="41" formatCode="##0.0E+00">
                  <c:v>2490.0388526080847</c:v>
                </c:pt>
                <c:pt idx="42" formatCode="##0.0E+00">
                  <c:v>2919.732164999587</c:v>
                </c:pt>
                <c:pt idx="43" formatCode="##0.0E+00">
                  <c:v>3497.8920393485992</c:v>
                </c:pt>
                <c:pt idx="44" formatCode="##0.0E+00">
                  <c:v>4091.4276266843021</c:v>
                </c:pt>
                <c:pt idx="45" formatCode="##0.0E+00">
                  <c:v>4625.9403157807719</c:v>
                </c:pt>
                <c:pt idx="46" formatCode="##0.0E+00">
                  <c:v>5208.8947672976774</c:v>
                </c:pt>
                <c:pt idx="47" formatCode="##0.0E+00">
                  <c:v>5904.4391171364805</c:v>
                </c:pt>
                <c:pt idx="48" formatCode="##0.0E+00">
                  <c:v>6784.3266925684056</c:v>
                </c:pt>
                <c:pt idx="49" formatCode="##0.0E+00">
                  <c:v>7773.9935521203606</c:v>
                </c:pt>
                <c:pt idx="50" formatCode="##0.0E+00">
                  <c:v>8858.0639828056555</c:v>
                </c:pt>
                <c:pt idx="51" formatCode="##0.0E+00">
                  <c:v>9777.3001570637352</c:v>
                </c:pt>
                <c:pt idx="52" formatCode="##0.0E+00">
                  <c:v>10569.066710754732</c:v>
                </c:pt>
                <c:pt idx="53" formatCode="##0.0E+00">
                  <c:v>11436.885178143342</c:v>
                </c:pt>
                <c:pt idx="54">
                  <c:v>12298.255765892371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12.6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8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  <c:pt idx="55">
                  <c:v>43916</c:v>
                </c:pt>
                <c:pt idx="56">
                  <c:v>43917</c:v>
                </c:pt>
                <c:pt idx="57">
                  <c:v>43918</c:v>
                </c:pt>
                <c:pt idx="58">
                  <c:v>43919</c:v>
                </c:pt>
                <c:pt idx="59">
                  <c:v>43920</c:v>
                </c:pt>
                <c:pt idx="60">
                  <c:v>43921</c:v>
                </c:pt>
                <c:pt idx="61">
                  <c:v>43922</c:v>
                </c:pt>
                <c:pt idx="62">
                  <c:v>43923</c:v>
                </c:pt>
                <c:pt idx="63">
                  <c:v>43930</c:v>
                </c:pt>
                <c:pt idx="64">
                  <c:v>43937</c:v>
                </c:pt>
                <c:pt idx="65">
                  <c:v>43944</c:v>
                </c:pt>
                <c:pt idx="66">
                  <c:v>43951</c:v>
                </c:pt>
                <c:pt idx="67">
                  <c:v>43958</c:v>
                </c:pt>
                <c:pt idx="68">
                  <c:v>43965</c:v>
                </c:pt>
                <c:pt idx="69">
                  <c:v>43972</c:v>
                </c:pt>
                <c:pt idx="70">
                  <c:v>43979</c:v>
                </c:pt>
                <c:pt idx="71">
                  <c:v>43986</c:v>
                </c:pt>
                <c:pt idx="72">
                  <c:v>43993</c:v>
                </c:pt>
                <c:pt idx="73">
                  <c:v>44000</c:v>
                </c:pt>
                <c:pt idx="74">
                  <c:v>44007</c:v>
                </c:pt>
                <c:pt idx="75">
                  <c:v>44014</c:v>
                </c:pt>
                <c:pt idx="76">
                  <c:v>44021</c:v>
                </c:pt>
                <c:pt idx="77">
                  <c:v>44028</c:v>
                </c:pt>
                <c:pt idx="78">
                  <c:v>44035</c:v>
                </c:pt>
                <c:pt idx="79">
                  <c:v>44042</c:v>
                </c:pt>
                <c:pt idx="80">
                  <c:v>44049</c:v>
                </c:pt>
                <c:pt idx="81">
                  <c:v>44056</c:v>
                </c:pt>
                <c:pt idx="82">
                  <c:v>44063</c:v>
                </c:pt>
                <c:pt idx="83">
                  <c:v>44070</c:v>
                </c:pt>
                <c:pt idx="84">
                  <c:v>44077</c:v>
                </c:pt>
                <c:pt idx="85">
                  <c:v>44084</c:v>
                </c:pt>
                <c:pt idx="86">
                  <c:v>44091</c:v>
                </c:pt>
                <c:pt idx="87">
                  <c:v>44098</c:v>
                </c:pt>
                <c:pt idx="88">
                  <c:v>44105</c:v>
                </c:pt>
                <c:pt idx="89">
                  <c:v>44112</c:v>
                </c:pt>
                <c:pt idx="90">
                  <c:v>44119</c:v>
                </c:pt>
                <c:pt idx="91">
                  <c:v>44126</c:v>
                </c:pt>
                <c:pt idx="92">
                  <c:v>44133</c:v>
                </c:pt>
                <c:pt idx="93">
                  <c:v>44140</c:v>
                </c:pt>
                <c:pt idx="94">
                  <c:v>44147</c:v>
                </c:pt>
                <c:pt idx="95">
                  <c:v>44154</c:v>
                </c:pt>
                <c:pt idx="96">
                  <c:v>44161</c:v>
                </c:pt>
                <c:pt idx="97">
                  <c:v>44168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8"/>
                <c:pt idx="0">
                  <c:v>0.12240853858695699</c:v>
                </c:pt>
                <c:pt idx="1">
                  <c:v>0.1583628730928473</c:v>
                </c:pt>
                <c:pt idx="2">
                  <c:v>0.20487768910249429</c:v>
                </c:pt>
                <c:pt idx="3">
                  <c:v>0.26505468779382163</c:v>
                </c:pt>
                <c:pt idx="4">
                  <c:v>0.34290648765903037</c:v>
                </c:pt>
                <c:pt idx="5">
                  <c:v>0.4436240929393882</c:v>
                </c:pt>
                <c:pt idx="6">
                  <c:v>0.57392286213201427</c:v>
                </c:pt>
                <c:pt idx="7">
                  <c:v>0.74248999189637677</c:v>
                </c:pt>
                <c:pt idx="8">
                  <c:v>0.96056326342689469</c:v>
                </c:pt>
                <c:pt idx="9">
                  <c:v>1.2426794882069432</c:v>
                </c:pt>
                <c:pt idx="10">
                  <c:v>1.6076423002591296</c:v>
                </c:pt>
                <c:pt idx="11">
                  <c:v>2.0797733912641552</c:v>
                </c:pt>
                <c:pt idx="12">
                  <c:v>2.6905298885442641</c:v>
                </c:pt>
                <c:pt idx="13">
                  <c:v>3.480594493832196</c:v>
                </c:pt>
                <c:pt idx="14">
                  <c:v>4.5025756931739878</c:v>
                </c:pt>
                <c:pt idx="15">
                  <c:v>5.824494636894932</c:v>
                </c:pt>
                <c:pt idx="16">
                  <c:v>7.5342854176167791</c:v>
                </c:pt>
                <c:pt idx="17">
                  <c:v>9.7455991603557539</c:v>
                </c:pt>
                <c:pt idx="18">
                  <c:v>12.605282785452665</c:v>
                </c:pt>
                <c:pt idx="19">
                  <c:v>16.303004142168387</c:v>
                </c:pt>
                <c:pt idx="20">
                  <c:v>21.083620282854319</c:v>
                </c:pt>
                <c:pt idx="21">
                  <c:v>27.263038527230602</c:v>
                </c:pt>
                <c:pt idx="22">
                  <c:v>35.248502979906938</c:v>
                </c:pt>
                <c:pt idx="23">
                  <c:v>45.564451586619064</c:v>
                </c:pt>
                <c:pt idx="24">
                  <c:v>58.88532368429447</c:v>
                </c:pt>
                <c:pt idx="25">
                  <c:v>76.076936714109053</c:v>
                </c:pt>
                <c:pt idx="26">
                  <c:v>98.248254218165258</c:v>
                </c:pt>
                <c:pt idx="27">
                  <c:v>126.81546180333602</c:v>
                </c:pt>
                <c:pt idx="28">
                  <c:v>163.58012406414301</c:v>
                </c:pt>
                <c:pt idx="29">
                  <c:v>210.82259811419772</c:v>
                </c:pt>
                <c:pt idx="30">
                  <c:v>271.41048751891657</c:v>
                </c:pt>
                <c:pt idx="31">
                  <c:v>348.91922456337272</c:v>
                </c:pt>
                <c:pt idx="32">
                  <c:v>447.75716243775247</c:v>
                </c:pt>
                <c:pt idx="33">
                  <c:v>573.27996988088182</c:v>
                </c:pt>
                <c:pt idx="34">
                  <c:v>731.86779271537603</c:v>
                </c:pt>
                <c:pt idx="35">
                  <c:v>930.92322448969901</c:v>
                </c:pt>
                <c:pt idx="36">
                  <c:v>1178.7297519187343</c:v>
                </c:pt>
                <c:pt idx="37">
                  <c:v>1484.0932884623826</c:v>
                </c:pt>
                <c:pt idx="38">
                  <c:v>1855.6831480420774</c:v>
                </c:pt>
                <c:pt idx="39">
                  <c:v>2301.0092055315536</c:v>
                </c:pt>
                <c:pt idx="40">
                  <c:v>2825.0387785599746</c:v>
                </c:pt>
                <c:pt idx="41">
                  <c:v>3428.5831866093272</c:v>
                </c:pt>
                <c:pt idx="42">
                  <c:v>4106.7568234858363</c:v>
                </c:pt>
                <c:pt idx="43">
                  <c:v>4847.9702085321342</c:v>
                </c:pt>
                <c:pt idx="44">
                  <c:v>5633.9562535064415</c:v>
                </c:pt>
                <c:pt idx="45">
                  <c:v>6441.1449346171048</c:v>
                </c:pt>
                <c:pt idx="46">
                  <c:v>7243.2934251108209</c:v>
                </c:pt>
                <c:pt idx="47">
                  <c:v>8014.8036482442476</c:v>
                </c:pt>
                <c:pt idx="48">
                  <c:v>8733.8708334931998</c:v>
                </c:pt>
                <c:pt idx="49">
                  <c:v>9384.6791774212252</c:v>
                </c:pt>
                <c:pt idx="50">
                  <c:v>9958.2491881017559</c:v>
                </c:pt>
                <c:pt idx="51">
                  <c:v>10452.018714107591</c:v>
                </c:pt>
                <c:pt idx="52">
                  <c:v>10868.572313677741</c:v>
                </c:pt>
                <c:pt idx="53">
                  <c:v>11214.025621862253</c:v>
                </c:pt>
                <c:pt idx="54">
                  <c:v>11496.473687834947</c:v>
                </c:pt>
                <c:pt idx="55">
                  <c:v>11724.737619230449</c:v>
                </c:pt>
                <c:pt idx="56">
                  <c:v>11907.484411988562</c:v>
                </c:pt>
                <c:pt idx="57">
                  <c:v>12052.691484549587</c:v>
                </c:pt>
                <c:pt idx="58">
                  <c:v>12167.380529921342</c:v>
                </c:pt>
                <c:pt idx="59">
                  <c:v>12257.537274031965</c:v>
                </c:pt>
                <c:pt idx="60">
                  <c:v>12328.145611035123</c:v>
                </c:pt>
                <c:pt idx="61">
                  <c:v>12383.282931289163</c:v>
                </c:pt>
                <c:pt idx="62">
                  <c:v>12542.782363206032</c:v>
                </c:pt>
                <c:pt idx="63">
                  <c:v>12569.471840392351</c:v>
                </c:pt>
                <c:pt idx="64">
                  <c:v>12573.88261914732</c:v>
                </c:pt>
                <c:pt idx="65">
                  <c:v>12574.610051250018</c:v>
                </c:pt>
                <c:pt idx="66">
                  <c:v>12574.729979479438</c:v>
                </c:pt>
                <c:pt idx="67">
                  <c:v>12574.749750356659</c:v>
                </c:pt>
                <c:pt idx="68">
                  <c:v>12574.753009672346</c:v>
                </c:pt>
                <c:pt idx="69">
                  <c:v>12574.753546983988</c:v>
                </c:pt>
                <c:pt idx="70">
                  <c:v>12574.753635562007</c:v>
                </c:pt>
                <c:pt idx="71">
                  <c:v>12574.753650164455</c:v>
                </c:pt>
                <c:pt idx="72">
                  <c:v>12574.75365257173</c:v>
                </c:pt>
                <c:pt idx="73">
                  <c:v>12574.753652968575</c:v>
                </c:pt>
                <c:pt idx="74">
                  <c:v>12574.753653033998</c:v>
                </c:pt>
                <c:pt idx="75">
                  <c:v>12574.753653044783</c:v>
                </c:pt>
                <c:pt idx="76">
                  <c:v>12574.753653046562</c:v>
                </c:pt>
                <c:pt idx="77">
                  <c:v>12574.753653046855</c:v>
                </c:pt>
                <c:pt idx="78">
                  <c:v>12574.753653046902</c:v>
                </c:pt>
                <c:pt idx="79">
                  <c:v>12574.75365304691</c:v>
                </c:pt>
                <c:pt idx="80">
                  <c:v>12574.753653046913</c:v>
                </c:pt>
                <c:pt idx="81">
                  <c:v>12574.753653046913</c:v>
                </c:pt>
                <c:pt idx="82">
                  <c:v>12574.753653046913</c:v>
                </c:pt>
                <c:pt idx="83">
                  <c:v>12574.753653046913</c:v>
                </c:pt>
                <c:pt idx="84">
                  <c:v>12574.753653046913</c:v>
                </c:pt>
                <c:pt idx="85">
                  <c:v>12574.753653046913</c:v>
                </c:pt>
                <c:pt idx="86">
                  <c:v>12574.753653046913</c:v>
                </c:pt>
                <c:pt idx="87">
                  <c:v>12574.753653046913</c:v>
                </c:pt>
                <c:pt idx="88">
                  <c:v>12574.753653046913</c:v>
                </c:pt>
                <c:pt idx="89">
                  <c:v>12574.753653046913</c:v>
                </c:pt>
                <c:pt idx="90">
                  <c:v>12574.753653046913</c:v>
                </c:pt>
                <c:pt idx="91">
                  <c:v>12574.753653046913</c:v>
                </c:pt>
                <c:pt idx="92">
                  <c:v>12574.753653046913</c:v>
                </c:pt>
                <c:pt idx="93">
                  <c:v>12574.753653046913</c:v>
                </c:pt>
                <c:pt idx="94">
                  <c:v>12574.753653046913</c:v>
                </c:pt>
                <c:pt idx="95">
                  <c:v>12574.753653046913</c:v>
                </c:pt>
                <c:pt idx="96">
                  <c:v>12574.753653046913</c:v>
                </c:pt>
              </c:numCache>
            </c:numRef>
          </c:yVal>
          <c:smooth val="0"/>
        </c:ser>
        <c:ser>
          <c:idx val="2"/>
          <c:order val="4"/>
          <c:tx>
            <c:v>SKorea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64"/>
                <c:pt idx="0">
                  <c:v>0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 formatCode="##0.0E+00">
                  <c:v>117.1206225680934</c:v>
                </c:pt>
                <c:pt idx="33" formatCode="##0.0E+00">
                  <c:v>162.06225680933852</c:v>
                </c:pt>
                <c:pt idx="34" formatCode="##0.0E+00">
                  <c:v>190.07782101167317</c:v>
                </c:pt>
                <c:pt idx="35" formatCode="##0.0E+00">
                  <c:v>245.33073929961091</c:v>
                </c:pt>
                <c:pt idx="36" formatCode="##0.0E+00">
                  <c:v>343.579766536965</c:v>
                </c:pt>
                <c:pt idx="37" formatCode="##0.0E+00">
                  <c:v>454.66926070038915</c:v>
                </c:pt>
                <c:pt idx="38" formatCode="##0.0E+00">
                  <c:v>612.84046692607012</c:v>
                </c:pt>
                <c:pt idx="39" formatCode="##0.0E+00">
                  <c:v>726.84824902723744</c:v>
                </c:pt>
                <c:pt idx="40" formatCode="##0.0E+00">
                  <c:v>843.38521400778211</c:v>
                </c:pt>
                <c:pt idx="41" formatCode="##0.0E+00">
                  <c:v>1008.9494163424125</c:v>
                </c:pt>
                <c:pt idx="42" formatCode="##0.0E+00">
                  <c:v>1093.5797665369651</c:v>
                </c:pt>
                <c:pt idx="43" formatCode="##0.0E+00">
                  <c:v>1184.4357976653698</c:v>
                </c:pt>
                <c:pt idx="44" formatCode="##0.0E+00">
                  <c:v>1282.6848249027239</c:v>
                </c:pt>
                <c:pt idx="45" formatCode="##0.0E+00">
                  <c:v>1369.8443579766538</c:v>
                </c:pt>
                <c:pt idx="46" formatCode="##0.0E+00">
                  <c:v>1422.95719844358</c:v>
                </c:pt>
                <c:pt idx="47" formatCode="##0.0E+00">
                  <c:v>1454.8638132295721</c:v>
                </c:pt>
                <c:pt idx="48" formatCode="##0.0E+00">
                  <c:v>1461.6731517509729</c:v>
                </c:pt>
                <c:pt idx="49" formatCode="##0.0E+00">
                  <c:v>1508.7548638132296</c:v>
                </c:pt>
                <c:pt idx="50" formatCode="##0.0E+00">
                  <c:v>1530.933852140078</c:v>
                </c:pt>
                <c:pt idx="51" formatCode="##0.0E+00">
                  <c:v>1552.3346303501946</c:v>
                </c:pt>
                <c:pt idx="52" formatCode="##0.0E+00">
                  <c:v>1573.1517509727628</c:v>
                </c:pt>
                <c:pt idx="53" formatCode="##0.0E+00">
                  <c:v>1587.9377431906616</c:v>
                </c:pt>
                <c:pt idx="54" formatCode="##0.0E+00">
                  <c:v>1602.3346303501946</c:v>
                </c:pt>
                <c:pt idx="55" formatCode="##0.0E+00">
                  <c:v>1618.6770428015566</c:v>
                </c:pt>
                <c:pt idx="56" formatCode="##0.0E+00">
                  <c:v>1636.7704280155642</c:v>
                </c:pt>
                <c:pt idx="57" formatCode="##0.0E+00">
                  <c:v>1666.342412451362</c:v>
                </c:pt>
                <c:pt idx="58" formatCode="##0.0E+00">
                  <c:v>1683.2684824902724</c:v>
                </c:pt>
                <c:pt idx="59" formatCode="##0.0E+00">
                  <c:v>1711.8677042801557</c:v>
                </c:pt>
                <c:pt idx="60" formatCode="##0.0E+00">
                  <c:v>1743.3852140077822</c:v>
                </c:pt>
                <c:pt idx="61" formatCode="##0.0E+00">
                  <c:v>1743.3852140077822</c:v>
                </c:pt>
                <c:pt idx="62" formatCode="##0.0E+00">
                  <c:v>1758.1712062256811</c:v>
                </c:pt>
                <c:pt idx="63" formatCode="##0.0E+00">
                  <c:v>1777.626459143969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myData!SKoreaSeries</c:f>
              <c:strCache>
                <c:ptCount val="1"/>
                <c:pt idx="0">
                  <c:v>Skorea Limit 1.67 k fr 19th Feb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79"/>
                <c:pt idx="0">
                  <c:v>43880</c:v>
                </c:pt>
                <c:pt idx="1">
                  <c:v>43881</c:v>
                </c:pt>
                <c:pt idx="2">
                  <c:v>43882</c:v>
                </c:pt>
                <c:pt idx="3">
                  <c:v>43883</c:v>
                </c:pt>
                <c:pt idx="4">
                  <c:v>43884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43930</c:v>
                </c:pt>
                <c:pt idx="45">
                  <c:v>43937</c:v>
                </c:pt>
                <c:pt idx="46">
                  <c:v>43944</c:v>
                </c:pt>
                <c:pt idx="47">
                  <c:v>43951</c:v>
                </c:pt>
                <c:pt idx="48">
                  <c:v>43958</c:v>
                </c:pt>
                <c:pt idx="49">
                  <c:v>43965</c:v>
                </c:pt>
                <c:pt idx="50">
                  <c:v>43972</c:v>
                </c:pt>
                <c:pt idx="51">
                  <c:v>43979</c:v>
                </c:pt>
                <c:pt idx="52">
                  <c:v>43986</c:v>
                </c:pt>
                <c:pt idx="53">
                  <c:v>43993</c:v>
                </c:pt>
                <c:pt idx="54">
                  <c:v>44000</c:v>
                </c:pt>
                <c:pt idx="55">
                  <c:v>44007</c:v>
                </c:pt>
                <c:pt idx="56">
                  <c:v>44014</c:v>
                </c:pt>
                <c:pt idx="57">
                  <c:v>44021</c:v>
                </c:pt>
                <c:pt idx="58">
                  <c:v>44028</c:v>
                </c:pt>
                <c:pt idx="59">
                  <c:v>44035</c:v>
                </c:pt>
                <c:pt idx="60">
                  <c:v>44042</c:v>
                </c:pt>
                <c:pt idx="61">
                  <c:v>44049</c:v>
                </c:pt>
                <c:pt idx="62">
                  <c:v>44056</c:v>
                </c:pt>
                <c:pt idx="63">
                  <c:v>44063</c:v>
                </c:pt>
                <c:pt idx="64">
                  <c:v>44070</c:v>
                </c:pt>
                <c:pt idx="65">
                  <c:v>44077</c:v>
                </c:pt>
                <c:pt idx="66">
                  <c:v>44084</c:v>
                </c:pt>
                <c:pt idx="67">
                  <c:v>44091</c:v>
                </c:pt>
                <c:pt idx="68">
                  <c:v>44098</c:v>
                </c:pt>
                <c:pt idx="69">
                  <c:v>44105</c:v>
                </c:pt>
                <c:pt idx="70">
                  <c:v>44112</c:v>
                </c:pt>
                <c:pt idx="71">
                  <c:v>44119</c:v>
                </c:pt>
                <c:pt idx="72">
                  <c:v>44126</c:v>
                </c:pt>
                <c:pt idx="73">
                  <c:v>44133</c:v>
                </c:pt>
                <c:pt idx="74">
                  <c:v>44140</c:v>
                </c:pt>
                <c:pt idx="75">
                  <c:v>44147</c:v>
                </c:pt>
                <c:pt idx="76">
                  <c:v>44154</c:v>
                </c:pt>
                <c:pt idx="77">
                  <c:v>44161</c:v>
                </c:pt>
                <c:pt idx="78">
                  <c:v>44168</c:v>
                </c:pt>
              </c:numCache>
            </c:numRef>
          </c:xVal>
          <c:yVal>
            <c:numRef>
              <c:f>myData!SKoreaLogi</c:f>
              <c:numCache>
                <c:formatCode>0.0</c:formatCode>
                <c:ptCount val="79"/>
                <c:pt idx="0">
                  <c:v>42.689071504860067</c:v>
                </c:pt>
                <c:pt idx="1">
                  <c:v>57.125715155604773</c:v>
                </c:pt>
                <c:pt idx="2">
                  <c:v>76.216546368837299</c:v>
                </c:pt>
                <c:pt idx="3">
                  <c:v>101.28782458561645</c:v>
                </c:pt>
                <c:pt idx="4">
                  <c:v>133.91529830872742</c:v>
                </c:pt>
                <c:pt idx="5">
                  <c:v>175.87804141596899</c:v>
                </c:pt>
                <c:pt idx="6">
                  <c:v>229.0352313762765</c:v>
                </c:pt>
                <c:pt idx="7">
                  <c:v>295.09524334715269</c:v>
                </c:pt>
                <c:pt idx="8">
                  <c:v>375.26262798900956</c:v>
                </c:pt>
                <c:pt idx="9">
                  <c:v>469.79210772894976</c:v>
                </c:pt>
                <c:pt idx="10">
                  <c:v>577.54954150487197</c:v>
                </c:pt>
                <c:pt idx="11">
                  <c:v>695.75053186509251</c:v>
                </c:pt>
                <c:pt idx="12">
                  <c:v>820.05977639250727</c:v>
                </c:pt>
                <c:pt idx="13">
                  <c:v>945.13449647174377</c:v>
                </c:pt>
                <c:pt idx="14">
                  <c:v>1065.5004658453468</c:v>
                </c:pt>
                <c:pt idx="15">
                  <c:v>1176.4737360121678</c:v>
                </c:pt>
                <c:pt idx="16">
                  <c:v>1274.8155309138397</c:v>
                </c:pt>
                <c:pt idx="17">
                  <c:v>1358.9523663555181</c:v>
                </c:pt>
                <c:pt idx="18">
                  <c:v>1428.7973987469989</c:v>
                </c:pt>
                <c:pt idx="19">
                  <c:v>1485.3410050761204</c:v>
                </c:pt>
                <c:pt idx="20">
                  <c:v>1530.1933558478495</c:v>
                </c:pt>
                <c:pt idx="21">
                  <c:v>1565.2003663595126</c:v>
                </c:pt>
                <c:pt idx="22">
                  <c:v>1592.1794233012943</c:v>
                </c:pt>
                <c:pt idx="23">
                  <c:v>1612.7693658163619</c:v>
                </c:pt>
                <c:pt idx="24">
                  <c:v>1628.3663739058684</c:v>
                </c:pt>
                <c:pt idx="25">
                  <c:v>1640.1145175889246</c:v>
                </c:pt>
                <c:pt idx="26">
                  <c:v>1648.9259052695952</c:v>
                </c:pt>
                <c:pt idx="27">
                  <c:v>1655.5135309857842</c:v>
                </c:pt>
                <c:pt idx="28">
                  <c:v>1660.4268341641477</c:v>
                </c:pt>
                <c:pt idx="29">
                  <c:v>1664.0848226404412</c:v>
                </c:pt>
                <c:pt idx="30">
                  <c:v>1666.8045998145201</c:v>
                </c:pt>
                <c:pt idx="31">
                  <c:v>1668.8248011557205</c:v>
                </c:pt>
                <c:pt idx="32">
                  <c:v>1670.3242677694802</c:v>
                </c:pt>
                <c:pt idx="33">
                  <c:v>1671.4366191870788</c:v>
                </c:pt>
                <c:pt idx="34">
                  <c:v>1672.2614624810558</c:v>
                </c:pt>
                <c:pt idx="35">
                  <c:v>1672.8729259732977</c:v>
                </c:pt>
                <c:pt idx="36">
                  <c:v>1673.326108318807</c:v>
                </c:pt>
                <c:pt idx="37">
                  <c:v>1673.6619261956942</c:v>
                </c:pt>
                <c:pt idx="38">
                  <c:v>1673.9107440645398</c:v>
                </c:pt>
                <c:pt idx="39">
                  <c:v>1674.0950842394766</c:v>
                </c:pt>
                <c:pt idx="40">
                  <c:v>1674.2316460574734</c:v>
                </c:pt>
                <c:pt idx="41">
                  <c:v>1674.3328079628106</c:v>
                </c:pt>
                <c:pt idx="42">
                  <c:v>1674.4077436548459</c:v>
                </c:pt>
                <c:pt idx="43">
                  <c:v>1674.4632507628428</c:v>
                </c:pt>
                <c:pt idx="44">
                  <c:v>1674.6024152133152</c:v>
                </c:pt>
                <c:pt idx="45">
                  <c:v>1674.6194348830604</c:v>
                </c:pt>
                <c:pt idx="46">
                  <c:v>1674.6215162008459</c:v>
                </c:pt>
                <c:pt idx="47">
                  <c:v>1674.6217707204937</c:v>
                </c:pt>
                <c:pt idx="48">
                  <c:v>1674.6218018450882</c:v>
                </c:pt>
                <c:pt idx="49">
                  <c:v>1674.6218056512396</c:v>
                </c:pt>
                <c:pt idx="50">
                  <c:v>1674.6218061166842</c:v>
                </c:pt>
                <c:pt idx="51">
                  <c:v>1674.6218061736024</c:v>
                </c:pt>
                <c:pt idx="52">
                  <c:v>1674.621806180563</c:v>
                </c:pt>
                <c:pt idx="53">
                  <c:v>1674.6218061814141</c:v>
                </c:pt>
                <c:pt idx="54">
                  <c:v>1674.6218061815182</c:v>
                </c:pt>
                <c:pt idx="55">
                  <c:v>1674.6218061815309</c:v>
                </c:pt>
                <c:pt idx="56">
                  <c:v>1674.6218061815323</c:v>
                </c:pt>
                <c:pt idx="57">
                  <c:v>1674.6218061815327</c:v>
                </c:pt>
                <c:pt idx="58">
                  <c:v>1674.6218061815327</c:v>
                </c:pt>
                <c:pt idx="59">
                  <c:v>1674.6218061815327</c:v>
                </c:pt>
                <c:pt idx="60">
                  <c:v>1674.6218061815327</c:v>
                </c:pt>
                <c:pt idx="61">
                  <c:v>1674.6218061815327</c:v>
                </c:pt>
                <c:pt idx="62">
                  <c:v>1674.6218061815327</c:v>
                </c:pt>
                <c:pt idx="63">
                  <c:v>1674.6218061815327</c:v>
                </c:pt>
                <c:pt idx="64">
                  <c:v>1674.6218061815327</c:v>
                </c:pt>
                <c:pt idx="65">
                  <c:v>1674.6218061815327</c:v>
                </c:pt>
                <c:pt idx="66">
                  <c:v>1674.6218061815327</c:v>
                </c:pt>
                <c:pt idx="67">
                  <c:v>1674.6218061815327</c:v>
                </c:pt>
                <c:pt idx="68">
                  <c:v>1674.6218061815327</c:v>
                </c:pt>
                <c:pt idx="69">
                  <c:v>1674.6218061815327</c:v>
                </c:pt>
                <c:pt idx="70">
                  <c:v>1674.6218061815327</c:v>
                </c:pt>
                <c:pt idx="71">
                  <c:v>1674.6218061815327</c:v>
                </c:pt>
                <c:pt idx="72">
                  <c:v>1674.6218061815327</c:v>
                </c:pt>
                <c:pt idx="73">
                  <c:v>1674.6218061815327</c:v>
                </c:pt>
                <c:pt idx="74">
                  <c:v>1674.6218061815327</c:v>
                </c:pt>
                <c:pt idx="75">
                  <c:v>1674.6218061815327</c:v>
                </c:pt>
                <c:pt idx="76">
                  <c:v>1674.6218061815327</c:v>
                </c:pt>
                <c:pt idx="77">
                  <c:v>1674.6218061815327</c:v>
                </c:pt>
                <c:pt idx="78">
                  <c:v>1674.6218061815327</c:v>
                </c:pt>
              </c:numCache>
            </c:numRef>
          </c:yVal>
          <c:smooth val="0"/>
        </c:ser>
        <c:ser>
          <c:idx val="10"/>
          <c:order val="6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61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61"/>
                <c:pt idx="0">
                  <c:v>1.5770383220312254</c:v>
                </c:pt>
                <c:pt idx="1">
                  <c:v>1.9712979025390318</c:v>
                </c:pt>
                <c:pt idx="2">
                  <c:v>1.9712979025390318</c:v>
                </c:pt>
                <c:pt idx="3">
                  <c:v>2.365557483046838</c:v>
                </c:pt>
                <c:pt idx="4">
                  <c:v>3.548336224570257</c:v>
                </c:pt>
                <c:pt idx="5">
                  <c:v>3.548336224570257</c:v>
                </c:pt>
                <c:pt idx="6">
                  <c:v>4.731114966093676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5.1253745466014822</c:v>
                </c:pt>
                <c:pt idx="10">
                  <c:v>5.1253745466014822</c:v>
                </c:pt>
                <c:pt idx="11">
                  <c:v>5.5196341271092884</c:v>
                </c:pt>
                <c:pt idx="12">
                  <c:v>5.9138937076170954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9.856489512695159</c:v>
                </c:pt>
                <c:pt idx="35">
                  <c:v>10.645008673710771</c:v>
                </c:pt>
                <c:pt idx="36">
                  <c:v>11.827787415234191</c:v>
                </c:pt>
                <c:pt idx="37">
                  <c:v>15.376123639804447</c:v>
                </c:pt>
                <c:pt idx="38">
                  <c:v>20.501498186405929</c:v>
                </c:pt>
                <c:pt idx="39">
                  <c:v>21.68427692792935</c:v>
                </c:pt>
                <c:pt idx="40">
                  <c:v>23.655574830468382</c:v>
                </c:pt>
                <c:pt idx="41">
                  <c:v>24.838353571991799</c:v>
                </c:pt>
                <c:pt idx="42">
                  <c:v>29.963728118593281</c:v>
                </c:pt>
                <c:pt idx="43">
                  <c:v>35.87762182621038</c:v>
                </c:pt>
                <c:pt idx="44">
                  <c:v>42.185775114335279</c:v>
                </c:pt>
                <c:pt idx="45">
                  <c:v>50.465226304999213</c:v>
                </c:pt>
                <c:pt idx="46">
                  <c:v>50.465226304999213</c:v>
                </c:pt>
                <c:pt idx="47">
                  <c:v>78.851916101561272</c:v>
                </c:pt>
                <c:pt idx="48">
                  <c:v>98.564895126951583</c:v>
                </c:pt>
                <c:pt idx="49">
                  <c:v>117.09509541081849</c:v>
                </c:pt>
                <c:pt idx="50">
                  <c:v>148.635861851443</c:v>
                </c:pt>
                <c:pt idx="51">
                  <c:v>178.20533038952846</c:v>
                </c:pt>
                <c:pt idx="52">
                  <c:v>223.93944172843399</c:v>
                </c:pt>
                <c:pt idx="53">
                  <c:v>268.49077432581612</c:v>
                </c:pt>
                <c:pt idx="54">
                  <c:v>311.85932818167481</c:v>
                </c:pt>
                <c:pt idx="55">
                  <c:v>422.25201072386056</c:v>
                </c:pt>
                <c:pt idx="56">
                  <c:v>610.70809020659203</c:v>
                </c:pt>
                <c:pt idx="57">
                  <c:v>663.14461441413027</c:v>
                </c:pt>
                <c:pt idx="58">
                  <c:v>805.86658255795612</c:v>
                </c:pt>
                <c:pt idx="59">
                  <c:v>958.44504021447722</c:v>
                </c:pt>
                <c:pt idx="60">
                  <c:v>1106.2923829049046</c:v>
                </c:pt>
              </c:numCache>
            </c:numRef>
          </c:yVal>
          <c:smooth val="0"/>
        </c:ser>
        <c:ser>
          <c:idx val="9"/>
          <c:order val="7"/>
          <c:tx>
            <c:strRef>
              <c:f>myData!AuSeries</c:f>
              <c:strCache>
                <c:ptCount val="1"/>
                <c:pt idx="0">
                  <c:v>Australia Limit 2.77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43922</c:v>
                </c:pt>
                <c:pt idx="67">
                  <c:v>43923</c:v>
                </c:pt>
                <c:pt idx="68">
                  <c:v>43930</c:v>
                </c:pt>
                <c:pt idx="69">
                  <c:v>43937</c:v>
                </c:pt>
                <c:pt idx="70">
                  <c:v>43944</c:v>
                </c:pt>
                <c:pt idx="71">
                  <c:v>43951</c:v>
                </c:pt>
                <c:pt idx="72">
                  <c:v>43958</c:v>
                </c:pt>
                <c:pt idx="73">
                  <c:v>43965</c:v>
                </c:pt>
                <c:pt idx="74">
                  <c:v>43972</c:v>
                </c:pt>
                <c:pt idx="75">
                  <c:v>43979</c:v>
                </c:pt>
                <c:pt idx="76">
                  <c:v>43986</c:v>
                </c:pt>
                <c:pt idx="77">
                  <c:v>43993</c:v>
                </c:pt>
                <c:pt idx="78">
                  <c:v>44000</c:v>
                </c:pt>
                <c:pt idx="79">
                  <c:v>44007</c:v>
                </c:pt>
                <c:pt idx="80">
                  <c:v>44014</c:v>
                </c:pt>
                <c:pt idx="81">
                  <c:v>44021</c:v>
                </c:pt>
                <c:pt idx="82">
                  <c:v>44028</c:v>
                </c:pt>
                <c:pt idx="83">
                  <c:v>44035</c:v>
                </c:pt>
                <c:pt idx="84">
                  <c:v>44042</c:v>
                </c:pt>
                <c:pt idx="85">
                  <c:v>44049</c:v>
                </c:pt>
                <c:pt idx="86">
                  <c:v>44056</c:v>
                </c:pt>
                <c:pt idx="87">
                  <c:v>44063</c:v>
                </c:pt>
                <c:pt idx="88">
                  <c:v>44070</c:v>
                </c:pt>
                <c:pt idx="89">
                  <c:v>44077</c:v>
                </c:pt>
                <c:pt idx="90">
                  <c:v>44084</c:v>
                </c:pt>
                <c:pt idx="91">
                  <c:v>44091</c:v>
                </c:pt>
                <c:pt idx="92">
                  <c:v>44098</c:v>
                </c:pt>
                <c:pt idx="93">
                  <c:v>44105</c:v>
                </c:pt>
                <c:pt idx="94">
                  <c:v>44112</c:v>
                </c:pt>
                <c:pt idx="95">
                  <c:v>44119</c:v>
                </c:pt>
                <c:pt idx="96">
                  <c:v>44126</c:v>
                </c:pt>
                <c:pt idx="97">
                  <c:v>44133</c:v>
                </c:pt>
                <c:pt idx="98">
                  <c:v>44140</c:v>
                </c:pt>
                <c:pt idx="99">
                  <c:v>44147</c:v>
                </c:pt>
                <c:pt idx="100">
                  <c:v>44154</c:v>
                </c:pt>
                <c:pt idx="101">
                  <c:v>44161</c:v>
                </c:pt>
                <c:pt idx="102">
                  <c:v>44168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3"/>
                <c:pt idx="0">
                  <c:v>5.0724640332058433E-4</c:v>
                </c:pt>
                <c:pt idx="1">
                  <c:v>6.5261295704497984E-4</c:v>
                </c:pt>
                <c:pt idx="2">
                  <c:v>8.3963861058294887E-4</c:v>
                </c:pt>
                <c:pt idx="3">
                  <c:v>1.0802620069837428E-3</c:v>
                </c:pt>
                <c:pt idx="4">
                  <c:v>1.3898431539671296E-3</c:v>
                </c:pt>
                <c:pt idx="5">
                  <c:v>1.7881439117228826E-3</c:v>
                </c:pt>
                <c:pt idx="6">
                  <c:v>2.3005894646051027E-3</c:v>
                </c:pt>
                <c:pt idx="7">
                  <c:v>2.9598912983305908E-3</c:v>
                </c:pt>
                <c:pt idx="8">
                  <c:v>3.8081352783853602E-3</c:v>
                </c:pt>
                <c:pt idx="9">
                  <c:v>4.8994681108457941E-3</c:v>
                </c:pt>
                <c:pt idx="10">
                  <c:v>6.3035536576652668E-3</c:v>
                </c:pt>
                <c:pt idx="11">
                  <c:v>8.1100197108614873E-3</c:v>
                </c:pt>
                <c:pt idx="12">
                  <c:v>1.0434179037502116E-2</c:v>
                </c:pt>
                <c:pt idx="13">
                  <c:v>1.3424389820104337E-2</c:v>
                </c:pt>
                <c:pt idx="14">
                  <c:v>1.7271525217921E-2</c:v>
                </c:pt>
                <c:pt idx="15">
                  <c:v>2.2221156328026292E-2</c:v>
                </c:pt>
                <c:pt idx="16">
                  <c:v>2.8589225899276274E-2</c:v>
                </c:pt>
                <c:pt idx="17">
                  <c:v>3.6782212760433794E-2</c:v>
                </c:pt>
                <c:pt idx="18">
                  <c:v>4.7323073218550608E-2</c:v>
                </c:pt>
                <c:pt idx="19">
                  <c:v>6.0884613845345402E-2</c:v>
                </c:pt>
                <c:pt idx="20">
                  <c:v>7.8332423441616839E-2</c:v>
                </c:pt>
                <c:pt idx="21">
                  <c:v>0.10078010050936008</c:v>
                </c:pt>
                <c:pt idx="22">
                  <c:v>0.12966029468244686</c:v>
                </c:pt>
                <c:pt idx="23">
                  <c:v>0.16681608548162749</c:v>
                </c:pt>
                <c:pt idx="24">
                  <c:v>0.21461851243481017</c:v>
                </c:pt>
                <c:pt idx="25">
                  <c:v>0.2761177274736949</c:v>
                </c:pt>
                <c:pt idx="26">
                  <c:v>0.35523736611443679</c:v>
                </c:pt>
                <c:pt idx="27">
                  <c:v>0.45702445859083923</c:v>
                </c:pt>
                <c:pt idx="28">
                  <c:v>0.58797069091678611</c:v>
                </c:pt>
                <c:pt idx="29">
                  <c:v>0.75642528689674537</c:v>
                </c:pt>
                <c:pt idx="30">
                  <c:v>0.97312547598958987</c:v>
                </c:pt>
                <c:pt idx="31">
                  <c:v>1.2518777622291846</c:v>
                </c:pt>
                <c:pt idx="32">
                  <c:v>1.610432413079818</c:v>
                </c:pt>
                <c:pt idx="33">
                  <c:v>2.0716052230629085</c:v>
                </c:pt>
                <c:pt idx="34">
                  <c:v>2.6647152390934514</c:v>
                </c:pt>
                <c:pt idx="35">
                  <c:v>3.4274254024044599</c:v>
                </c:pt>
                <c:pt idx="36">
                  <c:v>4.4080956484798808</c:v>
                </c:pt>
                <c:pt idx="37">
                  <c:v>5.6687855614291793</c:v>
                </c:pt>
                <c:pt idx="38">
                  <c:v>7.2890766680813721</c:v>
                </c:pt>
                <c:pt idx="39">
                  <c:v>9.3709228807780303</c:v>
                </c:pt>
                <c:pt idx="40">
                  <c:v>12.04478050193581</c:v>
                </c:pt>
                <c:pt idx="41">
                  <c:v>15.477313848034909</c:v>
                </c:pt>
                <c:pt idx="42">
                  <c:v>19.881013054070113</c:v>
                </c:pt>
                <c:pt idx="43">
                  <c:v>25.52608581506642</c:v>
                </c:pt>
                <c:pt idx="44">
                  <c:v>32.75497500137277</c:v>
                </c:pt>
                <c:pt idx="45">
                  <c:v>41.999776300252975</c:v>
                </c:pt>
                <c:pt idx="46">
                  <c:v>53.802631808571974</c:v>
                </c:pt>
                <c:pt idx="47">
                  <c:v>68.838777443638222</c:v>
                </c:pt>
                <c:pt idx="48">
                  <c:v>87.941211500002069</c:v>
                </c:pt>
                <c:pt idx="49">
                  <c:v>112.12478287547087</c:v>
                </c:pt>
                <c:pt idx="50">
                  <c:v>142.60570970733662</c:v>
                </c:pt>
                <c:pt idx="51">
                  <c:v>180.81001390718257</c:v>
                </c:pt>
                <c:pt idx="52">
                  <c:v>228.36114522065824</c:v>
                </c:pt>
                <c:pt idx="53">
                  <c:v>287.03361950973061</c:v>
                </c:pt>
                <c:pt idx="54">
                  <c:v>358.65698947902229</c:v>
                </c:pt>
                <c:pt idx="55">
                  <c:v>444.95513627475549</c:v>
                </c:pt>
                <c:pt idx="56">
                  <c:v>547.31299502011814</c:v>
                </c:pt>
                <c:pt idx="57">
                  <c:v>666.4797749259418</c:v>
                </c:pt>
                <c:pt idx="58">
                  <c:v>802.24544434231291</c:v>
                </c:pt>
                <c:pt idx="59">
                  <c:v>953.16038448109271</c:v>
                </c:pt>
                <c:pt idx="60">
                  <c:v>1116.3922969296002</c:v>
                </c:pt>
                <c:pt idx="61">
                  <c:v>1287.8093026075937</c:v>
                </c:pt>
                <c:pt idx="62">
                  <c:v>1462.3294454877762</c:v>
                </c:pt>
                <c:pt idx="63">
                  <c:v>1634.4926046839259</c:v>
                </c:pt>
                <c:pt idx="64">
                  <c:v>1799.1267947492811</c:v>
                </c:pt>
                <c:pt idx="65">
                  <c:v>1951.9422568517759</c:v>
                </c:pt>
                <c:pt idx="66">
                  <c:v>2089.9163990481611</c:v>
                </c:pt>
                <c:pt idx="67">
                  <c:v>2211.4129195882319</c:v>
                </c:pt>
                <c:pt idx="68">
                  <c:v>2658.243710571182</c:v>
                </c:pt>
                <c:pt idx="69" formatCode="0.00E+00">
                  <c:v>2753.5926289641416</c:v>
                </c:pt>
                <c:pt idx="70" formatCode="0.00E+00">
                  <c:v>2770.6236759629255</c:v>
                </c:pt>
                <c:pt idx="71" formatCode="0.00E+00">
                  <c:v>2773.5635085671247</c:v>
                </c:pt>
                <c:pt idx="72" formatCode="0.00E+00">
                  <c:v>2774.0679433033524</c:v>
                </c:pt>
                <c:pt idx="73" formatCode="0.00E+00">
                  <c:v>2774.1544083003901</c:v>
                </c:pt>
                <c:pt idx="74" formatCode="0.00E+00">
                  <c:v>2774.1692266220412</c:v>
                </c:pt>
                <c:pt idx="75" formatCode="0.00E+00">
                  <c:v>2774.1717661006874</c:v>
                </c:pt>
                <c:pt idx="76" formatCode="0.00E+00">
                  <c:v>2774.1722012996597</c:v>
                </c:pt>
                <c:pt idx="77" formatCode="0.00E+00">
                  <c:v>2774.1722758811011</c:v>
                </c:pt>
                <c:pt idx="78" formatCode="0.00E+00">
                  <c:v>2774.1722886623593</c:v>
                </c:pt>
                <c:pt idx="79" formatCode="0.00E+00">
                  <c:v>2774.172290852724</c:v>
                </c:pt>
                <c:pt idx="80" formatCode="0.00E+00">
                  <c:v>2774.1722912280939</c:v>
                </c:pt>
                <c:pt idx="81" formatCode="0.00E+00">
                  <c:v>2774.172291292422</c:v>
                </c:pt>
                <c:pt idx="82" formatCode="0.00E+00">
                  <c:v>2774.1722913034464</c:v>
                </c:pt>
                <c:pt idx="83" formatCode="0.00E+00">
                  <c:v>2774.1722913053354</c:v>
                </c:pt>
                <c:pt idx="84" formatCode="0.00E+00">
                  <c:v>2774.1722913056592</c:v>
                </c:pt>
                <c:pt idx="85" formatCode="0.00E+00">
                  <c:v>2774.1722913057147</c:v>
                </c:pt>
                <c:pt idx="86" formatCode="0.00E+00">
                  <c:v>2774.1722913057238</c:v>
                </c:pt>
                <c:pt idx="87" formatCode="0.00E+00">
                  <c:v>2774.1722913057256</c:v>
                </c:pt>
                <c:pt idx="88" formatCode="0.00E+00">
                  <c:v>2774.172291305726</c:v>
                </c:pt>
                <c:pt idx="89" formatCode="0.00E+00">
                  <c:v>2774.172291305726</c:v>
                </c:pt>
                <c:pt idx="90" formatCode="0.00E+00">
                  <c:v>2774.172291305726</c:v>
                </c:pt>
                <c:pt idx="91" formatCode="0.00E+00">
                  <c:v>2774.172291305726</c:v>
                </c:pt>
                <c:pt idx="92" formatCode="0.00E+00">
                  <c:v>2774.172291305726</c:v>
                </c:pt>
                <c:pt idx="93" formatCode="0.00E+00">
                  <c:v>2774.172291305726</c:v>
                </c:pt>
                <c:pt idx="94" formatCode="0.00E+00">
                  <c:v>2774.172291305726</c:v>
                </c:pt>
                <c:pt idx="95" formatCode="0.00E+00">
                  <c:v>2774.172291305726</c:v>
                </c:pt>
                <c:pt idx="96" formatCode="0.00E+00">
                  <c:v>2774.172291305726</c:v>
                </c:pt>
                <c:pt idx="97" formatCode="0.00E+00">
                  <c:v>2774.172291305726</c:v>
                </c:pt>
                <c:pt idx="98" formatCode="0.00E+00">
                  <c:v>2774.172291305726</c:v>
                </c:pt>
                <c:pt idx="99" formatCode="0.00E+00">
                  <c:v>2774.172291305726</c:v>
                </c:pt>
                <c:pt idx="100" formatCode="0.00E+00">
                  <c:v>2774.172291305726</c:v>
                </c:pt>
                <c:pt idx="101" formatCode="0.00E+00">
                  <c:v>2774.172291305726</c:v>
                </c:pt>
                <c:pt idx="102" formatCode="0.00E+00">
                  <c:v>2774.172291305726</c:v>
                </c:pt>
              </c:numCache>
            </c:numRef>
          </c:yVal>
          <c:smooth val="0"/>
        </c:ser>
        <c:ser>
          <c:idx val="7"/>
          <c:order val="8"/>
          <c:tx>
            <c:v>UK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5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6"/>
                <c:pt idx="0">
                  <c:v>0.30102347983142685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0.45153521974714028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1.2040939193257074</c:v>
                </c:pt>
                <c:pt idx="11">
                  <c:v>1.2040939193257074</c:v>
                </c:pt>
                <c:pt idx="12">
                  <c:v>1.3546056592414208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 formatCode="##0.0E+00">
                  <c:v>1.3546056592414208</c:v>
                </c:pt>
                <c:pt idx="24" formatCode="##0.0E+00">
                  <c:v>1.9566526189042746</c:v>
                </c:pt>
                <c:pt idx="25" formatCode="##0.0E+00">
                  <c:v>1.9566526189042746</c:v>
                </c:pt>
                <c:pt idx="26" formatCode="##0.0E+00">
                  <c:v>1.9566526189042746</c:v>
                </c:pt>
                <c:pt idx="27" formatCode="##0.0E+00">
                  <c:v>2.2576760987357014</c:v>
                </c:pt>
                <c:pt idx="28" formatCode="##0.0E+00">
                  <c:v>3.0102347983142685</c:v>
                </c:pt>
                <c:pt idx="29" formatCode="##0.0E+00">
                  <c:v>3.4617700180614088</c:v>
                </c:pt>
                <c:pt idx="30" formatCode="##0.0E+00">
                  <c:v>5.4184226369656834</c:v>
                </c:pt>
                <c:pt idx="31" formatCode="##0.0E+00">
                  <c:v>6.0204695966285371</c:v>
                </c:pt>
                <c:pt idx="32" formatCode="##0.0E+00">
                  <c:v>7.6760987357013848</c:v>
                </c:pt>
                <c:pt idx="33" formatCode="##0.0E+00">
                  <c:v>12.944009632751355</c:v>
                </c:pt>
                <c:pt idx="34" formatCode="##0.0E+00">
                  <c:v>17.459361830222758</c:v>
                </c:pt>
                <c:pt idx="35" formatCode="##0.0E+00">
                  <c:v>24.683925346177002</c:v>
                </c:pt>
                <c:pt idx="36" formatCode="##0.0E+00">
                  <c:v>31.155930162552679</c:v>
                </c:pt>
                <c:pt idx="37" formatCode="##0.0E+00">
                  <c:v>41.240216736905481</c:v>
                </c:pt>
                <c:pt idx="38" formatCode="##0.0E+00">
                  <c:v>48.464780252859725</c:v>
                </c:pt>
                <c:pt idx="39" formatCode="##0.0E+00">
                  <c:v>57.796508127633956</c:v>
                </c:pt>
                <c:pt idx="40" formatCode="##0.0E+00">
                  <c:v>69.084888621312459</c:v>
                </c:pt>
                <c:pt idx="41" formatCode="##0.0E+00">
                  <c:v>69.084888621312459</c:v>
                </c:pt>
                <c:pt idx="42" formatCode="##0.0E+00">
                  <c:v>120.71041541240217</c:v>
                </c:pt>
                <c:pt idx="43" formatCode="##0.0E+00">
                  <c:v>172.18543046357615</c:v>
                </c:pt>
                <c:pt idx="44" formatCode="##0.0E+00">
                  <c:v>172.33594220349187</c:v>
                </c:pt>
                <c:pt idx="45" formatCode="##0.0E+00">
                  <c:v>233.44370860927151</c:v>
                </c:pt>
                <c:pt idx="46" formatCode="##0.0E+00">
                  <c:v>295.0030102347983</c:v>
                </c:pt>
                <c:pt idx="47" formatCode="##0.0E+00">
                  <c:v>397.65201685731489</c:v>
                </c:pt>
                <c:pt idx="48" formatCode="##0.0E+00">
                  <c:v>408.78988561107764</c:v>
                </c:pt>
                <c:pt idx="49" formatCode="##0.0E+00">
                  <c:v>604.15412402167362</c:v>
                </c:pt>
                <c:pt idx="50" formatCode="##0.0E+00">
                  <c:v>762.64298615291989</c:v>
                </c:pt>
                <c:pt idx="51" formatCode="##0.0E+00">
                  <c:v>864.68994581577363</c:v>
                </c:pt>
                <c:pt idx="52" formatCode="##0.0E+00">
                  <c:v>1012.3419626730885</c:v>
                </c:pt>
                <c:pt idx="53" formatCode="##0.0E+00">
                  <c:v>1228.7778446718844</c:v>
                </c:pt>
                <c:pt idx="54">
                  <c:v>1259.0307043949429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6"/>
          <c:order val="9"/>
          <c:tx>
            <c:strRef>
              <c:f>myData!UKSeries</c:f>
              <c:strCache>
                <c:ptCount val="1"/>
                <c:pt idx="0">
                  <c:v>UK Limit 3.32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8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  <c:pt idx="55">
                  <c:v>43916</c:v>
                </c:pt>
                <c:pt idx="56">
                  <c:v>43917</c:v>
                </c:pt>
                <c:pt idx="57">
                  <c:v>43918</c:v>
                </c:pt>
                <c:pt idx="58">
                  <c:v>43919</c:v>
                </c:pt>
                <c:pt idx="59">
                  <c:v>43920</c:v>
                </c:pt>
                <c:pt idx="60">
                  <c:v>43921</c:v>
                </c:pt>
                <c:pt idx="61">
                  <c:v>43922</c:v>
                </c:pt>
                <c:pt idx="62">
                  <c:v>43923</c:v>
                </c:pt>
                <c:pt idx="63">
                  <c:v>43930</c:v>
                </c:pt>
                <c:pt idx="64">
                  <c:v>43937</c:v>
                </c:pt>
                <c:pt idx="65">
                  <c:v>43944</c:v>
                </c:pt>
                <c:pt idx="66">
                  <c:v>43951</c:v>
                </c:pt>
                <c:pt idx="67">
                  <c:v>43958</c:v>
                </c:pt>
                <c:pt idx="68">
                  <c:v>43965</c:v>
                </c:pt>
                <c:pt idx="69">
                  <c:v>43972</c:v>
                </c:pt>
                <c:pt idx="70">
                  <c:v>43979</c:v>
                </c:pt>
                <c:pt idx="71">
                  <c:v>43986</c:v>
                </c:pt>
                <c:pt idx="72">
                  <c:v>43993</c:v>
                </c:pt>
                <c:pt idx="73">
                  <c:v>44000</c:v>
                </c:pt>
                <c:pt idx="74">
                  <c:v>44007</c:v>
                </c:pt>
                <c:pt idx="75">
                  <c:v>44014</c:v>
                </c:pt>
                <c:pt idx="76">
                  <c:v>44021</c:v>
                </c:pt>
                <c:pt idx="77">
                  <c:v>44028</c:v>
                </c:pt>
                <c:pt idx="78">
                  <c:v>44035</c:v>
                </c:pt>
                <c:pt idx="79">
                  <c:v>44042</c:v>
                </c:pt>
                <c:pt idx="80">
                  <c:v>44049</c:v>
                </c:pt>
                <c:pt idx="81">
                  <c:v>44056</c:v>
                </c:pt>
                <c:pt idx="82">
                  <c:v>44063</c:v>
                </c:pt>
                <c:pt idx="83">
                  <c:v>44070</c:v>
                </c:pt>
                <c:pt idx="84">
                  <c:v>44077</c:v>
                </c:pt>
                <c:pt idx="85">
                  <c:v>44084</c:v>
                </c:pt>
                <c:pt idx="86">
                  <c:v>44091</c:v>
                </c:pt>
                <c:pt idx="87">
                  <c:v>44098</c:v>
                </c:pt>
                <c:pt idx="88">
                  <c:v>44105</c:v>
                </c:pt>
                <c:pt idx="89">
                  <c:v>44112</c:v>
                </c:pt>
                <c:pt idx="90">
                  <c:v>44119</c:v>
                </c:pt>
                <c:pt idx="91">
                  <c:v>44126</c:v>
                </c:pt>
                <c:pt idx="92">
                  <c:v>44133</c:v>
                </c:pt>
                <c:pt idx="93">
                  <c:v>44140</c:v>
                </c:pt>
                <c:pt idx="94">
                  <c:v>44147</c:v>
                </c:pt>
                <c:pt idx="95">
                  <c:v>44154</c:v>
                </c:pt>
                <c:pt idx="96">
                  <c:v>44161</c:v>
                </c:pt>
                <c:pt idx="97">
                  <c:v>44168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8"/>
                <c:pt idx="0">
                  <c:v>6.1566205033765746E-3</c:v>
                </c:pt>
                <c:pt idx="1">
                  <c:v>7.8059756004085204E-3</c:v>
                </c:pt>
                <c:pt idx="2">
                  <c:v>9.8971906616852675E-3</c:v>
                </c:pt>
                <c:pt idx="3">
                  <c:v>1.2548638563117543E-2</c:v>
                </c:pt>
                <c:pt idx="4">
                  <c:v>1.5910403409842084E-2</c:v>
                </c:pt>
                <c:pt idx="5">
                  <c:v>2.0172775447189463E-2</c:v>
                </c:pt>
                <c:pt idx="6">
                  <c:v>2.5577021437303199E-2</c:v>
                </c:pt>
                <c:pt idx="7">
                  <c:v>3.2429039903475496E-2</c:v>
                </c:pt>
                <c:pt idx="8">
                  <c:v>4.1116673784456242E-2</c:v>
                </c:pt>
                <c:pt idx="9">
                  <c:v>5.2131659814366647E-2</c:v>
                </c:pt>
                <c:pt idx="10" formatCode="0.0">
                  <c:v>6.6097455995953222E-2</c:v>
                </c:pt>
                <c:pt idx="11" formatCode="0.0">
                  <c:v>8.3804520604548099E-2</c:v>
                </c:pt>
                <c:pt idx="12" formatCode="0.0">
                  <c:v>0.10625503689183648</c:v>
                </c:pt>
                <c:pt idx="13" formatCode="0.0">
                  <c:v>0.13471961062314777</c:v>
                </c:pt>
                <c:pt idx="14" formatCode="0.0">
                  <c:v>0.17080914255449822</c:v>
                </c:pt>
                <c:pt idx="15" formatCode="0.0">
                  <c:v>0.21656593251040288</c:v>
                </c:pt>
                <c:pt idx="16" formatCode="0.0">
                  <c:v>0.27457915321618909</c:v>
                </c:pt>
                <c:pt idx="17" formatCode="0.0">
                  <c:v>0.34813120005371129</c:v>
                </c:pt>
                <c:pt idx="18" formatCode="0.0">
                  <c:v>0.44138315225921182</c:v>
                </c:pt>
                <c:pt idx="19" formatCode="0.0">
                  <c:v>0.55960976544087115</c:v>
                </c:pt>
                <c:pt idx="20" formatCode="0.0">
                  <c:v>0.70949717153696668</c:v>
                </c:pt>
                <c:pt idx="21" formatCode="0.0">
                  <c:v>0.89951993561137267</c:v>
                </c:pt>
                <c:pt idx="22" formatCode="0.0">
                  <c:v>1.1404184883522737</c:v>
                </c:pt>
                <c:pt idx="23" formatCode="0.0">
                  <c:v>1.4458034381536577</c:v>
                </c:pt>
                <c:pt idx="24" formatCode="0.0">
                  <c:v>1.832920132835222</c:v>
                </c:pt>
                <c:pt idx="25" formatCode="0.0">
                  <c:v>2.3236154051870783</c:v>
                </c:pt>
                <c:pt idx="26" formatCode="0.0">
                  <c:v>2.9455590683611428</c:v>
                </c:pt>
                <c:pt idx="27" formatCode="0.0">
                  <c:v>3.7337858446174472</c:v>
                </c:pt>
                <c:pt idx="28" formatCode="0.0">
                  <c:v>4.7326394631129212</c:v>
                </c:pt>
                <c:pt idx="29" formatCode="0.0">
                  <c:v>5.9982200904286014</c:v>
                </c:pt>
                <c:pt idx="30" formatCode="0.0">
                  <c:v>7.6014594182345325</c:v>
                </c:pt>
                <c:pt idx="31" formatCode="0.0">
                  <c:v>9.6319747602686032</c:v>
                </c:pt>
                <c:pt idx="32" formatCode="0.0">
                  <c:v>12.202884079503887</c:v>
                </c:pt>
                <c:pt idx="33" formatCode="0.0">
                  <c:v>15.45679679401545</c:v>
                </c:pt>
                <c:pt idx="34" formatCode="0.0">
                  <c:v>19.573227822104606</c:v>
                </c:pt>
                <c:pt idx="35" formatCode="0.0">
                  <c:v>24.777709460516412</c:v>
                </c:pt>
                <c:pt idx="36" formatCode="0.0">
                  <c:v>31.352888182102081</c:v>
                </c:pt>
                <c:pt idx="37" formatCode="0.0">
                  <c:v>39.651875926042379</c:v>
                </c:pt>
                <c:pt idx="38" formatCode="0.0">
                  <c:v>50.114053309519434</c:v>
                </c:pt>
                <c:pt idx="39" formatCode="0.0">
                  <c:v>63.283357601948261</c:v>
                </c:pt>
                <c:pt idx="40" formatCode="0.0">
                  <c:v>79.82877586660878</c:v>
                </c:pt>
                <c:pt idx="41" formatCode="0.0">
                  <c:v>100.56622682872283</c:v>
                </c:pt>
                <c:pt idx="42" formatCode="0.0">
                  <c:v>126.48015648212289</c:v>
                </c:pt>
                <c:pt idx="43" formatCode="0.0">
                  <c:v>158.74188491476767</c:v>
                </c:pt>
                <c:pt idx="44" formatCode="0.0">
                  <c:v>198.71994012076414</c:v>
                </c:pt>
                <c:pt idx="45" formatCode="0.0">
                  <c:v>247.97530525781394</c:v>
                </c:pt>
                <c:pt idx="46" formatCode="0.0">
                  <c:v>308.23191251322572</c:v>
                </c:pt>
                <c:pt idx="47" formatCode="0.0">
                  <c:v>381.31046677707235</c:v>
                </c:pt>
                <c:pt idx="48" formatCode="0.0">
                  <c:v>469.01301677942951</c:v>
                </c:pt>
                <c:pt idx="49" formatCode="0.0">
                  <c:v>572.94856442903642</c:v>
                </c:pt>
                <c:pt idx="50" formatCode="0.0">
                  <c:v>694.29879403286463</c:v>
                </c:pt>
                <c:pt idx="51" formatCode="0.0">
                  <c:v>833.53946697126901</c:v>
                </c:pt>
                <c:pt idx="52" formatCode="0.0">
                  <c:v>990.15629945730541</c:v>
                </c:pt>
                <c:pt idx="53" formatCode="0.0">
                  <c:v>1162.4183927275574</c:v>
                </c:pt>
                <c:pt idx="54" formatCode="0.0">
                  <c:v>1347.2859610385947</c:v>
                </c:pt>
                <c:pt idx="55" formatCode="0.0">
                  <c:v>1540.5184451728619</c:v>
                </c:pt>
                <c:pt idx="56" formatCode="0.0">
                  <c:v>1737.0068172227352</c:v>
                </c:pt>
                <c:pt idx="57" formatCode="0.0">
                  <c:v>1931.2886137081189</c:v>
                </c:pt>
                <c:pt idx="58" formatCode="0.0">
                  <c:v>2118.1418421623944</c:v>
                </c:pt>
                <c:pt idx="59" formatCode="0.0">
                  <c:v>2293.1249494569215</c:v>
                </c:pt>
                <c:pt idx="60" formatCode="0.0">
                  <c:v>2452.9499642069086</c:v>
                </c:pt>
                <c:pt idx="61" formatCode="0.0">
                  <c:v>2595.6340285139645</c:v>
                </c:pt>
                <c:pt idx="62" formatCode="0.000E+00">
                  <c:v>2720.4416709307866</c:v>
                </c:pt>
                <c:pt idx="63" formatCode="0.000E+00">
                  <c:v>3183.326420899582</c:v>
                </c:pt>
                <c:pt idx="64" formatCode="0.000E+00">
                  <c:v>3289.5888974440791</c:v>
                </c:pt>
                <c:pt idx="65" formatCode="0.000E+00">
                  <c:v>3310.5689342972182</c:v>
                </c:pt>
                <c:pt idx="66" formatCode="0.000E+00">
                  <c:v>3314.5822032518649</c:v>
                </c:pt>
                <c:pt idx="67" formatCode="0.000E+00">
                  <c:v>3315.3452115095006</c:v>
                </c:pt>
                <c:pt idx="68" formatCode="0.000E+00">
                  <c:v>3315.4901063869984</c:v>
                </c:pt>
                <c:pt idx="69" formatCode="0.000E+00">
                  <c:v>3315.517615745774</c:v>
                </c:pt>
                <c:pt idx="70" formatCode="0.000E+00">
                  <c:v>3315.5228383799545</c:v>
                </c:pt>
                <c:pt idx="71" formatCode="0.000E+00">
                  <c:v>3315.5238298857857</c:v>
                </c:pt>
                <c:pt idx="72" formatCode="0.000E+00">
                  <c:v>3315.5240181207428</c:v>
                </c:pt>
                <c:pt idx="73" formatCode="0.000E+00">
                  <c:v>3315.5240538566786</c:v>
                </c:pt>
                <c:pt idx="74" formatCode="0.000E+00">
                  <c:v>3315.5240606410562</c:v>
                </c:pt>
                <c:pt idx="75" formatCode="0.000E+00">
                  <c:v>3315.5240619290535</c:v>
                </c:pt>
                <c:pt idx="76" formatCode="0.000E+00">
                  <c:v>3315.5240621735761</c:v>
                </c:pt>
                <c:pt idx="77" formatCode="0.000E+00">
                  <c:v>3315.5240622199981</c:v>
                </c:pt>
                <c:pt idx="78" formatCode="0.000E+00">
                  <c:v>3315.5240622288111</c:v>
                </c:pt>
                <c:pt idx="79" formatCode="0.000E+00">
                  <c:v>3315.5240622304846</c:v>
                </c:pt>
                <c:pt idx="80" formatCode="0.000E+00">
                  <c:v>3315.524062230802</c:v>
                </c:pt>
                <c:pt idx="81" formatCode="0.000E+00">
                  <c:v>3315.524062230862</c:v>
                </c:pt>
                <c:pt idx="82" formatCode="0.000E+00">
                  <c:v>3315.5240622308738</c:v>
                </c:pt>
                <c:pt idx="83" formatCode="0.000E+00">
                  <c:v>3315.5240622308756</c:v>
                </c:pt>
                <c:pt idx="84" formatCode="0.000E+00">
                  <c:v>3315.5240622308766</c:v>
                </c:pt>
                <c:pt idx="85" formatCode="0.000E+00">
                  <c:v>3315.5240622308766</c:v>
                </c:pt>
                <c:pt idx="86" formatCode="0.000E+00">
                  <c:v>3315.5240622308766</c:v>
                </c:pt>
                <c:pt idx="87" formatCode="0.000E+00">
                  <c:v>3315.5240622308766</c:v>
                </c:pt>
                <c:pt idx="88" formatCode="0.000E+00">
                  <c:v>3315.5240622308766</c:v>
                </c:pt>
                <c:pt idx="89" formatCode="0.000E+00">
                  <c:v>3315.5240622308766</c:v>
                </c:pt>
                <c:pt idx="90" formatCode="0.000E+00">
                  <c:v>3315.5240622308766</c:v>
                </c:pt>
                <c:pt idx="91" formatCode="0.000E+00">
                  <c:v>3315.5240622308766</c:v>
                </c:pt>
                <c:pt idx="92" formatCode="0.000E+00">
                  <c:v>3315.5240622308766</c:v>
                </c:pt>
                <c:pt idx="93" formatCode="0.000E+00">
                  <c:v>3315.5240622308766</c:v>
                </c:pt>
                <c:pt idx="94" formatCode="0.000E+00">
                  <c:v>3315.5240622308766</c:v>
                </c:pt>
                <c:pt idx="95" formatCode="0.000E+00">
                  <c:v>3315.5240622308766</c:v>
                </c:pt>
                <c:pt idx="96" formatCode="0.000E+00">
                  <c:v>3315.5240622308766</c:v>
                </c:pt>
                <c:pt idx="97" formatCode="0.000E+00">
                  <c:v>3315.5240622308766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062712"/>
        <c:axId val="634054088"/>
      </c:scatterChart>
      <c:valAx>
        <c:axId val="634062712"/>
        <c:scaling>
          <c:orientation val="minMax"/>
          <c:max val="43952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54088"/>
        <c:crossesAt val="1.0000000000000002E-2"/>
        <c:crossBetween val="midCat"/>
        <c:majorUnit val="7"/>
        <c:minorUnit val="1"/>
      </c:valAx>
      <c:valAx>
        <c:axId val="634054088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6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089354390468662"/>
          <c:y val="0.67728075969062929"/>
          <c:w val="0.40090796657555433"/>
          <c:h val="0.2160644258417659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myData!$CX$12</c:f>
          <c:strCache>
            <c:ptCount val="1"/>
            <c:pt idx="0">
              <c:v>COVID19 NSW P(t) = b / {d+[( b/Po - d ) ]* exp(-b*t)}
b=0.209, d=2.17E-05, P0=.004 Limit=11.9 k=&gt;9.60 k cases 
 26-Mar,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61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61"/>
                <c:pt idx="0">
                  <c:v>3.7128712871287126</c:v>
                </c:pt>
                <c:pt idx="1">
                  <c:v>4.9504950495049505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7.4257425742574252</c:v>
                </c:pt>
                <c:pt idx="36">
                  <c:v>7.4257425742574252</c:v>
                </c:pt>
                <c:pt idx="37">
                  <c:v>16.089108910891088</c:v>
                </c:pt>
                <c:pt idx="38">
                  <c:v>27.227722772277225</c:v>
                </c:pt>
                <c:pt idx="39">
                  <c:v>27.227722772277225</c:v>
                </c:pt>
                <c:pt idx="40">
                  <c:v>32.178217821782177</c:v>
                </c:pt>
                <c:pt idx="41">
                  <c:v>34.653465346534652</c:v>
                </c:pt>
                <c:pt idx="42">
                  <c:v>47.029702970297024</c:v>
                </c:pt>
                <c:pt idx="43">
                  <c:v>59.405940594059402</c:v>
                </c:pt>
                <c:pt idx="44">
                  <c:v>68.06930693069306</c:v>
                </c:pt>
                <c:pt idx="45">
                  <c:v>80.445544554455438</c:v>
                </c:pt>
                <c:pt idx="46">
                  <c:v>80.445544554455438</c:v>
                </c:pt>
                <c:pt idx="47">
                  <c:v>113.86138613861385</c:v>
                </c:pt>
                <c:pt idx="48">
                  <c:v>138.61386138613861</c:v>
                </c:pt>
                <c:pt idx="49">
                  <c:v>165.84158415841583</c:v>
                </c:pt>
                <c:pt idx="50">
                  <c:v>211.63366336633663</c:v>
                </c:pt>
                <c:pt idx="51">
                  <c:v>259.9009900990099</c:v>
                </c:pt>
                <c:pt idx="52">
                  <c:v>330.44554455445541</c:v>
                </c:pt>
                <c:pt idx="53">
                  <c:v>379.95049504950492</c:v>
                </c:pt>
                <c:pt idx="54">
                  <c:v>436.88118811881185</c:v>
                </c:pt>
                <c:pt idx="55">
                  <c:v>539.60396039603961</c:v>
                </c:pt>
                <c:pt idx="56">
                  <c:v>827.97029702970292</c:v>
                </c:pt>
                <c:pt idx="57">
                  <c:v>827.97029702970292</c:v>
                </c:pt>
                <c:pt idx="58">
                  <c:v>1012.3762376237623</c:v>
                </c:pt>
                <c:pt idx="59">
                  <c:v>1273.5148514851485</c:v>
                </c:pt>
                <c:pt idx="60">
                  <c:v>1508.6633663366335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myData!NSWSeries</c:f>
              <c:strCache>
                <c:ptCount val="1"/>
                <c:pt idx="0">
                  <c:v>NSW Limit 11.9 k</c:v>
                </c:pt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43922</c:v>
                </c:pt>
                <c:pt idx="67">
                  <c:v>43923</c:v>
                </c:pt>
                <c:pt idx="68">
                  <c:v>43930</c:v>
                </c:pt>
                <c:pt idx="69">
                  <c:v>43937</c:v>
                </c:pt>
                <c:pt idx="70">
                  <c:v>43944</c:v>
                </c:pt>
                <c:pt idx="71">
                  <c:v>43951</c:v>
                </c:pt>
                <c:pt idx="72">
                  <c:v>43958</c:v>
                </c:pt>
                <c:pt idx="73">
                  <c:v>43965</c:v>
                </c:pt>
                <c:pt idx="74">
                  <c:v>43972</c:v>
                </c:pt>
                <c:pt idx="75">
                  <c:v>43979</c:v>
                </c:pt>
                <c:pt idx="76">
                  <c:v>43986</c:v>
                </c:pt>
                <c:pt idx="77">
                  <c:v>43993</c:v>
                </c:pt>
                <c:pt idx="78">
                  <c:v>44000</c:v>
                </c:pt>
                <c:pt idx="79">
                  <c:v>44007</c:v>
                </c:pt>
                <c:pt idx="80">
                  <c:v>44014</c:v>
                </c:pt>
                <c:pt idx="81">
                  <c:v>44021</c:v>
                </c:pt>
                <c:pt idx="82">
                  <c:v>44028</c:v>
                </c:pt>
                <c:pt idx="83">
                  <c:v>44035</c:v>
                </c:pt>
                <c:pt idx="84">
                  <c:v>44042</c:v>
                </c:pt>
                <c:pt idx="85">
                  <c:v>44049</c:v>
                </c:pt>
                <c:pt idx="86">
                  <c:v>44056</c:v>
                </c:pt>
                <c:pt idx="87">
                  <c:v>44063</c:v>
                </c:pt>
                <c:pt idx="88">
                  <c:v>44070</c:v>
                </c:pt>
                <c:pt idx="89">
                  <c:v>44077</c:v>
                </c:pt>
                <c:pt idx="90">
                  <c:v>44084</c:v>
                </c:pt>
                <c:pt idx="91">
                  <c:v>44091</c:v>
                </c:pt>
                <c:pt idx="92">
                  <c:v>44098</c:v>
                </c:pt>
                <c:pt idx="93">
                  <c:v>44105</c:v>
                </c:pt>
                <c:pt idx="94">
                  <c:v>44112</c:v>
                </c:pt>
                <c:pt idx="95">
                  <c:v>44119</c:v>
                </c:pt>
                <c:pt idx="96">
                  <c:v>44126</c:v>
                </c:pt>
                <c:pt idx="97">
                  <c:v>44133</c:v>
                </c:pt>
                <c:pt idx="98">
                  <c:v>44140</c:v>
                </c:pt>
                <c:pt idx="99">
                  <c:v>44147</c:v>
                </c:pt>
                <c:pt idx="100">
                  <c:v>44154</c:v>
                </c:pt>
                <c:pt idx="101">
                  <c:v>44161</c:v>
                </c:pt>
                <c:pt idx="102">
                  <c:v>44168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3"/>
                <c:pt idx="0">
                  <c:v>6.3712984807301754E-3</c:v>
                </c:pt>
                <c:pt idx="1">
                  <c:v>7.8487840642898453E-3</c:v>
                </c:pt>
                <c:pt idx="2">
                  <c:v>9.6688939778353522E-3</c:v>
                </c:pt>
                <c:pt idx="3">
                  <c:v>1.1911081597819484E-2</c:v>
                </c:pt>
                <c:pt idx="4">
                  <c:v>1.4673225184410197E-2</c:v>
                </c:pt>
                <c:pt idx="5">
                  <c:v>1.807590049120817E-2</c:v>
                </c:pt>
                <c:pt idx="6">
                  <c:v>2.226764414513269E-2</c:v>
                </c:pt>
                <c:pt idx="7">
                  <c:v>2.743143753458533E-2</c:v>
                </c:pt>
                <c:pt idx="8">
                  <c:v>3.3792694209925055E-2</c:v>
                </c:pt>
                <c:pt idx="9">
                  <c:v>4.1629099413407263E-2</c:v>
                </c:pt>
                <c:pt idx="10">
                  <c:v>5.1282731176733508E-2</c:v>
                </c:pt>
                <c:pt idx="11">
                  <c:v>6.3174991975944172E-2</c:v>
                </c:pt>
                <c:pt idx="12">
                  <c:v>7.7825002553146866E-2</c:v>
                </c:pt>
                <c:pt idx="13">
                  <c:v>9.5872260542864726E-2</c:v>
                </c:pt>
                <c:pt idx="14">
                  <c:v>0.11810455255167786</c:v>
                </c:pt>
                <c:pt idx="15">
                  <c:v>0.14549233742475587</c:v>
                </c:pt>
                <c:pt idx="16">
                  <c:v>0.17923110054882554</c:v>
                </c:pt>
                <c:pt idx="17">
                  <c:v>0.22079352643764122</c:v>
                </c:pt>
                <c:pt idx="18">
                  <c:v>0.27199376458837904</c:v>
                </c:pt>
                <c:pt idx="19">
                  <c:v>0.3350665902065712</c:v>
                </c:pt>
                <c:pt idx="20">
                  <c:v>0.41276490963182538</c:v>
                </c:pt>
                <c:pt idx="21">
                  <c:v>0.508479858105782</c:v>
                </c:pt>
                <c:pt idx="22">
                  <c:v>0.62638871920597339</c:v>
                </c:pt>
                <c:pt idx="23">
                  <c:v>0.77163710287616338</c:v>
                </c:pt>
                <c:pt idx="24">
                  <c:v>0.95056330401493339</c:v>
                </c:pt>
                <c:pt idx="25">
                  <c:v>1.1709745890210341</c:v>
                </c:pt>
                <c:pt idx="26">
                  <c:v>1.4424874004241792</c:v>
                </c:pt>
                <c:pt idx="27">
                  <c:v>1.7769462234123128</c:v>
                </c:pt>
                <c:pt idx="28">
                  <c:v>2.1889392364740052</c:v>
                </c:pt>
                <c:pt idx="29">
                  <c:v>2.6964330092326785</c:v>
                </c:pt>
                <c:pt idx="30">
                  <c:v>3.3215535798391</c:v>
                </c:pt>
                <c:pt idx="31">
                  <c:v>4.0915474409086281</c:v>
                </c:pt>
                <c:pt idx="32">
                  <c:v>5.0399635235325233</c:v>
                </c:pt>
                <c:pt idx="33">
                  <c:v>6.208106472073557</c:v>
                </c:pt>
                <c:pt idx="34">
                  <c:v>7.6468226723816715</c:v>
                </c:pt>
                <c:pt idx="35">
                  <c:v>9.4186940029785617</c:v>
                </c:pt>
                <c:pt idx="36">
                  <c:v>11.600730535048687</c:v>
                </c:pt>
                <c:pt idx="37">
                  <c:v>14.287672855037508</c:v>
                </c:pt>
                <c:pt idx="38">
                  <c:v>17.596037769575929</c:v>
                </c:pt>
                <c:pt idx="39">
                  <c:v>21.669068278614812</c:v>
                </c:pt>
                <c:pt idx="40">
                  <c:v>26.682780144797977</c:v>
                </c:pt>
                <c:pt idx="41">
                  <c:v>32.853333158594644</c:v>
                </c:pt>
                <c:pt idx="42">
                  <c:v>40.445994834390724</c:v>
                </c:pt>
                <c:pt idx="43">
                  <c:v>49.786006493631319</c:v>
                </c:pt>
                <c:pt idx="44">
                  <c:v>61.271703896265599</c:v>
                </c:pt>
                <c:pt idx="45">
                  <c:v>75.390282094892427</c:v>
                </c:pt>
                <c:pt idx="46">
                  <c:v>92.736619165176265</c:v>
                </c:pt>
                <c:pt idx="47">
                  <c:v>114.03557336852663</c:v>
                </c:pt>
                <c:pt idx="48">
                  <c:v>140.16812379875256</c:v>
                </c:pt>
                <c:pt idx="49">
                  <c:v>172.20160683402094</c:v>
                </c:pt>
                <c:pt idx="50">
                  <c:v>211.42406819814897</c:v>
                </c:pt>
                <c:pt idx="51">
                  <c:v>259.38234538965673</c:v>
                </c:pt>
                <c:pt idx="52">
                  <c:v>317.92284106745399</c:v>
                </c:pt>
                <c:pt idx="53">
                  <c:v>389.23294933643001</c:v>
                </c:pt>
                <c:pt idx="54">
                  <c:v>475.87964623656359</c:v>
                </c:pt>
                <c:pt idx="55">
                  <c:v>580.83975269771838</c:v>
                </c:pt>
                <c:pt idx="56">
                  <c:v>707.51377059479773</c:v>
                </c:pt>
                <c:pt idx="57">
                  <c:v>859.71205066950142</c:v>
                </c:pt>
                <c:pt idx="58">
                  <c:v>1041.5986850414913</c:v>
                </c:pt>
                <c:pt idx="59">
                  <c:v>1257.5756347546417</c:v>
                </c:pt>
                <c:pt idx="60">
                  <c:v>1512.0884766621496</c:v>
                </c:pt>
                <c:pt idx="61">
                  <c:v>1809.3377049792223</c:v>
                </c:pt>
                <c:pt idx="62">
                  <c:v>2152.8881502544336</c:v>
                </c:pt>
                <c:pt idx="63">
                  <c:v>2545.1859962546355</c:v>
                </c:pt>
                <c:pt idx="64">
                  <c:v>2987.0187662352032</c:v>
                </c:pt>
                <c:pt idx="65">
                  <c:v>3476.9857623387938</c:v>
                </c:pt>
                <c:pt idx="66">
                  <c:v>4011.0769128489947</c:v>
                </c:pt>
                <c:pt idx="67">
                  <c:v>4582.4739601766814</c:v>
                </c:pt>
                <c:pt idx="68">
                  <c:v>8672.7236910020129</c:v>
                </c:pt>
                <c:pt idx="69" formatCode="0.00E+00">
                  <c:v>10940.930780631754</c:v>
                </c:pt>
                <c:pt idx="70" formatCode="0.00E+00">
                  <c:v>11648.511933451053</c:v>
                </c:pt>
                <c:pt idx="71" formatCode="0.00E+00">
                  <c:v>11826.153299668858</c:v>
                </c:pt>
                <c:pt idx="72" formatCode="0.00E+00">
                  <c:v>11868.190790849338</c:v>
                </c:pt>
                <c:pt idx="73" formatCode="0.00E+00">
                  <c:v>11877.99731544269</c:v>
                </c:pt>
                <c:pt idx="74" formatCode="0.00E+00">
                  <c:v>11880.277320420282</c:v>
                </c:pt>
                <c:pt idx="75" formatCode="0.00E+00">
                  <c:v>11880.807004753402</c:v>
                </c:pt>
                <c:pt idx="76" formatCode="0.00E+00">
                  <c:v>11880.930037183418</c:v>
                </c:pt>
                <c:pt idx="77" formatCode="0.00E+00">
                  <c:v>11880.958613336119</c:v>
                </c:pt>
                <c:pt idx="78" formatCode="0.00E+00">
                  <c:v>11880.965250517091</c:v>
                </c:pt>
                <c:pt idx="79" formatCode="0.00E+00">
                  <c:v>11880.966792084682</c:v>
                </c:pt>
                <c:pt idx="80" formatCode="0.00E+00">
                  <c:v>11880.967150132688</c:v>
                </c:pt>
                <c:pt idx="81" formatCode="0.00E+00">
                  <c:v>11880.967233293723</c:v>
                </c:pt>
                <c:pt idx="82" formatCode="0.00E+00">
                  <c:v>11880.967252608893</c:v>
                </c:pt>
                <c:pt idx="83" formatCode="0.00E+00">
                  <c:v>11880.967257095075</c:v>
                </c:pt>
                <c:pt idx="84" formatCode="0.00E+00">
                  <c:v>11880.967258137045</c:v>
                </c:pt>
                <c:pt idx="85" formatCode="0.00E+00">
                  <c:v>11880.967258379056</c:v>
                </c:pt>
                <c:pt idx="86" formatCode="0.00E+00">
                  <c:v>11880.967258435265</c:v>
                </c:pt>
                <c:pt idx="87" formatCode="0.00E+00">
                  <c:v>11880.96725844832</c:v>
                </c:pt>
                <c:pt idx="88" formatCode="0.00E+00">
                  <c:v>11880.967258451356</c:v>
                </c:pt>
                <c:pt idx="89" formatCode="0.00E+00">
                  <c:v>11880.967258452059</c:v>
                </c:pt>
                <c:pt idx="90" formatCode="0.00E+00">
                  <c:v>11880.967258452221</c:v>
                </c:pt>
                <c:pt idx="91" formatCode="0.00E+00">
                  <c:v>11880.96725845226</c:v>
                </c:pt>
                <c:pt idx="92" formatCode="0.00E+00">
                  <c:v>11880.967258452269</c:v>
                </c:pt>
                <c:pt idx="93" formatCode="0.00E+00">
                  <c:v>11880.96725845227</c:v>
                </c:pt>
                <c:pt idx="94" formatCode="0.00E+00">
                  <c:v>11880.96725845227</c:v>
                </c:pt>
                <c:pt idx="95" formatCode="0.00E+00">
                  <c:v>11880.96725845227</c:v>
                </c:pt>
                <c:pt idx="96" formatCode="0.00E+00">
                  <c:v>11880.96725845227</c:v>
                </c:pt>
                <c:pt idx="97" formatCode="0.00E+00">
                  <c:v>11880.96725845227</c:v>
                </c:pt>
                <c:pt idx="98" formatCode="0.00E+00">
                  <c:v>11880.96725845227</c:v>
                </c:pt>
                <c:pt idx="99" formatCode="0.00E+00">
                  <c:v>11880.96725845227</c:v>
                </c:pt>
                <c:pt idx="100" formatCode="0.00E+00">
                  <c:v>11880.96725845227</c:v>
                </c:pt>
                <c:pt idx="101" formatCode="0.00E+00">
                  <c:v>11880.96725845227</c:v>
                </c:pt>
                <c:pt idx="102" formatCode="0.00E+00">
                  <c:v>11880.96725845227</c:v>
                </c:pt>
              </c:numCache>
            </c:numRef>
          </c:yVal>
          <c:smooth val="0"/>
        </c:ser>
        <c:ser>
          <c:idx val="3"/>
          <c:order val="2"/>
          <c:tx>
            <c:v>Au Confirmed Cases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61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61"/>
                <c:pt idx="0">
                  <c:v>1.5770383220312254</c:v>
                </c:pt>
                <c:pt idx="1">
                  <c:v>1.9712979025390318</c:v>
                </c:pt>
                <c:pt idx="2">
                  <c:v>1.9712979025390318</c:v>
                </c:pt>
                <c:pt idx="3">
                  <c:v>2.365557483046838</c:v>
                </c:pt>
                <c:pt idx="4">
                  <c:v>3.548336224570257</c:v>
                </c:pt>
                <c:pt idx="5">
                  <c:v>3.548336224570257</c:v>
                </c:pt>
                <c:pt idx="6">
                  <c:v>4.731114966093676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5.1253745466014822</c:v>
                </c:pt>
                <c:pt idx="10">
                  <c:v>5.1253745466014822</c:v>
                </c:pt>
                <c:pt idx="11">
                  <c:v>5.5196341271092884</c:v>
                </c:pt>
                <c:pt idx="12">
                  <c:v>5.9138937076170954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9.856489512695159</c:v>
                </c:pt>
                <c:pt idx="35">
                  <c:v>10.645008673710771</c:v>
                </c:pt>
                <c:pt idx="36">
                  <c:v>11.827787415234191</c:v>
                </c:pt>
                <c:pt idx="37">
                  <c:v>15.376123639804447</c:v>
                </c:pt>
                <c:pt idx="38">
                  <c:v>20.501498186405929</c:v>
                </c:pt>
                <c:pt idx="39">
                  <c:v>21.68427692792935</c:v>
                </c:pt>
                <c:pt idx="40">
                  <c:v>23.655574830468382</c:v>
                </c:pt>
                <c:pt idx="41">
                  <c:v>24.838353571991799</c:v>
                </c:pt>
                <c:pt idx="42">
                  <c:v>29.963728118593281</c:v>
                </c:pt>
                <c:pt idx="43">
                  <c:v>35.87762182621038</c:v>
                </c:pt>
                <c:pt idx="44">
                  <c:v>42.185775114335279</c:v>
                </c:pt>
                <c:pt idx="45">
                  <c:v>50.465226304999213</c:v>
                </c:pt>
                <c:pt idx="46">
                  <c:v>50.465226304999213</c:v>
                </c:pt>
                <c:pt idx="47">
                  <c:v>78.851916101561272</c:v>
                </c:pt>
                <c:pt idx="48">
                  <c:v>98.564895126951583</c:v>
                </c:pt>
                <c:pt idx="49">
                  <c:v>117.09509541081849</c:v>
                </c:pt>
                <c:pt idx="50">
                  <c:v>148.635861851443</c:v>
                </c:pt>
                <c:pt idx="51">
                  <c:v>178.20533038952846</c:v>
                </c:pt>
                <c:pt idx="52">
                  <c:v>223.93944172843399</c:v>
                </c:pt>
                <c:pt idx="53">
                  <c:v>268.49077432581612</c:v>
                </c:pt>
                <c:pt idx="54">
                  <c:v>311.85932818167481</c:v>
                </c:pt>
                <c:pt idx="55">
                  <c:v>422.25201072386056</c:v>
                </c:pt>
                <c:pt idx="56">
                  <c:v>610.70809020659203</c:v>
                </c:pt>
                <c:pt idx="57">
                  <c:v>663.14461441413027</c:v>
                </c:pt>
                <c:pt idx="58">
                  <c:v>805.86658255795612</c:v>
                </c:pt>
                <c:pt idx="59">
                  <c:v>958.44504021447722</c:v>
                </c:pt>
                <c:pt idx="60">
                  <c:v>1106.2923829049046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myData!AuSeries</c:f>
              <c:strCache>
                <c:ptCount val="1"/>
                <c:pt idx="0">
                  <c:v>Australia Limit 2.77 k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43922</c:v>
                </c:pt>
                <c:pt idx="67">
                  <c:v>43923</c:v>
                </c:pt>
                <c:pt idx="68">
                  <c:v>43930</c:v>
                </c:pt>
                <c:pt idx="69">
                  <c:v>43937</c:v>
                </c:pt>
                <c:pt idx="70">
                  <c:v>43944</c:v>
                </c:pt>
                <c:pt idx="71">
                  <c:v>43951</c:v>
                </c:pt>
                <c:pt idx="72">
                  <c:v>43958</c:v>
                </c:pt>
                <c:pt idx="73">
                  <c:v>43965</c:v>
                </c:pt>
                <c:pt idx="74">
                  <c:v>43972</c:v>
                </c:pt>
                <c:pt idx="75">
                  <c:v>43979</c:v>
                </c:pt>
                <c:pt idx="76">
                  <c:v>43986</c:v>
                </c:pt>
                <c:pt idx="77">
                  <c:v>43993</c:v>
                </c:pt>
                <c:pt idx="78">
                  <c:v>44000</c:v>
                </c:pt>
                <c:pt idx="79">
                  <c:v>44007</c:v>
                </c:pt>
                <c:pt idx="80">
                  <c:v>44014</c:v>
                </c:pt>
                <c:pt idx="81">
                  <c:v>44021</c:v>
                </c:pt>
                <c:pt idx="82">
                  <c:v>44028</c:v>
                </c:pt>
                <c:pt idx="83">
                  <c:v>44035</c:v>
                </c:pt>
                <c:pt idx="84">
                  <c:v>44042</c:v>
                </c:pt>
                <c:pt idx="85">
                  <c:v>44049</c:v>
                </c:pt>
                <c:pt idx="86">
                  <c:v>44056</c:v>
                </c:pt>
                <c:pt idx="87">
                  <c:v>44063</c:v>
                </c:pt>
                <c:pt idx="88">
                  <c:v>44070</c:v>
                </c:pt>
                <c:pt idx="89">
                  <c:v>44077</c:v>
                </c:pt>
                <c:pt idx="90">
                  <c:v>44084</c:v>
                </c:pt>
                <c:pt idx="91">
                  <c:v>44091</c:v>
                </c:pt>
                <c:pt idx="92">
                  <c:v>44098</c:v>
                </c:pt>
                <c:pt idx="93">
                  <c:v>44105</c:v>
                </c:pt>
                <c:pt idx="94">
                  <c:v>44112</c:v>
                </c:pt>
                <c:pt idx="95">
                  <c:v>44119</c:v>
                </c:pt>
                <c:pt idx="96">
                  <c:v>44126</c:v>
                </c:pt>
                <c:pt idx="97">
                  <c:v>44133</c:v>
                </c:pt>
                <c:pt idx="98">
                  <c:v>44140</c:v>
                </c:pt>
                <c:pt idx="99">
                  <c:v>44147</c:v>
                </c:pt>
                <c:pt idx="100">
                  <c:v>44154</c:v>
                </c:pt>
                <c:pt idx="101">
                  <c:v>44161</c:v>
                </c:pt>
                <c:pt idx="102">
                  <c:v>44168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3"/>
                <c:pt idx="0">
                  <c:v>5.0724640332058433E-4</c:v>
                </c:pt>
                <c:pt idx="1">
                  <c:v>6.5261295704497984E-4</c:v>
                </c:pt>
                <c:pt idx="2">
                  <c:v>8.3963861058294887E-4</c:v>
                </c:pt>
                <c:pt idx="3">
                  <c:v>1.0802620069837428E-3</c:v>
                </c:pt>
                <c:pt idx="4">
                  <c:v>1.3898431539671296E-3</c:v>
                </c:pt>
                <c:pt idx="5">
                  <c:v>1.7881439117228826E-3</c:v>
                </c:pt>
                <c:pt idx="6">
                  <c:v>2.3005894646051027E-3</c:v>
                </c:pt>
                <c:pt idx="7">
                  <c:v>2.9598912983305908E-3</c:v>
                </c:pt>
                <c:pt idx="8">
                  <c:v>3.8081352783853602E-3</c:v>
                </c:pt>
                <c:pt idx="9">
                  <c:v>4.8994681108457941E-3</c:v>
                </c:pt>
                <c:pt idx="10">
                  <c:v>6.3035536576652668E-3</c:v>
                </c:pt>
                <c:pt idx="11">
                  <c:v>8.1100197108614873E-3</c:v>
                </c:pt>
                <c:pt idx="12">
                  <c:v>1.0434179037502116E-2</c:v>
                </c:pt>
                <c:pt idx="13">
                  <c:v>1.3424389820104337E-2</c:v>
                </c:pt>
                <c:pt idx="14">
                  <c:v>1.7271525217921E-2</c:v>
                </c:pt>
                <c:pt idx="15">
                  <c:v>2.2221156328026292E-2</c:v>
                </c:pt>
                <c:pt idx="16">
                  <c:v>2.8589225899276274E-2</c:v>
                </c:pt>
                <c:pt idx="17">
                  <c:v>3.6782212760433794E-2</c:v>
                </c:pt>
                <c:pt idx="18">
                  <c:v>4.7323073218550608E-2</c:v>
                </c:pt>
                <c:pt idx="19">
                  <c:v>6.0884613845345402E-2</c:v>
                </c:pt>
                <c:pt idx="20">
                  <c:v>7.8332423441616839E-2</c:v>
                </c:pt>
                <c:pt idx="21">
                  <c:v>0.10078010050936008</c:v>
                </c:pt>
                <c:pt idx="22">
                  <c:v>0.12966029468244686</c:v>
                </c:pt>
                <c:pt idx="23">
                  <c:v>0.16681608548162749</c:v>
                </c:pt>
                <c:pt idx="24">
                  <c:v>0.21461851243481017</c:v>
                </c:pt>
                <c:pt idx="25">
                  <c:v>0.2761177274736949</c:v>
                </c:pt>
                <c:pt idx="26">
                  <c:v>0.35523736611443679</c:v>
                </c:pt>
                <c:pt idx="27">
                  <c:v>0.45702445859083923</c:v>
                </c:pt>
                <c:pt idx="28">
                  <c:v>0.58797069091678611</c:v>
                </c:pt>
                <c:pt idx="29">
                  <c:v>0.75642528689674537</c:v>
                </c:pt>
                <c:pt idx="30">
                  <c:v>0.97312547598958987</c:v>
                </c:pt>
                <c:pt idx="31">
                  <c:v>1.2518777622291846</c:v>
                </c:pt>
                <c:pt idx="32">
                  <c:v>1.610432413079818</c:v>
                </c:pt>
                <c:pt idx="33">
                  <c:v>2.0716052230629085</c:v>
                </c:pt>
                <c:pt idx="34">
                  <c:v>2.6647152390934514</c:v>
                </c:pt>
                <c:pt idx="35">
                  <c:v>3.4274254024044599</c:v>
                </c:pt>
                <c:pt idx="36">
                  <c:v>4.4080956484798808</c:v>
                </c:pt>
                <c:pt idx="37">
                  <c:v>5.6687855614291793</c:v>
                </c:pt>
                <c:pt idx="38">
                  <c:v>7.2890766680813721</c:v>
                </c:pt>
                <c:pt idx="39">
                  <c:v>9.3709228807780303</c:v>
                </c:pt>
                <c:pt idx="40">
                  <c:v>12.04478050193581</c:v>
                </c:pt>
                <c:pt idx="41">
                  <c:v>15.477313848034909</c:v>
                </c:pt>
                <c:pt idx="42">
                  <c:v>19.881013054070113</c:v>
                </c:pt>
                <c:pt idx="43">
                  <c:v>25.52608581506642</c:v>
                </c:pt>
                <c:pt idx="44">
                  <c:v>32.75497500137277</c:v>
                </c:pt>
                <c:pt idx="45">
                  <c:v>41.999776300252975</c:v>
                </c:pt>
                <c:pt idx="46">
                  <c:v>53.802631808571974</c:v>
                </c:pt>
                <c:pt idx="47">
                  <c:v>68.838777443638222</c:v>
                </c:pt>
                <c:pt idx="48">
                  <c:v>87.941211500002069</c:v>
                </c:pt>
                <c:pt idx="49">
                  <c:v>112.12478287547087</c:v>
                </c:pt>
                <c:pt idx="50">
                  <c:v>142.60570970733662</c:v>
                </c:pt>
                <c:pt idx="51">
                  <c:v>180.81001390718257</c:v>
                </c:pt>
                <c:pt idx="52">
                  <c:v>228.36114522065824</c:v>
                </c:pt>
                <c:pt idx="53">
                  <c:v>287.03361950973061</c:v>
                </c:pt>
                <c:pt idx="54">
                  <c:v>358.65698947902229</c:v>
                </c:pt>
                <c:pt idx="55">
                  <c:v>444.95513627475549</c:v>
                </c:pt>
                <c:pt idx="56">
                  <c:v>547.31299502011814</c:v>
                </c:pt>
                <c:pt idx="57">
                  <c:v>666.4797749259418</c:v>
                </c:pt>
                <c:pt idx="58">
                  <c:v>802.24544434231291</c:v>
                </c:pt>
                <c:pt idx="59">
                  <c:v>953.16038448109271</c:v>
                </c:pt>
                <c:pt idx="60">
                  <c:v>1116.3922969296002</c:v>
                </c:pt>
                <c:pt idx="61">
                  <c:v>1287.8093026075937</c:v>
                </c:pt>
                <c:pt idx="62">
                  <c:v>1462.3294454877762</c:v>
                </c:pt>
                <c:pt idx="63">
                  <c:v>1634.4926046839259</c:v>
                </c:pt>
                <c:pt idx="64">
                  <c:v>1799.1267947492811</c:v>
                </c:pt>
                <c:pt idx="65">
                  <c:v>1951.9422568517759</c:v>
                </c:pt>
                <c:pt idx="66">
                  <c:v>2089.9163990481611</c:v>
                </c:pt>
                <c:pt idx="67">
                  <c:v>2211.4129195882319</c:v>
                </c:pt>
                <c:pt idx="68">
                  <c:v>2658.243710571182</c:v>
                </c:pt>
                <c:pt idx="69" formatCode="0.00E+00">
                  <c:v>2753.5926289641416</c:v>
                </c:pt>
                <c:pt idx="70" formatCode="0.00E+00">
                  <c:v>2770.6236759629255</c:v>
                </c:pt>
                <c:pt idx="71" formatCode="0.00E+00">
                  <c:v>2773.5635085671247</c:v>
                </c:pt>
                <c:pt idx="72" formatCode="0.00E+00">
                  <c:v>2774.0679433033524</c:v>
                </c:pt>
                <c:pt idx="73" formatCode="0.00E+00">
                  <c:v>2774.1544083003901</c:v>
                </c:pt>
                <c:pt idx="74" formatCode="0.00E+00">
                  <c:v>2774.1692266220412</c:v>
                </c:pt>
                <c:pt idx="75" formatCode="0.00E+00">
                  <c:v>2774.1717661006874</c:v>
                </c:pt>
                <c:pt idx="76" formatCode="0.00E+00">
                  <c:v>2774.1722012996597</c:v>
                </c:pt>
                <c:pt idx="77" formatCode="0.00E+00">
                  <c:v>2774.1722758811011</c:v>
                </c:pt>
                <c:pt idx="78" formatCode="0.00E+00">
                  <c:v>2774.1722886623593</c:v>
                </c:pt>
                <c:pt idx="79" formatCode="0.00E+00">
                  <c:v>2774.172290852724</c:v>
                </c:pt>
                <c:pt idx="80" formatCode="0.00E+00">
                  <c:v>2774.1722912280939</c:v>
                </c:pt>
                <c:pt idx="81" formatCode="0.00E+00">
                  <c:v>2774.172291292422</c:v>
                </c:pt>
                <c:pt idx="82" formatCode="0.00E+00">
                  <c:v>2774.1722913034464</c:v>
                </c:pt>
                <c:pt idx="83" formatCode="0.00E+00">
                  <c:v>2774.1722913053354</c:v>
                </c:pt>
                <c:pt idx="84" formatCode="0.00E+00">
                  <c:v>2774.1722913056592</c:v>
                </c:pt>
                <c:pt idx="85" formatCode="0.00E+00">
                  <c:v>2774.1722913057147</c:v>
                </c:pt>
                <c:pt idx="86" formatCode="0.00E+00">
                  <c:v>2774.1722913057238</c:v>
                </c:pt>
                <c:pt idx="87" formatCode="0.00E+00">
                  <c:v>2774.1722913057256</c:v>
                </c:pt>
                <c:pt idx="88" formatCode="0.00E+00">
                  <c:v>2774.172291305726</c:v>
                </c:pt>
                <c:pt idx="89" formatCode="0.00E+00">
                  <c:v>2774.172291305726</c:v>
                </c:pt>
                <c:pt idx="90" formatCode="0.00E+00">
                  <c:v>2774.172291305726</c:v>
                </c:pt>
                <c:pt idx="91" formatCode="0.00E+00">
                  <c:v>2774.172291305726</c:v>
                </c:pt>
                <c:pt idx="92" formatCode="0.00E+00">
                  <c:v>2774.172291305726</c:v>
                </c:pt>
                <c:pt idx="93" formatCode="0.00E+00">
                  <c:v>2774.172291305726</c:v>
                </c:pt>
                <c:pt idx="94" formatCode="0.00E+00">
                  <c:v>2774.172291305726</c:v>
                </c:pt>
                <c:pt idx="95" formatCode="0.00E+00">
                  <c:v>2774.172291305726</c:v>
                </c:pt>
                <c:pt idx="96" formatCode="0.00E+00">
                  <c:v>2774.172291305726</c:v>
                </c:pt>
                <c:pt idx="97" formatCode="0.00E+00">
                  <c:v>2774.172291305726</c:v>
                </c:pt>
                <c:pt idx="98" formatCode="0.00E+00">
                  <c:v>2774.172291305726</c:v>
                </c:pt>
                <c:pt idx="99" formatCode="0.00E+00">
                  <c:v>2774.172291305726</c:v>
                </c:pt>
                <c:pt idx="100" formatCode="0.00E+00">
                  <c:v>2774.172291305726</c:v>
                </c:pt>
                <c:pt idx="101" formatCode="0.00E+00">
                  <c:v>2774.172291305726</c:v>
                </c:pt>
                <c:pt idx="102" formatCode="0.00E+00">
                  <c:v>2774.172291305726</c:v>
                </c:pt>
              </c:numCache>
            </c:numRef>
          </c:yVal>
          <c:smooth val="0"/>
        </c:ser>
        <c:ser>
          <c:idx val="5"/>
          <c:order val="4"/>
          <c:tx>
            <c:v>Singapore Cases</c:v>
          </c:tx>
          <c:spPr>
            <a:ln w="19050" cap="rnd">
              <a:solidFill>
                <a:schemeClr val="bg2">
                  <a:lumMod val="10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solidFill>
                <a:schemeClr val="tx1">
                  <a:lumMod val="95000"/>
                  <a:lumOff val="5000"/>
                </a:schemeClr>
              </a:solidFill>
              <a:ln w="9525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marker>
          <c:xVal>
            <c:numRef>
              <c:f>myData!SingaporeDates</c:f>
              <c:numCache>
                <c:formatCode>m/d/yyyy</c:formatCode>
                <c:ptCount val="63"/>
                <c:pt idx="0">
                  <c:v>43853</c:v>
                </c:pt>
                <c:pt idx="1">
                  <c:v>43854</c:v>
                </c:pt>
                <c:pt idx="2">
                  <c:v>43855</c:v>
                </c:pt>
                <c:pt idx="3">
                  <c:v>43856</c:v>
                </c:pt>
                <c:pt idx="4">
                  <c:v>43857</c:v>
                </c:pt>
                <c:pt idx="5">
                  <c:v>43858</c:v>
                </c:pt>
                <c:pt idx="6">
                  <c:v>43859</c:v>
                </c:pt>
                <c:pt idx="7">
                  <c:v>43860</c:v>
                </c:pt>
                <c:pt idx="8">
                  <c:v>43861</c:v>
                </c:pt>
                <c:pt idx="9">
                  <c:v>43862</c:v>
                </c:pt>
                <c:pt idx="10">
                  <c:v>43863</c:v>
                </c:pt>
                <c:pt idx="11">
                  <c:v>43864</c:v>
                </c:pt>
                <c:pt idx="12">
                  <c:v>43865</c:v>
                </c:pt>
                <c:pt idx="13">
                  <c:v>43866</c:v>
                </c:pt>
                <c:pt idx="14">
                  <c:v>43867</c:v>
                </c:pt>
                <c:pt idx="15">
                  <c:v>43868</c:v>
                </c:pt>
                <c:pt idx="16">
                  <c:v>43869</c:v>
                </c:pt>
                <c:pt idx="17">
                  <c:v>43870</c:v>
                </c:pt>
                <c:pt idx="18">
                  <c:v>43871</c:v>
                </c:pt>
                <c:pt idx="19">
                  <c:v>43872</c:v>
                </c:pt>
                <c:pt idx="20">
                  <c:v>43873</c:v>
                </c:pt>
                <c:pt idx="21">
                  <c:v>43874</c:v>
                </c:pt>
                <c:pt idx="22">
                  <c:v>43875</c:v>
                </c:pt>
                <c:pt idx="23">
                  <c:v>43876</c:v>
                </c:pt>
                <c:pt idx="24">
                  <c:v>43877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43883</c:v>
                </c:pt>
                <c:pt idx="31">
                  <c:v>43884</c:v>
                </c:pt>
                <c:pt idx="32">
                  <c:v>43885</c:v>
                </c:pt>
                <c:pt idx="33">
                  <c:v>43886</c:v>
                </c:pt>
                <c:pt idx="34">
                  <c:v>43887</c:v>
                </c:pt>
                <c:pt idx="35">
                  <c:v>43888</c:v>
                </c:pt>
                <c:pt idx="36">
                  <c:v>43889</c:v>
                </c:pt>
                <c:pt idx="37">
                  <c:v>43890</c:v>
                </c:pt>
                <c:pt idx="38">
                  <c:v>43891</c:v>
                </c:pt>
                <c:pt idx="39">
                  <c:v>43892</c:v>
                </c:pt>
                <c:pt idx="40">
                  <c:v>43893</c:v>
                </c:pt>
                <c:pt idx="41">
                  <c:v>43894</c:v>
                </c:pt>
                <c:pt idx="42">
                  <c:v>43895</c:v>
                </c:pt>
                <c:pt idx="43">
                  <c:v>43896</c:v>
                </c:pt>
                <c:pt idx="44">
                  <c:v>43897</c:v>
                </c:pt>
                <c:pt idx="45">
                  <c:v>43898</c:v>
                </c:pt>
                <c:pt idx="46">
                  <c:v>43899</c:v>
                </c:pt>
                <c:pt idx="47">
                  <c:v>43900</c:v>
                </c:pt>
                <c:pt idx="48">
                  <c:v>43901</c:v>
                </c:pt>
                <c:pt idx="49">
                  <c:v>43902</c:v>
                </c:pt>
                <c:pt idx="50">
                  <c:v>43903</c:v>
                </c:pt>
                <c:pt idx="51">
                  <c:v>43904</c:v>
                </c:pt>
                <c:pt idx="52">
                  <c:v>43905</c:v>
                </c:pt>
                <c:pt idx="53">
                  <c:v>43906</c:v>
                </c:pt>
                <c:pt idx="54">
                  <c:v>43907</c:v>
                </c:pt>
                <c:pt idx="55">
                  <c:v>43908</c:v>
                </c:pt>
                <c:pt idx="56">
                  <c:v>43909</c:v>
                </c:pt>
                <c:pt idx="57">
                  <c:v>43910</c:v>
                </c:pt>
                <c:pt idx="58">
                  <c:v>43911</c:v>
                </c:pt>
                <c:pt idx="59">
                  <c:v>43912</c:v>
                </c:pt>
                <c:pt idx="60">
                  <c:v>43913</c:v>
                </c:pt>
                <c:pt idx="61">
                  <c:v>43914</c:v>
                </c:pt>
                <c:pt idx="62">
                  <c:v>43915</c:v>
                </c:pt>
              </c:numCache>
            </c:numRef>
          </c:xVal>
          <c:yVal>
            <c:numRef>
              <c:f>myData!SingaporeCases</c:f>
              <c:numCache>
                <c:formatCode>0.0</c:formatCode>
                <c:ptCount val="106"/>
                <c:pt idx="0">
                  <c:v>1.7094017094017095</c:v>
                </c:pt>
                <c:pt idx="1">
                  <c:v>5.1282051282051286</c:v>
                </c:pt>
                <c:pt idx="2">
                  <c:v>5.1282051282051286</c:v>
                </c:pt>
                <c:pt idx="3">
                  <c:v>6.8376068376068382</c:v>
                </c:pt>
                <c:pt idx="4">
                  <c:v>8.5470085470085468</c:v>
                </c:pt>
                <c:pt idx="5">
                  <c:v>11.965811965811966</c:v>
                </c:pt>
                <c:pt idx="6">
                  <c:v>11.965811965811966</c:v>
                </c:pt>
                <c:pt idx="7">
                  <c:v>17.094017094017094</c:v>
                </c:pt>
                <c:pt idx="8">
                  <c:v>22.222222222222225</c:v>
                </c:pt>
                <c:pt idx="9">
                  <c:v>27.350427350427353</c:v>
                </c:pt>
                <c:pt idx="10">
                  <c:v>30.76923076923077</c:v>
                </c:pt>
                <c:pt idx="11">
                  <c:v>30.76923076923077</c:v>
                </c:pt>
                <c:pt idx="12">
                  <c:v>41.025641025641029</c:v>
                </c:pt>
                <c:pt idx="13">
                  <c:v>47.863247863247864</c:v>
                </c:pt>
                <c:pt idx="14">
                  <c:v>47.863247863247864</c:v>
                </c:pt>
                <c:pt idx="15">
                  <c:v>51.282051282051285</c:v>
                </c:pt>
                <c:pt idx="16">
                  <c:v>56.410256410256416</c:v>
                </c:pt>
                <c:pt idx="17">
                  <c:v>68.376068376068375</c:v>
                </c:pt>
                <c:pt idx="18">
                  <c:v>76.923076923076934</c:v>
                </c:pt>
                <c:pt idx="19">
                  <c:v>80.341880341880341</c:v>
                </c:pt>
                <c:pt idx="20">
                  <c:v>85.470085470085479</c:v>
                </c:pt>
                <c:pt idx="21">
                  <c:v>99.145299145299148</c:v>
                </c:pt>
                <c:pt idx="22" formatCode="##0.0E+00">
                  <c:v>114.52991452991454</c:v>
                </c:pt>
                <c:pt idx="23" formatCode="##0.0E+00">
                  <c:v>123.07692307692308</c:v>
                </c:pt>
                <c:pt idx="24" formatCode="##0.0E+00">
                  <c:v>128.2051282051282</c:v>
                </c:pt>
                <c:pt idx="25" formatCode="##0.0E+00">
                  <c:v>131.62393162393164</c:v>
                </c:pt>
                <c:pt idx="26" formatCode="##0.0E+00">
                  <c:v>138.46153846153848</c:v>
                </c:pt>
                <c:pt idx="27" formatCode="##0.0E+00">
                  <c:v>143.58974358974359</c:v>
                </c:pt>
                <c:pt idx="28" formatCode="##0.0E+00">
                  <c:v>143.58974358974359</c:v>
                </c:pt>
                <c:pt idx="29" formatCode="##0.0E+00">
                  <c:v>145.29914529914529</c:v>
                </c:pt>
                <c:pt idx="30" formatCode="##0.0E+00">
                  <c:v>145.29914529914529</c:v>
                </c:pt>
                <c:pt idx="31" formatCode="##0.0E+00">
                  <c:v>152.13675213675214</c:v>
                </c:pt>
                <c:pt idx="32" formatCode="##0.0E+00">
                  <c:v>152.13675213675214</c:v>
                </c:pt>
                <c:pt idx="33" formatCode="##0.0E+00">
                  <c:v>155.55555555555557</c:v>
                </c:pt>
                <c:pt idx="34" formatCode="##0.0E+00">
                  <c:v>158.97435897435898</c:v>
                </c:pt>
                <c:pt idx="35" formatCode="##0.0E+00">
                  <c:v>158.97435897435898</c:v>
                </c:pt>
                <c:pt idx="36" formatCode="##0.0E+00">
                  <c:v>158.97435897435898</c:v>
                </c:pt>
                <c:pt idx="37" formatCode="##0.0E+00">
                  <c:v>174.35897435897436</c:v>
                </c:pt>
                <c:pt idx="38" formatCode="##0.0E+00">
                  <c:v>181.19658119658121</c:v>
                </c:pt>
                <c:pt idx="39" formatCode="##0.0E+00">
                  <c:v>184.61538461538461</c:v>
                </c:pt>
                <c:pt idx="40" formatCode="##0.0E+00">
                  <c:v>188.03418803418805</c:v>
                </c:pt>
                <c:pt idx="41" formatCode="##0.0E+00">
                  <c:v>188.03418803418805</c:v>
                </c:pt>
                <c:pt idx="42" formatCode="##0.0E+00">
                  <c:v>200</c:v>
                </c:pt>
                <c:pt idx="43" formatCode="##0.0E+00">
                  <c:v>222.22222222222223</c:v>
                </c:pt>
                <c:pt idx="44" formatCode="##0.0E+00">
                  <c:v>235.89743589743591</c:v>
                </c:pt>
                <c:pt idx="45" formatCode="##0.0E+00">
                  <c:v>256.41025641025641</c:v>
                </c:pt>
                <c:pt idx="46" formatCode="##0.0E+00">
                  <c:v>256.41025641025641</c:v>
                </c:pt>
                <c:pt idx="47" formatCode="##0.0E+00">
                  <c:v>273.5042735042735</c:v>
                </c:pt>
                <c:pt idx="48" formatCode="##0.0E+00">
                  <c:v>304.27350427350427</c:v>
                </c:pt>
                <c:pt idx="49" formatCode="##0.0E+00">
                  <c:v>304.27350427350427</c:v>
                </c:pt>
                <c:pt idx="50" formatCode="##0.0E+00">
                  <c:v>341.88034188034192</c:v>
                </c:pt>
                <c:pt idx="51" formatCode="##0.0E+00">
                  <c:v>362.39316239316241</c:v>
                </c:pt>
                <c:pt idx="52" formatCode="##0.0E+00">
                  <c:v>386.32478632478637</c:v>
                </c:pt>
                <c:pt idx="53" formatCode="##0.0E+00">
                  <c:v>415.38461538461542</c:v>
                </c:pt>
                <c:pt idx="54" formatCode="##0.0E+00">
                  <c:v>454.70085470085473</c:v>
                </c:pt>
                <c:pt idx="55" formatCode="##0.0E+00">
                  <c:v>535.0427350427351</c:v>
                </c:pt>
                <c:pt idx="56" formatCode="##0.0E+00">
                  <c:v>589.74358974358972</c:v>
                </c:pt>
                <c:pt idx="57" formatCode="##0.0E+00">
                  <c:v>658.1196581196582</c:v>
                </c:pt>
                <c:pt idx="58" formatCode="##0.0E+00">
                  <c:v>738.46153846153845</c:v>
                </c:pt>
                <c:pt idx="59" formatCode="##0.0E+00">
                  <c:v>777.77777777777783</c:v>
                </c:pt>
                <c:pt idx="60" formatCode="##0.0E+00">
                  <c:v>870.08547008547009</c:v>
                </c:pt>
                <c:pt idx="61" formatCode="##0.0E+00">
                  <c:v>953.84615384615392</c:v>
                </c:pt>
                <c:pt idx="62">
                  <c:v>1078.6324786324788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myData!SingaporeSeries</c:f>
              <c:strCache>
                <c:ptCount val="1"/>
                <c:pt idx="0">
                  <c:v>Singapore Limit 127 G</c:v>
                </c:pt>
              </c:strCache>
            </c:strRef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myData!SingaporeLogiDates</c:f>
              <c:numCache>
                <c:formatCode>m/d/yyyy</c:formatCode>
                <c:ptCount val="106"/>
                <c:pt idx="0">
                  <c:v>43853</c:v>
                </c:pt>
                <c:pt idx="1">
                  <c:v>43854</c:v>
                </c:pt>
                <c:pt idx="2">
                  <c:v>43855</c:v>
                </c:pt>
                <c:pt idx="3">
                  <c:v>43856</c:v>
                </c:pt>
                <c:pt idx="4">
                  <c:v>43857</c:v>
                </c:pt>
                <c:pt idx="5">
                  <c:v>43858</c:v>
                </c:pt>
                <c:pt idx="6">
                  <c:v>43859</c:v>
                </c:pt>
                <c:pt idx="7">
                  <c:v>43860</c:v>
                </c:pt>
                <c:pt idx="8">
                  <c:v>43861</c:v>
                </c:pt>
                <c:pt idx="9">
                  <c:v>43862</c:v>
                </c:pt>
                <c:pt idx="10">
                  <c:v>43863</c:v>
                </c:pt>
                <c:pt idx="11">
                  <c:v>43864</c:v>
                </c:pt>
                <c:pt idx="12">
                  <c:v>43865</c:v>
                </c:pt>
                <c:pt idx="13">
                  <c:v>43866</c:v>
                </c:pt>
                <c:pt idx="14">
                  <c:v>43867</c:v>
                </c:pt>
                <c:pt idx="15">
                  <c:v>43868</c:v>
                </c:pt>
                <c:pt idx="16">
                  <c:v>43869</c:v>
                </c:pt>
                <c:pt idx="17">
                  <c:v>43870</c:v>
                </c:pt>
                <c:pt idx="18">
                  <c:v>43871</c:v>
                </c:pt>
                <c:pt idx="19">
                  <c:v>43872</c:v>
                </c:pt>
                <c:pt idx="20">
                  <c:v>43873</c:v>
                </c:pt>
                <c:pt idx="21">
                  <c:v>43874</c:v>
                </c:pt>
                <c:pt idx="22">
                  <c:v>43875</c:v>
                </c:pt>
                <c:pt idx="23">
                  <c:v>43876</c:v>
                </c:pt>
                <c:pt idx="24">
                  <c:v>43877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43883</c:v>
                </c:pt>
                <c:pt idx="31">
                  <c:v>43884</c:v>
                </c:pt>
                <c:pt idx="32">
                  <c:v>43885</c:v>
                </c:pt>
                <c:pt idx="33">
                  <c:v>43886</c:v>
                </c:pt>
                <c:pt idx="34">
                  <c:v>43887</c:v>
                </c:pt>
                <c:pt idx="35">
                  <c:v>43888</c:v>
                </c:pt>
                <c:pt idx="36">
                  <c:v>43889</c:v>
                </c:pt>
                <c:pt idx="37">
                  <c:v>43890</c:v>
                </c:pt>
                <c:pt idx="38">
                  <c:v>43891</c:v>
                </c:pt>
                <c:pt idx="39">
                  <c:v>43892</c:v>
                </c:pt>
                <c:pt idx="40">
                  <c:v>43893</c:v>
                </c:pt>
                <c:pt idx="41">
                  <c:v>43894</c:v>
                </c:pt>
                <c:pt idx="42">
                  <c:v>43895</c:v>
                </c:pt>
                <c:pt idx="43">
                  <c:v>43896</c:v>
                </c:pt>
                <c:pt idx="44">
                  <c:v>43897</c:v>
                </c:pt>
                <c:pt idx="45">
                  <c:v>43898</c:v>
                </c:pt>
                <c:pt idx="46">
                  <c:v>43899</c:v>
                </c:pt>
                <c:pt idx="47">
                  <c:v>43900</c:v>
                </c:pt>
                <c:pt idx="48">
                  <c:v>43901</c:v>
                </c:pt>
                <c:pt idx="49">
                  <c:v>43902</c:v>
                </c:pt>
                <c:pt idx="50">
                  <c:v>43903</c:v>
                </c:pt>
                <c:pt idx="51">
                  <c:v>43904</c:v>
                </c:pt>
                <c:pt idx="52">
                  <c:v>43905</c:v>
                </c:pt>
                <c:pt idx="53">
                  <c:v>43906</c:v>
                </c:pt>
                <c:pt idx="54">
                  <c:v>43907</c:v>
                </c:pt>
                <c:pt idx="55">
                  <c:v>43908</c:v>
                </c:pt>
                <c:pt idx="56">
                  <c:v>43909</c:v>
                </c:pt>
                <c:pt idx="57">
                  <c:v>43910</c:v>
                </c:pt>
                <c:pt idx="58">
                  <c:v>43911</c:v>
                </c:pt>
                <c:pt idx="59">
                  <c:v>43912</c:v>
                </c:pt>
                <c:pt idx="60">
                  <c:v>43913</c:v>
                </c:pt>
                <c:pt idx="61">
                  <c:v>43914</c:v>
                </c:pt>
                <c:pt idx="62">
                  <c:v>43915</c:v>
                </c:pt>
                <c:pt idx="63">
                  <c:v>43916</c:v>
                </c:pt>
                <c:pt idx="64">
                  <c:v>43917</c:v>
                </c:pt>
                <c:pt idx="65">
                  <c:v>43918</c:v>
                </c:pt>
                <c:pt idx="66">
                  <c:v>43919</c:v>
                </c:pt>
                <c:pt idx="67">
                  <c:v>43920</c:v>
                </c:pt>
                <c:pt idx="68">
                  <c:v>43921</c:v>
                </c:pt>
                <c:pt idx="69">
                  <c:v>43922</c:v>
                </c:pt>
                <c:pt idx="70">
                  <c:v>43923</c:v>
                </c:pt>
                <c:pt idx="71">
                  <c:v>43930</c:v>
                </c:pt>
                <c:pt idx="72">
                  <c:v>43937</c:v>
                </c:pt>
                <c:pt idx="73">
                  <c:v>43944</c:v>
                </c:pt>
                <c:pt idx="74">
                  <c:v>43951</c:v>
                </c:pt>
                <c:pt idx="75">
                  <c:v>43958</c:v>
                </c:pt>
                <c:pt idx="76">
                  <c:v>43965</c:v>
                </c:pt>
                <c:pt idx="77">
                  <c:v>43972</c:v>
                </c:pt>
                <c:pt idx="78">
                  <c:v>43979</c:v>
                </c:pt>
                <c:pt idx="79">
                  <c:v>43986</c:v>
                </c:pt>
                <c:pt idx="80">
                  <c:v>43993</c:v>
                </c:pt>
                <c:pt idx="81">
                  <c:v>44000</c:v>
                </c:pt>
                <c:pt idx="82">
                  <c:v>44007</c:v>
                </c:pt>
                <c:pt idx="83">
                  <c:v>44014</c:v>
                </c:pt>
                <c:pt idx="84">
                  <c:v>44021</c:v>
                </c:pt>
                <c:pt idx="85">
                  <c:v>44028</c:v>
                </c:pt>
                <c:pt idx="86">
                  <c:v>44035</c:v>
                </c:pt>
                <c:pt idx="87">
                  <c:v>44042</c:v>
                </c:pt>
                <c:pt idx="88">
                  <c:v>44049</c:v>
                </c:pt>
                <c:pt idx="89">
                  <c:v>44056</c:v>
                </c:pt>
                <c:pt idx="90">
                  <c:v>44063</c:v>
                </c:pt>
                <c:pt idx="91">
                  <c:v>44070</c:v>
                </c:pt>
                <c:pt idx="92">
                  <c:v>44077</c:v>
                </c:pt>
                <c:pt idx="93">
                  <c:v>44084</c:v>
                </c:pt>
                <c:pt idx="94">
                  <c:v>44091</c:v>
                </c:pt>
                <c:pt idx="95">
                  <c:v>44098</c:v>
                </c:pt>
                <c:pt idx="96">
                  <c:v>44105</c:v>
                </c:pt>
                <c:pt idx="97">
                  <c:v>44112</c:v>
                </c:pt>
                <c:pt idx="98">
                  <c:v>44119</c:v>
                </c:pt>
                <c:pt idx="99">
                  <c:v>44126</c:v>
                </c:pt>
                <c:pt idx="100">
                  <c:v>44133</c:v>
                </c:pt>
                <c:pt idx="101">
                  <c:v>44140</c:v>
                </c:pt>
                <c:pt idx="102">
                  <c:v>44147</c:v>
                </c:pt>
                <c:pt idx="103">
                  <c:v>44154</c:v>
                </c:pt>
                <c:pt idx="104">
                  <c:v>44161</c:v>
                </c:pt>
                <c:pt idx="105">
                  <c:v>44168</c:v>
                </c:pt>
              </c:numCache>
            </c:numRef>
          </c:xVal>
          <c:yVal>
            <c:numRef>
              <c:f>myData!SingaporeLogi</c:f>
              <c:numCache>
                <c:formatCode>0</c:formatCode>
                <c:ptCount val="107"/>
                <c:pt idx="0">
                  <c:v>9.561347084240591</c:v>
                </c:pt>
                <c:pt idx="1">
                  <c:v>10.300640490282643</c:v>
                </c:pt>
                <c:pt idx="2">
                  <c:v>11.097096839511902</c:v>
                </c:pt>
                <c:pt idx="3">
                  <c:v>11.955136030775741</c:v>
                </c:pt>
                <c:pt idx="4">
                  <c:v>12.879519714145729</c:v>
                </c:pt>
                <c:pt idx="5">
                  <c:v>13.875377715481475</c:v>
                </c:pt>
                <c:pt idx="6">
                  <c:v>14.948236504169468</c:v>
                </c:pt>
                <c:pt idx="7">
                  <c:v>16.104049862017419</c:v>
                </c:pt>
                <c:pt idx="8">
                  <c:v>17.349231923499747</c:v>
                </c:pt>
                <c:pt idx="9">
                  <c:v>18.690692770709553</c:v>
                </c:pt>
                <c:pt idx="10">
                  <c:v>20.135876780549673</c:v>
                </c:pt>
                <c:pt idx="11">
                  <c:v>21.692803936968854</c:v>
                </c:pt>
                <c:pt idx="12">
                  <c:v>23.370114337503448</c:v>
                </c:pt>
                <c:pt idx="13">
                  <c:v>25.177116141111597</c:v>
                </c:pt>
                <c:pt idx="14">
                  <c:v>27.123837223384438</c:v>
                </c:pt>
                <c:pt idx="15">
                  <c:v>29.221080825792445</c:v>
                </c:pt>
                <c:pt idx="16">
                  <c:v>31.48048550778994</c:v>
                </c:pt>
                <c:pt idx="17">
                  <c:v>33.914589734479385</c:v>
                </c:pt>
                <c:pt idx="18">
                  <c:v>36.536901458261617</c:v>
                </c:pt>
                <c:pt idx="19">
                  <c:v>39.361973080612458</c:v>
                </c:pt>
                <c:pt idx="20">
                  <c:v>42.405482209982658</c:v>
                </c:pt>
                <c:pt idx="21">
                  <c:v>45.684318663983284</c:v>
                </c:pt>
                <c:pt idx="22">
                  <c:v>49.216678198671723</c:v>
                </c:pt>
                <c:pt idx="23">
                  <c:v>53.02216348508437</c:v>
                </c:pt>
                <c:pt idx="24">
                  <c:v>57.121892893380789</c:v>
                </c:pt>
                <c:pt idx="25">
                  <c:v>61.538617688292376</c:v>
                </c:pt>
                <c:pt idx="26">
                  <c:v>66.296848286245876</c:v>
                </c:pt>
                <c:pt idx="27">
                  <c:v>71.422990274820449</c:v>
                </c:pt>
                <c:pt idx="28">
                  <c:v>76.945490949371916</c:v>
                </c:pt>
                <c:pt idx="29">
                  <c:v>82.894997180022585</c:v>
                </c:pt>
                <c:pt idx="30">
                  <c:v>89.304525485092213</c:v>
                </c:pt>
                <c:pt idx="31">
                  <c:v>96.209645254785841</c:v>
                </c:pt>
                <c:pt idx="32">
                  <c:v>103.64867614192836</c:v>
                </c:pt>
                <c:pt idx="33">
                  <c:v>111.66290071515895</c:v>
                </c:pt>
                <c:pt idx="34">
                  <c:v>120.29679355469271</c:v>
                </c:pt>
                <c:pt idx="35">
                  <c:v>129.59826806200726</c:v>
                </c:pt>
                <c:pt idx="36">
                  <c:v>139.61894235311334</c:v>
                </c:pt>
                <c:pt idx="37">
                  <c:v>150.4144257109713</c:v>
                </c:pt>
                <c:pt idx="38">
                  <c:v>162.04462718670976</c:v>
                </c:pt>
                <c:pt idx="39">
                  <c:v>174.57408806221295</c:v>
                </c:pt>
                <c:pt idx="40">
                  <c:v>188.07234001906411</c:v>
                </c:pt>
                <c:pt idx="41">
                  <c:v>202.61429100148732</c:v>
                </c:pt>
                <c:pt idx="42">
                  <c:v>218.2806409146157</c:v>
                </c:pt>
                <c:pt idx="43">
                  <c:v>235.15832946498466</c:v>
                </c:pt>
                <c:pt idx="44">
                  <c:v>253.34101862852222</c:v>
                </c:pt>
                <c:pt idx="45">
                  <c:v>272.9296124234682</c:v>
                </c:pt>
                <c:pt idx="46">
                  <c:v>294.03281687267952</c:v>
                </c:pt>
                <c:pt idx="47">
                  <c:v>316.76774326280707</c:v>
                </c:pt>
                <c:pt idx="48">
                  <c:v>341.26055804810255</c:v>
                </c:pt>
                <c:pt idx="49">
                  <c:v>367.6471830054669</c:v>
                </c:pt>
                <c:pt idx="50">
                  <c:v>396.07404952621874</c:v>
                </c:pt>
                <c:pt idx="51">
                  <c:v>426.69891123048933</c:v>
                </c:pt>
                <c:pt idx="52">
                  <c:v>459.69171941381137</c:v>
                </c:pt>
                <c:pt idx="53">
                  <c:v>495.2355661841504</c:v>
                </c:pt>
                <c:pt idx="54">
                  <c:v>533.5277005232756</c:v>
                </c:pt>
                <c:pt idx="55">
                  <c:v>574.78062291105357</c:v>
                </c:pt>
                <c:pt idx="56">
                  <c:v>619.22326458723114</c:v>
                </c:pt>
                <c:pt idx="57">
                  <c:v>667.10225799496925</c:v>
                </c:pt>
                <c:pt idx="58">
                  <c:v>718.68330545638594</c:v>
                </c:pt>
                <c:pt idx="59">
                  <c:v>774.25265367552015</c:v>
                </c:pt>
                <c:pt idx="60">
                  <c:v>834.11868225138915</c:v>
                </c:pt>
                <c:pt idx="61">
                  <c:v>898.6136150165255</c:v>
                </c:pt>
                <c:pt idx="62">
                  <c:v>968.0953636979807</c:v>
                </c:pt>
                <c:pt idx="63">
                  <c:v>1042.9495141321004</c:v>
                </c:pt>
                <c:pt idx="64">
                  <c:v>1123.5914660554868</c:v>
                </c:pt>
                <c:pt idx="65">
                  <c:v>1210.4687383467958</c:v>
                </c:pt>
                <c:pt idx="66">
                  <c:v>1304.0634525122089</c:v>
                </c:pt>
                <c:pt idx="67">
                  <c:v>1404.8950081965559</c:v>
                </c:pt>
                <c:pt idx="68">
                  <c:v>1513.5229655676992</c:v>
                </c:pt>
                <c:pt idx="69">
                  <c:v>1630.5501505698417</c:v>
                </c:pt>
                <c:pt idx="70">
                  <c:v>1756.6260002781871</c:v>
                </c:pt>
                <c:pt idx="71">
                  <c:v>2958.661805969105</c:v>
                </c:pt>
                <c:pt idx="72">
                  <c:v>4983.2346920507225</c:v>
                </c:pt>
                <c:pt idx="73">
                  <c:v>8393.1957602363163</c:v>
                </c:pt>
                <c:pt idx="74">
                  <c:v>14136.547470036756</c:v>
                </c:pt>
                <c:pt idx="75">
                  <c:v>23809.997277828767</c:v>
                </c:pt>
                <c:pt idx="76">
                  <c:v>40102.856945501058</c:v>
                </c:pt>
                <c:pt idx="77">
                  <c:v>67544.694591451829</c:v>
                </c:pt>
                <c:pt idx="78">
                  <c:v>113764.59040637965</c:v>
                </c:pt>
                <c:pt idx="79">
                  <c:v>191612.07099067979</c:v>
                </c:pt>
                <c:pt idx="80">
                  <c:v>322729.33305335802</c:v>
                </c:pt>
                <c:pt idx="81">
                  <c:v>543567.78502014163</c:v>
                </c:pt>
                <c:pt idx="82">
                  <c:v>915521.32371973316</c:v>
                </c:pt>
                <c:pt idx="83">
                  <c:v>1541992.8141407894</c:v>
                </c:pt>
                <c:pt idx="84">
                  <c:v>2597136.4849333251</c:v>
                </c:pt>
                <c:pt idx="85">
                  <c:v>4374261.4145969963</c:v>
                </c:pt>
                <c:pt idx="86">
                  <c:v>7367337.1700064223</c:v>
                </c:pt>
                <c:pt idx="87">
                  <c:v>12408216.765826458</c:v>
                </c:pt>
                <c:pt idx="88">
                  <c:v>20897600.926101886</c:v>
                </c:pt>
                <c:pt idx="89">
                  <c:v>35193598.573905587</c:v>
                </c:pt>
                <c:pt idx="90">
                  <c:v>59264899.859438486</c:v>
                </c:pt>
                <c:pt idx="91">
                  <c:v>99787296.998793766</c:v>
                </c:pt>
                <c:pt idx="92">
                  <c:v>167980323.12462106</c:v>
                </c:pt>
                <c:pt idx="93">
                  <c:v>282671809.18635893</c:v>
                </c:pt>
                <c:pt idx="94">
                  <c:v>475378117.16975415</c:v>
                </c:pt>
                <c:pt idx="95">
                  <c:v>798632458.9985826</c:v>
                </c:pt>
                <c:pt idx="96">
                  <c:v>1339376688.6301854</c:v>
                </c:pt>
                <c:pt idx="97">
                  <c:v>2239770265.6863675</c:v>
                </c:pt>
                <c:pt idx="98">
                  <c:v>3727541268.0784731</c:v>
                </c:pt>
                <c:pt idx="99">
                  <c:v>6154933493.6206646</c:v>
                </c:pt>
                <c:pt idx="100">
                  <c:v>10034704037.641109</c:v>
                </c:pt>
                <c:pt idx="101">
                  <c:v>16036389919.492813</c:v>
                </c:pt>
                <c:pt idx="102">
                  <c:v>24866538298.388557</c:v>
                </c:pt>
                <c:pt idx="103">
                  <c:v>36944562646.457306</c:v>
                </c:pt>
                <c:pt idx="104">
                  <c:v>51916110133.111748</c:v>
                </c:pt>
                <c:pt idx="105">
                  <c:v>68364868573.928032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053696"/>
        <c:axId val="634052128"/>
      </c:scatterChart>
      <c:valAx>
        <c:axId val="634053696"/>
        <c:scaling>
          <c:orientation val="minMax"/>
          <c:max val="43954"/>
          <c:min val="438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52128"/>
        <c:crossesAt val="0.1"/>
        <c:crossBetween val="midCat"/>
        <c:majorUnit val="14"/>
        <c:minorUnit val="7"/>
      </c:valAx>
      <c:valAx>
        <c:axId val="634052128"/>
        <c:scaling>
          <c:logBase val="10"/>
          <c:orientation val="minMax"/>
          <c:max val="1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Australian Cases per 10M pop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53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020130324971147"/>
          <c:y val="0.61970002368488475"/>
          <c:w val="0.20059568366228589"/>
          <c:h val="0.21716274415974246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myData!$CX$17</c:f>
          <c:strCache>
            <c:ptCount val="1"/>
            <c:pt idx="0">
              <c:v>COVID19 UK P(t) = b / {d+[( b/Po - d ) ]* exp(-b*t)}
b=0.237, d=1.08E-05, P0=.032 Limit=3.32 k=&gt;22.0 k cases 
 25-Mar,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UK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5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6"/>
                <c:pt idx="0">
                  <c:v>0.30102347983142685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0.45153521974714028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1.2040939193257074</c:v>
                </c:pt>
                <c:pt idx="11">
                  <c:v>1.2040939193257074</c:v>
                </c:pt>
                <c:pt idx="12">
                  <c:v>1.3546056592414208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 formatCode="##0.0E+00">
                  <c:v>1.3546056592414208</c:v>
                </c:pt>
                <c:pt idx="24" formatCode="##0.0E+00">
                  <c:v>1.9566526189042746</c:v>
                </c:pt>
                <c:pt idx="25" formatCode="##0.0E+00">
                  <c:v>1.9566526189042746</c:v>
                </c:pt>
                <c:pt idx="26" formatCode="##0.0E+00">
                  <c:v>1.9566526189042746</c:v>
                </c:pt>
                <c:pt idx="27" formatCode="##0.0E+00">
                  <c:v>2.2576760987357014</c:v>
                </c:pt>
                <c:pt idx="28" formatCode="##0.0E+00">
                  <c:v>3.0102347983142685</c:v>
                </c:pt>
                <c:pt idx="29" formatCode="##0.0E+00">
                  <c:v>3.4617700180614088</c:v>
                </c:pt>
                <c:pt idx="30" formatCode="##0.0E+00">
                  <c:v>5.4184226369656834</c:v>
                </c:pt>
                <c:pt idx="31" formatCode="##0.0E+00">
                  <c:v>6.0204695966285371</c:v>
                </c:pt>
                <c:pt idx="32" formatCode="##0.0E+00">
                  <c:v>7.6760987357013848</c:v>
                </c:pt>
                <c:pt idx="33" formatCode="##0.0E+00">
                  <c:v>12.944009632751355</c:v>
                </c:pt>
                <c:pt idx="34" formatCode="##0.0E+00">
                  <c:v>17.459361830222758</c:v>
                </c:pt>
                <c:pt idx="35" formatCode="##0.0E+00">
                  <c:v>24.683925346177002</c:v>
                </c:pt>
                <c:pt idx="36" formatCode="##0.0E+00">
                  <c:v>31.155930162552679</c:v>
                </c:pt>
                <c:pt idx="37" formatCode="##0.0E+00">
                  <c:v>41.240216736905481</c:v>
                </c:pt>
                <c:pt idx="38" formatCode="##0.0E+00">
                  <c:v>48.464780252859725</c:v>
                </c:pt>
                <c:pt idx="39" formatCode="##0.0E+00">
                  <c:v>57.796508127633956</c:v>
                </c:pt>
                <c:pt idx="40" formatCode="##0.0E+00">
                  <c:v>69.084888621312459</c:v>
                </c:pt>
                <c:pt idx="41" formatCode="##0.0E+00">
                  <c:v>69.084888621312459</c:v>
                </c:pt>
                <c:pt idx="42" formatCode="##0.0E+00">
                  <c:v>120.71041541240217</c:v>
                </c:pt>
                <c:pt idx="43" formatCode="##0.0E+00">
                  <c:v>172.18543046357615</c:v>
                </c:pt>
                <c:pt idx="44" formatCode="##0.0E+00">
                  <c:v>172.33594220349187</c:v>
                </c:pt>
                <c:pt idx="45" formatCode="##0.0E+00">
                  <c:v>233.44370860927151</c:v>
                </c:pt>
                <c:pt idx="46" formatCode="##0.0E+00">
                  <c:v>295.0030102347983</c:v>
                </c:pt>
                <c:pt idx="47" formatCode="##0.0E+00">
                  <c:v>397.65201685731489</c:v>
                </c:pt>
                <c:pt idx="48" formatCode="##0.0E+00">
                  <c:v>408.78988561107764</c:v>
                </c:pt>
                <c:pt idx="49" formatCode="##0.0E+00">
                  <c:v>604.15412402167362</c:v>
                </c:pt>
                <c:pt idx="50" formatCode="##0.0E+00">
                  <c:v>762.64298615291989</c:v>
                </c:pt>
                <c:pt idx="51" formatCode="##0.0E+00">
                  <c:v>864.68994581577363</c:v>
                </c:pt>
                <c:pt idx="52" formatCode="##0.0E+00">
                  <c:v>1012.3419626730885</c:v>
                </c:pt>
                <c:pt idx="53" formatCode="##0.0E+00">
                  <c:v>1228.7778446718844</c:v>
                </c:pt>
                <c:pt idx="54">
                  <c:v>1259.0307043949429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myData!UKSeries</c:f>
              <c:strCache>
                <c:ptCount val="1"/>
                <c:pt idx="0">
                  <c:v>UK Limit 3.32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8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  <c:pt idx="55">
                  <c:v>43916</c:v>
                </c:pt>
                <c:pt idx="56">
                  <c:v>43917</c:v>
                </c:pt>
                <c:pt idx="57">
                  <c:v>43918</c:v>
                </c:pt>
                <c:pt idx="58">
                  <c:v>43919</c:v>
                </c:pt>
                <c:pt idx="59">
                  <c:v>43920</c:v>
                </c:pt>
                <c:pt idx="60">
                  <c:v>43921</c:v>
                </c:pt>
                <c:pt idx="61">
                  <c:v>43922</c:v>
                </c:pt>
                <c:pt idx="62">
                  <c:v>43923</c:v>
                </c:pt>
                <c:pt idx="63">
                  <c:v>43930</c:v>
                </c:pt>
                <c:pt idx="64">
                  <c:v>43937</c:v>
                </c:pt>
                <c:pt idx="65">
                  <c:v>43944</c:v>
                </c:pt>
                <c:pt idx="66">
                  <c:v>43951</c:v>
                </c:pt>
                <c:pt idx="67">
                  <c:v>43958</c:v>
                </c:pt>
                <c:pt idx="68">
                  <c:v>43965</c:v>
                </c:pt>
                <c:pt idx="69">
                  <c:v>43972</c:v>
                </c:pt>
                <c:pt idx="70">
                  <c:v>43979</c:v>
                </c:pt>
                <c:pt idx="71">
                  <c:v>43986</c:v>
                </c:pt>
                <c:pt idx="72">
                  <c:v>43993</c:v>
                </c:pt>
                <c:pt idx="73">
                  <c:v>44000</c:v>
                </c:pt>
                <c:pt idx="74">
                  <c:v>44007</c:v>
                </c:pt>
                <c:pt idx="75">
                  <c:v>44014</c:v>
                </c:pt>
                <c:pt idx="76">
                  <c:v>44021</c:v>
                </c:pt>
                <c:pt idx="77">
                  <c:v>44028</c:v>
                </c:pt>
                <c:pt idx="78">
                  <c:v>44035</c:v>
                </c:pt>
                <c:pt idx="79">
                  <c:v>44042</c:v>
                </c:pt>
                <c:pt idx="80">
                  <c:v>44049</c:v>
                </c:pt>
                <c:pt idx="81">
                  <c:v>44056</c:v>
                </c:pt>
                <c:pt idx="82">
                  <c:v>44063</c:v>
                </c:pt>
                <c:pt idx="83">
                  <c:v>44070</c:v>
                </c:pt>
                <c:pt idx="84">
                  <c:v>44077</c:v>
                </c:pt>
                <c:pt idx="85">
                  <c:v>44084</c:v>
                </c:pt>
                <c:pt idx="86">
                  <c:v>44091</c:v>
                </c:pt>
                <c:pt idx="87">
                  <c:v>44098</c:v>
                </c:pt>
                <c:pt idx="88">
                  <c:v>44105</c:v>
                </c:pt>
                <c:pt idx="89">
                  <c:v>44112</c:v>
                </c:pt>
                <c:pt idx="90">
                  <c:v>44119</c:v>
                </c:pt>
                <c:pt idx="91">
                  <c:v>44126</c:v>
                </c:pt>
                <c:pt idx="92">
                  <c:v>44133</c:v>
                </c:pt>
                <c:pt idx="93">
                  <c:v>44140</c:v>
                </c:pt>
                <c:pt idx="94">
                  <c:v>44147</c:v>
                </c:pt>
                <c:pt idx="95">
                  <c:v>44154</c:v>
                </c:pt>
                <c:pt idx="96">
                  <c:v>44161</c:v>
                </c:pt>
                <c:pt idx="97">
                  <c:v>44168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8"/>
                <c:pt idx="0">
                  <c:v>6.1566205033765746E-3</c:v>
                </c:pt>
                <c:pt idx="1">
                  <c:v>7.8059756004085204E-3</c:v>
                </c:pt>
                <c:pt idx="2">
                  <c:v>9.8971906616852675E-3</c:v>
                </c:pt>
                <c:pt idx="3">
                  <c:v>1.2548638563117543E-2</c:v>
                </c:pt>
                <c:pt idx="4">
                  <c:v>1.5910403409842084E-2</c:v>
                </c:pt>
                <c:pt idx="5">
                  <c:v>2.0172775447189463E-2</c:v>
                </c:pt>
                <c:pt idx="6">
                  <c:v>2.5577021437303199E-2</c:v>
                </c:pt>
                <c:pt idx="7">
                  <c:v>3.2429039903475496E-2</c:v>
                </c:pt>
                <c:pt idx="8">
                  <c:v>4.1116673784456242E-2</c:v>
                </c:pt>
                <c:pt idx="9">
                  <c:v>5.2131659814366647E-2</c:v>
                </c:pt>
                <c:pt idx="10" formatCode="0.0">
                  <c:v>6.6097455995953222E-2</c:v>
                </c:pt>
                <c:pt idx="11" formatCode="0.0">
                  <c:v>8.3804520604548099E-2</c:v>
                </c:pt>
                <c:pt idx="12" formatCode="0.0">
                  <c:v>0.10625503689183648</c:v>
                </c:pt>
                <c:pt idx="13" formatCode="0.0">
                  <c:v>0.13471961062314777</c:v>
                </c:pt>
                <c:pt idx="14" formatCode="0.0">
                  <c:v>0.17080914255449822</c:v>
                </c:pt>
                <c:pt idx="15" formatCode="0.0">
                  <c:v>0.21656593251040288</c:v>
                </c:pt>
                <c:pt idx="16" formatCode="0.0">
                  <c:v>0.27457915321618909</c:v>
                </c:pt>
                <c:pt idx="17" formatCode="0.0">
                  <c:v>0.34813120005371129</c:v>
                </c:pt>
                <c:pt idx="18" formatCode="0.0">
                  <c:v>0.44138315225921182</c:v>
                </c:pt>
                <c:pt idx="19" formatCode="0.0">
                  <c:v>0.55960976544087115</c:v>
                </c:pt>
                <c:pt idx="20" formatCode="0.0">
                  <c:v>0.70949717153696668</c:v>
                </c:pt>
                <c:pt idx="21" formatCode="0.0">
                  <c:v>0.89951993561137267</c:v>
                </c:pt>
                <c:pt idx="22" formatCode="0.0">
                  <c:v>1.1404184883522737</c:v>
                </c:pt>
                <c:pt idx="23" formatCode="0.0">
                  <c:v>1.4458034381536577</c:v>
                </c:pt>
                <c:pt idx="24" formatCode="0.0">
                  <c:v>1.832920132835222</c:v>
                </c:pt>
                <c:pt idx="25" formatCode="0.0">
                  <c:v>2.3236154051870783</c:v>
                </c:pt>
                <c:pt idx="26" formatCode="0.0">
                  <c:v>2.9455590683611428</c:v>
                </c:pt>
                <c:pt idx="27" formatCode="0.0">
                  <c:v>3.7337858446174472</c:v>
                </c:pt>
                <c:pt idx="28" formatCode="0.0">
                  <c:v>4.7326394631129212</c:v>
                </c:pt>
                <c:pt idx="29" formatCode="0.0">
                  <c:v>5.9982200904286014</c:v>
                </c:pt>
                <c:pt idx="30" formatCode="0.0">
                  <c:v>7.6014594182345325</c:v>
                </c:pt>
                <c:pt idx="31" formatCode="0.0">
                  <c:v>9.6319747602686032</c:v>
                </c:pt>
                <c:pt idx="32" formatCode="0.0">
                  <c:v>12.202884079503887</c:v>
                </c:pt>
                <c:pt idx="33" formatCode="0.0">
                  <c:v>15.45679679401545</c:v>
                </c:pt>
                <c:pt idx="34" formatCode="0.0">
                  <c:v>19.573227822104606</c:v>
                </c:pt>
                <c:pt idx="35" formatCode="0.0">
                  <c:v>24.777709460516412</c:v>
                </c:pt>
                <c:pt idx="36" formatCode="0.0">
                  <c:v>31.352888182102081</c:v>
                </c:pt>
                <c:pt idx="37" formatCode="0.0">
                  <c:v>39.651875926042379</c:v>
                </c:pt>
                <c:pt idx="38" formatCode="0.0">
                  <c:v>50.114053309519434</c:v>
                </c:pt>
                <c:pt idx="39" formatCode="0.0">
                  <c:v>63.283357601948261</c:v>
                </c:pt>
                <c:pt idx="40" formatCode="0.0">
                  <c:v>79.82877586660878</c:v>
                </c:pt>
                <c:pt idx="41" formatCode="0.0">
                  <c:v>100.56622682872283</c:v>
                </c:pt>
                <c:pt idx="42" formatCode="0.0">
                  <c:v>126.48015648212289</c:v>
                </c:pt>
                <c:pt idx="43" formatCode="0.0">
                  <c:v>158.74188491476767</c:v>
                </c:pt>
                <c:pt idx="44" formatCode="0.0">
                  <c:v>198.71994012076414</c:v>
                </c:pt>
                <c:pt idx="45" formatCode="0.0">
                  <c:v>247.97530525781394</c:v>
                </c:pt>
                <c:pt idx="46" formatCode="0.0">
                  <c:v>308.23191251322572</c:v>
                </c:pt>
                <c:pt idx="47" formatCode="0.0">
                  <c:v>381.31046677707235</c:v>
                </c:pt>
                <c:pt idx="48" formatCode="0.0">
                  <c:v>469.01301677942951</c:v>
                </c:pt>
                <c:pt idx="49" formatCode="0.0">
                  <c:v>572.94856442903642</c:v>
                </c:pt>
                <c:pt idx="50" formatCode="0.0">
                  <c:v>694.29879403286463</c:v>
                </c:pt>
                <c:pt idx="51" formatCode="0.0">
                  <c:v>833.53946697126901</c:v>
                </c:pt>
                <c:pt idx="52" formatCode="0.0">
                  <c:v>990.15629945730541</c:v>
                </c:pt>
                <c:pt idx="53" formatCode="0.0">
                  <c:v>1162.4183927275574</c:v>
                </c:pt>
                <c:pt idx="54" formatCode="0.0">
                  <c:v>1347.2859610385947</c:v>
                </c:pt>
                <c:pt idx="55" formatCode="0.0">
                  <c:v>1540.5184451728619</c:v>
                </c:pt>
                <c:pt idx="56" formatCode="0.0">
                  <c:v>1737.0068172227352</c:v>
                </c:pt>
                <c:pt idx="57" formatCode="0.0">
                  <c:v>1931.2886137081189</c:v>
                </c:pt>
                <c:pt idx="58" formatCode="0.0">
                  <c:v>2118.1418421623944</c:v>
                </c:pt>
                <c:pt idx="59" formatCode="0.0">
                  <c:v>2293.1249494569215</c:v>
                </c:pt>
                <c:pt idx="60" formatCode="0.0">
                  <c:v>2452.9499642069086</c:v>
                </c:pt>
                <c:pt idx="61" formatCode="0.0">
                  <c:v>2595.6340285139645</c:v>
                </c:pt>
                <c:pt idx="62" formatCode="0.000E+00">
                  <c:v>2720.4416709307866</c:v>
                </c:pt>
                <c:pt idx="63" formatCode="0.000E+00">
                  <c:v>3183.326420899582</c:v>
                </c:pt>
                <c:pt idx="64" formatCode="0.000E+00">
                  <c:v>3289.5888974440791</c:v>
                </c:pt>
                <c:pt idx="65" formatCode="0.000E+00">
                  <c:v>3310.5689342972182</c:v>
                </c:pt>
                <c:pt idx="66" formatCode="0.000E+00">
                  <c:v>3314.5822032518649</c:v>
                </c:pt>
                <c:pt idx="67" formatCode="0.000E+00">
                  <c:v>3315.3452115095006</c:v>
                </c:pt>
                <c:pt idx="68" formatCode="0.000E+00">
                  <c:v>3315.4901063869984</c:v>
                </c:pt>
                <c:pt idx="69" formatCode="0.000E+00">
                  <c:v>3315.517615745774</c:v>
                </c:pt>
                <c:pt idx="70" formatCode="0.000E+00">
                  <c:v>3315.5228383799545</c:v>
                </c:pt>
                <c:pt idx="71" formatCode="0.000E+00">
                  <c:v>3315.5238298857857</c:v>
                </c:pt>
                <c:pt idx="72" formatCode="0.000E+00">
                  <c:v>3315.5240181207428</c:v>
                </c:pt>
                <c:pt idx="73" formatCode="0.000E+00">
                  <c:v>3315.5240538566786</c:v>
                </c:pt>
                <c:pt idx="74" formatCode="0.000E+00">
                  <c:v>3315.5240606410562</c:v>
                </c:pt>
                <c:pt idx="75" formatCode="0.000E+00">
                  <c:v>3315.5240619290535</c:v>
                </c:pt>
                <c:pt idx="76" formatCode="0.000E+00">
                  <c:v>3315.5240621735761</c:v>
                </c:pt>
                <c:pt idx="77" formatCode="0.000E+00">
                  <c:v>3315.5240622199981</c:v>
                </c:pt>
                <c:pt idx="78" formatCode="0.000E+00">
                  <c:v>3315.5240622288111</c:v>
                </c:pt>
                <c:pt idx="79" formatCode="0.000E+00">
                  <c:v>3315.5240622304846</c:v>
                </c:pt>
                <c:pt idx="80" formatCode="0.000E+00">
                  <c:v>3315.524062230802</c:v>
                </c:pt>
                <c:pt idx="81" formatCode="0.000E+00">
                  <c:v>3315.524062230862</c:v>
                </c:pt>
                <c:pt idx="82" formatCode="0.000E+00">
                  <c:v>3315.5240622308738</c:v>
                </c:pt>
                <c:pt idx="83" formatCode="0.000E+00">
                  <c:v>3315.5240622308756</c:v>
                </c:pt>
                <c:pt idx="84" formatCode="0.000E+00">
                  <c:v>3315.5240622308766</c:v>
                </c:pt>
                <c:pt idx="85" formatCode="0.000E+00">
                  <c:v>3315.5240622308766</c:v>
                </c:pt>
                <c:pt idx="86" formatCode="0.000E+00">
                  <c:v>3315.5240622308766</c:v>
                </c:pt>
                <c:pt idx="87" formatCode="0.000E+00">
                  <c:v>3315.5240622308766</c:v>
                </c:pt>
                <c:pt idx="88" formatCode="0.000E+00">
                  <c:v>3315.5240622308766</c:v>
                </c:pt>
                <c:pt idx="89" formatCode="0.000E+00">
                  <c:v>3315.5240622308766</c:v>
                </c:pt>
                <c:pt idx="90" formatCode="0.000E+00">
                  <c:v>3315.5240622308766</c:v>
                </c:pt>
                <c:pt idx="91" formatCode="0.000E+00">
                  <c:v>3315.5240622308766</c:v>
                </c:pt>
                <c:pt idx="92" formatCode="0.000E+00">
                  <c:v>3315.5240622308766</c:v>
                </c:pt>
                <c:pt idx="93" formatCode="0.000E+00">
                  <c:v>3315.5240622308766</c:v>
                </c:pt>
                <c:pt idx="94" formatCode="0.000E+00">
                  <c:v>3315.5240622308766</c:v>
                </c:pt>
                <c:pt idx="95" formatCode="0.000E+00">
                  <c:v>3315.5240622308766</c:v>
                </c:pt>
                <c:pt idx="96" formatCode="0.000E+00">
                  <c:v>3315.5240622308766</c:v>
                </c:pt>
                <c:pt idx="97" formatCode="0.000E+00">
                  <c:v>3315.5240622308766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054872"/>
        <c:axId val="634078000"/>
      </c:scatterChart>
      <c:valAx>
        <c:axId val="634054872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78000"/>
        <c:crossesAt val="0.1"/>
        <c:crossBetween val="midCat"/>
        <c:majorUnit val="14"/>
        <c:minorUnit val="7"/>
      </c:valAx>
      <c:valAx>
        <c:axId val="634078000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05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myData!$CX$16</c:f>
          <c:strCache>
            <c:ptCount val="1"/>
            <c:pt idx="0">
              <c:v>COVID19 Skorea P(t) = b / {d+[( b/Po - d ) ]* exp(-b*t)}
b=0.3, d=3.49E-05, P0=219.422 Limit=1.67 k=&gt;8.61 k cases , log fit from 19th Feb 
 25-Mar,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Skorea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64"/>
                <c:pt idx="0">
                  <c:v>0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 formatCode="##0.0E+00">
                  <c:v>117.1206225680934</c:v>
                </c:pt>
                <c:pt idx="33" formatCode="##0.0E+00">
                  <c:v>162.06225680933852</c:v>
                </c:pt>
                <c:pt idx="34" formatCode="##0.0E+00">
                  <c:v>190.07782101167317</c:v>
                </c:pt>
                <c:pt idx="35" formatCode="##0.0E+00">
                  <c:v>245.33073929961091</c:v>
                </c:pt>
                <c:pt idx="36" formatCode="##0.0E+00">
                  <c:v>343.579766536965</c:v>
                </c:pt>
                <c:pt idx="37" formatCode="##0.0E+00">
                  <c:v>454.66926070038915</c:v>
                </c:pt>
                <c:pt idx="38" formatCode="##0.0E+00">
                  <c:v>612.84046692607012</c:v>
                </c:pt>
                <c:pt idx="39" formatCode="##0.0E+00">
                  <c:v>726.84824902723744</c:v>
                </c:pt>
                <c:pt idx="40" formatCode="##0.0E+00">
                  <c:v>843.38521400778211</c:v>
                </c:pt>
                <c:pt idx="41" formatCode="##0.0E+00">
                  <c:v>1008.9494163424125</c:v>
                </c:pt>
                <c:pt idx="42" formatCode="##0.0E+00">
                  <c:v>1093.5797665369651</c:v>
                </c:pt>
                <c:pt idx="43" formatCode="##0.0E+00">
                  <c:v>1184.4357976653698</c:v>
                </c:pt>
                <c:pt idx="44" formatCode="##0.0E+00">
                  <c:v>1282.6848249027239</c:v>
                </c:pt>
                <c:pt idx="45" formatCode="##0.0E+00">
                  <c:v>1369.8443579766538</c:v>
                </c:pt>
                <c:pt idx="46" formatCode="##0.0E+00">
                  <c:v>1422.95719844358</c:v>
                </c:pt>
                <c:pt idx="47" formatCode="##0.0E+00">
                  <c:v>1454.8638132295721</c:v>
                </c:pt>
                <c:pt idx="48" formatCode="##0.0E+00">
                  <c:v>1461.6731517509729</c:v>
                </c:pt>
                <c:pt idx="49" formatCode="##0.0E+00">
                  <c:v>1508.7548638132296</c:v>
                </c:pt>
                <c:pt idx="50" formatCode="##0.0E+00">
                  <c:v>1530.933852140078</c:v>
                </c:pt>
                <c:pt idx="51" formatCode="##0.0E+00">
                  <c:v>1552.3346303501946</c:v>
                </c:pt>
                <c:pt idx="52" formatCode="##0.0E+00">
                  <c:v>1573.1517509727628</c:v>
                </c:pt>
                <c:pt idx="53" formatCode="##0.0E+00">
                  <c:v>1587.9377431906616</c:v>
                </c:pt>
                <c:pt idx="54" formatCode="##0.0E+00">
                  <c:v>1602.3346303501946</c:v>
                </c:pt>
                <c:pt idx="55" formatCode="##0.0E+00">
                  <c:v>1618.6770428015566</c:v>
                </c:pt>
                <c:pt idx="56" formatCode="##0.0E+00">
                  <c:v>1636.7704280155642</c:v>
                </c:pt>
                <c:pt idx="57" formatCode="##0.0E+00">
                  <c:v>1666.342412451362</c:v>
                </c:pt>
                <c:pt idx="58" formatCode="##0.0E+00">
                  <c:v>1683.2684824902724</c:v>
                </c:pt>
                <c:pt idx="59" formatCode="##0.0E+00">
                  <c:v>1711.8677042801557</c:v>
                </c:pt>
                <c:pt idx="60" formatCode="##0.0E+00">
                  <c:v>1743.3852140077822</c:v>
                </c:pt>
                <c:pt idx="61" formatCode="##0.0E+00">
                  <c:v>1743.3852140077822</c:v>
                </c:pt>
                <c:pt idx="62" formatCode="##0.0E+00">
                  <c:v>1758.1712062256811</c:v>
                </c:pt>
                <c:pt idx="63" formatCode="##0.0E+00">
                  <c:v>1777.626459143969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myData!SKoreaSeries</c:f>
              <c:strCache>
                <c:ptCount val="1"/>
                <c:pt idx="0">
                  <c:v>Skorea Limit 1.67 k fr 19th Feb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79"/>
                <c:pt idx="0">
                  <c:v>43880</c:v>
                </c:pt>
                <c:pt idx="1">
                  <c:v>43881</c:v>
                </c:pt>
                <c:pt idx="2">
                  <c:v>43882</c:v>
                </c:pt>
                <c:pt idx="3">
                  <c:v>43883</c:v>
                </c:pt>
                <c:pt idx="4">
                  <c:v>43884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43930</c:v>
                </c:pt>
                <c:pt idx="45">
                  <c:v>43937</c:v>
                </c:pt>
                <c:pt idx="46">
                  <c:v>43944</c:v>
                </c:pt>
                <c:pt idx="47">
                  <c:v>43951</c:v>
                </c:pt>
                <c:pt idx="48">
                  <c:v>43958</c:v>
                </c:pt>
                <c:pt idx="49">
                  <c:v>43965</c:v>
                </c:pt>
                <c:pt idx="50">
                  <c:v>43972</c:v>
                </c:pt>
                <c:pt idx="51">
                  <c:v>43979</c:v>
                </c:pt>
                <c:pt idx="52">
                  <c:v>43986</c:v>
                </c:pt>
                <c:pt idx="53">
                  <c:v>43993</c:v>
                </c:pt>
                <c:pt idx="54">
                  <c:v>44000</c:v>
                </c:pt>
                <c:pt idx="55">
                  <c:v>44007</c:v>
                </c:pt>
                <c:pt idx="56">
                  <c:v>44014</c:v>
                </c:pt>
                <c:pt idx="57">
                  <c:v>44021</c:v>
                </c:pt>
                <c:pt idx="58">
                  <c:v>44028</c:v>
                </c:pt>
                <c:pt idx="59">
                  <c:v>44035</c:v>
                </c:pt>
                <c:pt idx="60">
                  <c:v>44042</c:v>
                </c:pt>
                <c:pt idx="61">
                  <c:v>44049</c:v>
                </c:pt>
                <c:pt idx="62">
                  <c:v>44056</c:v>
                </c:pt>
                <c:pt idx="63">
                  <c:v>44063</c:v>
                </c:pt>
                <c:pt idx="64">
                  <c:v>44070</c:v>
                </c:pt>
                <c:pt idx="65">
                  <c:v>44077</c:v>
                </c:pt>
                <c:pt idx="66">
                  <c:v>44084</c:v>
                </c:pt>
                <c:pt idx="67">
                  <c:v>44091</c:v>
                </c:pt>
                <c:pt idx="68">
                  <c:v>44098</c:v>
                </c:pt>
                <c:pt idx="69">
                  <c:v>44105</c:v>
                </c:pt>
                <c:pt idx="70">
                  <c:v>44112</c:v>
                </c:pt>
                <c:pt idx="71">
                  <c:v>44119</c:v>
                </c:pt>
                <c:pt idx="72">
                  <c:v>44126</c:v>
                </c:pt>
                <c:pt idx="73">
                  <c:v>44133</c:v>
                </c:pt>
                <c:pt idx="74">
                  <c:v>44140</c:v>
                </c:pt>
                <c:pt idx="75">
                  <c:v>44147</c:v>
                </c:pt>
                <c:pt idx="76">
                  <c:v>44154</c:v>
                </c:pt>
                <c:pt idx="77">
                  <c:v>44161</c:v>
                </c:pt>
                <c:pt idx="78">
                  <c:v>44168</c:v>
                </c:pt>
              </c:numCache>
            </c:numRef>
          </c:xVal>
          <c:yVal>
            <c:numRef>
              <c:f>myData!SKoreaLogi</c:f>
              <c:numCache>
                <c:formatCode>0.0</c:formatCode>
                <c:ptCount val="79"/>
                <c:pt idx="0">
                  <c:v>42.689071504860067</c:v>
                </c:pt>
                <c:pt idx="1">
                  <c:v>57.125715155604773</c:v>
                </c:pt>
                <c:pt idx="2">
                  <c:v>76.216546368837299</c:v>
                </c:pt>
                <c:pt idx="3">
                  <c:v>101.28782458561645</c:v>
                </c:pt>
                <c:pt idx="4">
                  <c:v>133.91529830872742</c:v>
                </c:pt>
                <c:pt idx="5">
                  <c:v>175.87804141596899</c:v>
                </c:pt>
                <c:pt idx="6">
                  <c:v>229.0352313762765</c:v>
                </c:pt>
                <c:pt idx="7">
                  <c:v>295.09524334715269</c:v>
                </c:pt>
                <c:pt idx="8">
                  <c:v>375.26262798900956</c:v>
                </c:pt>
                <c:pt idx="9">
                  <c:v>469.79210772894976</c:v>
                </c:pt>
                <c:pt idx="10">
                  <c:v>577.54954150487197</c:v>
                </c:pt>
                <c:pt idx="11">
                  <c:v>695.75053186509251</c:v>
                </c:pt>
                <c:pt idx="12">
                  <c:v>820.05977639250727</c:v>
                </c:pt>
                <c:pt idx="13">
                  <c:v>945.13449647174377</c:v>
                </c:pt>
                <c:pt idx="14">
                  <c:v>1065.5004658453468</c:v>
                </c:pt>
                <c:pt idx="15">
                  <c:v>1176.4737360121678</c:v>
                </c:pt>
                <c:pt idx="16">
                  <c:v>1274.8155309138397</c:v>
                </c:pt>
                <c:pt idx="17">
                  <c:v>1358.9523663555181</c:v>
                </c:pt>
                <c:pt idx="18">
                  <c:v>1428.7973987469989</c:v>
                </c:pt>
                <c:pt idx="19">
                  <c:v>1485.3410050761204</c:v>
                </c:pt>
                <c:pt idx="20">
                  <c:v>1530.1933558478495</c:v>
                </c:pt>
                <c:pt idx="21">
                  <c:v>1565.2003663595126</c:v>
                </c:pt>
                <c:pt idx="22">
                  <c:v>1592.1794233012943</c:v>
                </c:pt>
                <c:pt idx="23">
                  <c:v>1612.7693658163619</c:v>
                </c:pt>
                <c:pt idx="24">
                  <c:v>1628.3663739058684</c:v>
                </c:pt>
                <c:pt idx="25">
                  <c:v>1640.1145175889246</c:v>
                </c:pt>
                <c:pt idx="26">
                  <c:v>1648.9259052695952</c:v>
                </c:pt>
                <c:pt idx="27">
                  <c:v>1655.5135309857842</c:v>
                </c:pt>
                <c:pt idx="28">
                  <c:v>1660.4268341641477</c:v>
                </c:pt>
                <c:pt idx="29">
                  <c:v>1664.0848226404412</c:v>
                </c:pt>
                <c:pt idx="30">
                  <c:v>1666.8045998145201</c:v>
                </c:pt>
                <c:pt idx="31">
                  <c:v>1668.8248011557205</c:v>
                </c:pt>
                <c:pt idx="32">
                  <c:v>1670.3242677694802</c:v>
                </c:pt>
                <c:pt idx="33">
                  <c:v>1671.4366191870788</c:v>
                </c:pt>
                <c:pt idx="34">
                  <c:v>1672.2614624810558</c:v>
                </c:pt>
                <c:pt idx="35">
                  <c:v>1672.8729259732977</c:v>
                </c:pt>
                <c:pt idx="36">
                  <c:v>1673.326108318807</c:v>
                </c:pt>
                <c:pt idx="37">
                  <c:v>1673.6619261956942</c:v>
                </c:pt>
                <c:pt idx="38">
                  <c:v>1673.9107440645398</c:v>
                </c:pt>
                <c:pt idx="39">
                  <c:v>1674.0950842394766</c:v>
                </c:pt>
                <c:pt idx="40">
                  <c:v>1674.2316460574734</c:v>
                </c:pt>
                <c:pt idx="41">
                  <c:v>1674.3328079628106</c:v>
                </c:pt>
                <c:pt idx="42">
                  <c:v>1674.4077436548459</c:v>
                </c:pt>
                <c:pt idx="43">
                  <c:v>1674.4632507628428</c:v>
                </c:pt>
                <c:pt idx="44">
                  <c:v>1674.6024152133152</c:v>
                </c:pt>
                <c:pt idx="45">
                  <c:v>1674.6194348830604</c:v>
                </c:pt>
                <c:pt idx="46">
                  <c:v>1674.6215162008459</c:v>
                </c:pt>
                <c:pt idx="47">
                  <c:v>1674.6217707204937</c:v>
                </c:pt>
                <c:pt idx="48">
                  <c:v>1674.6218018450882</c:v>
                </c:pt>
                <c:pt idx="49">
                  <c:v>1674.6218056512396</c:v>
                </c:pt>
                <c:pt idx="50">
                  <c:v>1674.6218061166842</c:v>
                </c:pt>
                <c:pt idx="51">
                  <c:v>1674.6218061736024</c:v>
                </c:pt>
                <c:pt idx="52">
                  <c:v>1674.621806180563</c:v>
                </c:pt>
                <c:pt idx="53">
                  <c:v>1674.6218061814141</c:v>
                </c:pt>
                <c:pt idx="54">
                  <c:v>1674.6218061815182</c:v>
                </c:pt>
                <c:pt idx="55">
                  <c:v>1674.6218061815309</c:v>
                </c:pt>
                <c:pt idx="56">
                  <c:v>1674.6218061815323</c:v>
                </c:pt>
                <c:pt idx="57">
                  <c:v>1674.6218061815327</c:v>
                </c:pt>
                <c:pt idx="58">
                  <c:v>1674.6218061815327</c:v>
                </c:pt>
                <c:pt idx="59">
                  <c:v>1674.6218061815327</c:v>
                </c:pt>
                <c:pt idx="60">
                  <c:v>1674.6218061815327</c:v>
                </c:pt>
                <c:pt idx="61">
                  <c:v>1674.6218061815327</c:v>
                </c:pt>
                <c:pt idx="62">
                  <c:v>1674.6218061815327</c:v>
                </c:pt>
                <c:pt idx="63">
                  <c:v>1674.6218061815327</c:v>
                </c:pt>
                <c:pt idx="64">
                  <c:v>1674.6218061815327</c:v>
                </c:pt>
                <c:pt idx="65">
                  <c:v>1674.6218061815327</c:v>
                </c:pt>
                <c:pt idx="66">
                  <c:v>1674.6218061815327</c:v>
                </c:pt>
                <c:pt idx="67">
                  <c:v>1674.6218061815327</c:v>
                </c:pt>
                <c:pt idx="68">
                  <c:v>1674.6218061815327</c:v>
                </c:pt>
                <c:pt idx="69">
                  <c:v>1674.6218061815327</c:v>
                </c:pt>
                <c:pt idx="70">
                  <c:v>1674.6218061815327</c:v>
                </c:pt>
                <c:pt idx="71">
                  <c:v>1674.6218061815327</c:v>
                </c:pt>
                <c:pt idx="72">
                  <c:v>1674.6218061815327</c:v>
                </c:pt>
                <c:pt idx="73">
                  <c:v>1674.6218061815327</c:v>
                </c:pt>
                <c:pt idx="74">
                  <c:v>1674.6218061815327</c:v>
                </c:pt>
                <c:pt idx="75">
                  <c:v>1674.6218061815327</c:v>
                </c:pt>
                <c:pt idx="76">
                  <c:v>1674.6218061815327</c:v>
                </c:pt>
                <c:pt idx="77">
                  <c:v>1674.6218061815327</c:v>
                </c:pt>
                <c:pt idx="78">
                  <c:v>1674.6218061815327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074128"/>
        <c:axId val="615307368"/>
      </c:scatterChart>
      <c:valAx>
        <c:axId val="624074128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307368"/>
        <c:crossesAt val="0.1"/>
        <c:crossBetween val="midCat"/>
        <c:majorUnit val="14"/>
        <c:minorUnit val="7"/>
      </c:valAx>
      <c:valAx>
        <c:axId val="615307368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7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myData!$CV$11</c:f>
          <c:strCache>
            <c:ptCount val="1"/>
            <c:pt idx="0">
              <c:v>Australia Limit 2.77 k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61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61"/>
                <c:pt idx="0">
                  <c:v>3.7128712871287126</c:v>
                </c:pt>
                <c:pt idx="1">
                  <c:v>4.9504950495049505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7.4257425742574252</c:v>
                </c:pt>
                <c:pt idx="36">
                  <c:v>7.4257425742574252</c:v>
                </c:pt>
                <c:pt idx="37">
                  <c:v>16.089108910891088</c:v>
                </c:pt>
                <c:pt idx="38">
                  <c:v>27.227722772277225</c:v>
                </c:pt>
                <c:pt idx="39">
                  <c:v>27.227722772277225</c:v>
                </c:pt>
                <c:pt idx="40">
                  <c:v>32.178217821782177</c:v>
                </c:pt>
                <c:pt idx="41">
                  <c:v>34.653465346534652</c:v>
                </c:pt>
                <c:pt idx="42">
                  <c:v>47.029702970297024</c:v>
                </c:pt>
                <c:pt idx="43">
                  <c:v>59.405940594059402</c:v>
                </c:pt>
                <c:pt idx="44">
                  <c:v>68.06930693069306</c:v>
                </c:pt>
                <c:pt idx="45">
                  <c:v>80.445544554455438</c:v>
                </c:pt>
                <c:pt idx="46">
                  <c:v>80.445544554455438</c:v>
                </c:pt>
                <c:pt idx="47">
                  <c:v>113.86138613861385</c:v>
                </c:pt>
                <c:pt idx="48">
                  <c:v>138.61386138613861</c:v>
                </c:pt>
                <c:pt idx="49">
                  <c:v>165.84158415841583</c:v>
                </c:pt>
                <c:pt idx="50">
                  <c:v>211.63366336633663</c:v>
                </c:pt>
                <c:pt idx="51">
                  <c:v>259.9009900990099</c:v>
                </c:pt>
                <c:pt idx="52">
                  <c:v>330.44554455445541</c:v>
                </c:pt>
                <c:pt idx="53">
                  <c:v>379.95049504950492</c:v>
                </c:pt>
                <c:pt idx="54">
                  <c:v>436.88118811881185</c:v>
                </c:pt>
                <c:pt idx="55">
                  <c:v>539.60396039603961</c:v>
                </c:pt>
                <c:pt idx="56">
                  <c:v>827.97029702970292</c:v>
                </c:pt>
                <c:pt idx="57">
                  <c:v>827.97029702970292</c:v>
                </c:pt>
                <c:pt idx="58">
                  <c:v>1012.3762376237623</c:v>
                </c:pt>
                <c:pt idx="59">
                  <c:v>1273.5148514851485</c:v>
                </c:pt>
                <c:pt idx="60">
                  <c:v>1508.6633663366335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11.9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43922</c:v>
                </c:pt>
                <c:pt idx="67">
                  <c:v>43923</c:v>
                </c:pt>
                <c:pt idx="68">
                  <c:v>43930</c:v>
                </c:pt>
                <c:pt idx="69">
                  <c:v>43937</c:v>
                </c:pt>
                <c:pt idx="70">
                  <c:v>43944</c:v>
                </c:pt>
                <c:pt idx="71">
                  <c:v>43951</c:v>
                </c:pt>
                <c:pt idx="72">
                  <c:v>43958</c:v>
                </c:pt>
                <c:pt idx="73">
                  <c:v>43965</c:v>
                </c:pt>
                <c:pt idx="74">
                  <c:v>43972</c:v>
                </c:pt>
                <c:pt idx="75">
                  <c:v>43979</c:v>
                </c:pt>
                <c:pt idx="76">
                  <c:v>43986</c:v>
                </c:pt>
                <c:pt idx="77">
                  <c:v>43993</c:v>
                </c:pt>
                <c:pt idx="78">
                  <c:v>44000</c:v>
                </c:pt>
                <c:pt idx="79">
                  <c:v>44007</c:v>
                </c:pt>
                <c:pt idx="80">
                  <c:v>44014</c:v>
                </c:pt>
                <c:pt idx="81">
                  <c:v>44021</c:v>
                </c:pt>
                <c:pt idx="82">
                  <c:v>44028</c:v>
                </c:pt>
                <c:pt idx="83">
                  <c:v>44035</c:v>
                </c:pt>
                <c:pt idx="84">
                  <c:v>44042</c:v>
                </c:pt>
                <c:pt idx="85">
                  <c:v>44049</c:v>
                </c:pt>
                <c:pt idx="86">
                  <c:v>44056</c:v>
                </c:pt>
                <c:pt idx="87">
                  <c:v>44063</c:v>
                </c:pt>
                <c:pt idx="88">
                  <c:v>44070</c:v>
                </c:pt>
                <c:pt idx="89">
                  <c:v>44077</c:v>
                </c:pt>
                <c:pt idx="90">
                  <c:v>44084</c:v>
                </c:pt>
                <c:pt idx="91">
                  <c:v>44091</c:v>
                </c:pt>
                <c:pt idx="92">
                  <c:v>44098</c:v>
                </c:pt>
                <c:pt idx="93">
                  <c:v>44105</c:v>
                </c:pt>
                <c:pt idx="94">
                  <c:v>44112</c:v>
                </c:pt>
                <c:pt idx="95">
                  <c:v>44119</c:v>
                </c:pt>
                <c:pt idx="96">
                  <c:v>44126</c:v>
                </c:pt>
                <c:pt idx="97">
                  <c:v>44133</c:v>
                </c:pt>
                <c:pt idx="98">
                  <c:v>44140</c:v>
                </c:pt>
                <c:pt idx="99">
                  <c:v>44147</c:v>
                </c:pt>
                <c:pt idx="100">
                  <c:v>44154</c:v>
                </c:pt>
                <c:pt idx="101">
                  <c:v>44161</c:v>
                </c:pt>
                <c:pt idx="102">
                  <c:v>44168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3"/>
                <c:pt idx="0">
                  <c:v>6.3712984807301754E-3</c:v>
                </c:pt>
                <c:pt idx="1">
                  <c:v>7.8487840642898453E-3</c:v>
                </c:pt>
                <c:pt idx="2">
                  <c:v>9.6688939778353522E-3</c:v>
                </c:pt>
                <c:pt idx="3">
                  <c:v>1.1911081597819484E-2</c:v>
                </c:pt>
                <c:pt idx="4">
                  <c:v>1.4673225184410197E-2</c:v>
                </c:pt>
                <c:pt idx="5">
                  <c:v>1.807590049120817E-2</c:v>
                </c:pt>
                <c:pt idx="6">
                  <c:v>2.226764414513269E-2</c:v>
                </c:pt>
                <c:pt idx="7">
                  <c:v>2.743143753458533E-2</c:v>
                </c:pt>
                <c:pt idx="8">
                  <c:v>3.3792694209925055E-2</c:v>
                </c:pt>
                <c:pt idx="9">
                  <c:v>4.1629099413407263E-2</c:v>
                </c:pt>
                <c:pt idx="10">
                  <c:v>5.1282731176733508E-2</c:v>
                </c:pt>
                <c:pt idx="11">
                  <c:v>6.3174991975944172E-2</c:v>
                </c:pt>
                <c:pt idx="12">
                  <c:v>7.7825002553146866E-2</c:v>
                </c:pt>
                <c:pt idx="13">
                  <c:v>9.5872260542864726E-2</c:v>
                </c:pt>
                <c:pt idx="14">
                  <c:v>0.11810455255167786</c:v>
                </c:pt>
                <c:pt idx="15">
                  <c:v>0.14549233742475587</c:v>
                </c:pt>
                <c:pt idx="16">
                  <c:v>0.17923110054882554</c:v>
                </c:pt>
                <c:pt idx="17">
                  <c:v>0.22079352643764122</c:v>
                </c:pt>
                <c:pt idx="18">
                  <c:v>0.27199376458837904</c:v>
                </c:pt>
                <c:pt idx="19">
                  <c:v>0.3350665902065712</c:v>
                </c:pt>
                <c:pt idx="20">
                  <c:v>0.41276490963182538</c:v>
                </c:pt>
                <c:pt idx="21">
                  <c:v>0.508479858105782</c:v>
                </c:pt>
                <c:pt idx="22">
                  <c:v>0.62638871920597339</c:v>
                </c:pt>
                <c:pt idx="23">
                  <c:v>0.77163710287616338</c:v>
                </c:pt>
                <c:pt idx="24">
                  <c:v>0.95056330401493339</c:v>
                </c:pt>
                <c:pt idx="25">
                  <c:v>1.1709745890210341</c:v>
                </c:pt>
                <c:pt idx="26">
                  <c:v>1.4424874004241792</c:v>
                </c:pt>
                <c:pt idx="27">
                  <c:v>1.7769462234123128</c:v>
                </c:pt>
                <c:pt idx="28">
                  <c:v>2.1889392364740052</c:v>
                </c:pt>
                <c:pt idx="29">
                  <c:v>2.6964330092326785</c:v>
                </c:pt>
                <c:pt idx="30">
                  <c:v>3.3215535798391</c:v>
                </c:pt>
                <c:pt idx="31">
                  <c:v>4.0915474409086281</c:v>
                </c:pt>
                <c:pt idx="32">
                  <c:v>5.0399635235325233</c:v>
                </c:pt>
                <c:pt idx="33">
                  <c:v>6.208106472073557</c:v>
                </c:pt>
                <c:pt idx="34">
                  <c:v>7.6468226723816715</c:v>
                </c:pt>
                <c:pt idx="35">
                  <c:v>9.4186940029785617</c:v>
                </c:pt>
                <c:pt idx="36">
                  <c:v>11.600730535048687</c:v>
                </c:pt>
                <c:pt idx="37">
                  <c:v>14.287672855037508</c:v>
                </c:pt>
                <c:pt idx="38">
                  <c:v>17.596037769575929</c:v>
                </c:pt>
                <c:pt idx="39">
                  <c:v>21.669068278614812</c:v>
                </c:pt>
                <c:pt idx="40">
                  <c:v>26.682780144797977</c:v>
                </c:pt>
                <c:pt idx="41">
                  <c:v>32.853333158594644</c:v>
                </c:pt>
                <c:pt idx="42">
                  <c:v>40.445994834390724</c:v>
                </c:pt>
                <c:pt idx="43">
                  <c:v>49.786006493631319</c:v>
                </c:pt>
                <c:pt idx="44">
                  <c:v>61.271703896265599</c:v>
                </c:pt>
                <c:pt idx="45">
                  <c:v>75.390282094892427</c:v>
                </c:pt>
                <c:pt idx="46">
                  <c:v>92.736619165176265</c:v>
                </c:pt>
                <c:pt idx="47">
                  <c:v>114.03557336852663</c:v>
                </c:pt>
                <c:pt idx="48">
                  <c:v>140.16812379875256</c:v>
                </c:pt>
                <c:pt idx="49">
                  <c:v>172.20160683402094</c:v>
                </c:pt>
                <c:pt idx="50">
                  <c:v>211.42406819814897</c:v>
                </c:pt>
                <c:pt idx="51">
                  <c:v>259.38234538965673</c:v>
                </c:pt>
                <c:pt idx="52">
                  <c:v>317.92284106745399</c:v>
                </c:pt>
                <c:pt idx="53">
                  <c:v>389.23294933643001</c:v>
                </c:pt>
                <c:pt idx="54">
                  <c:v>475.87964623656359</c:v>
                </c:pt>
                <c:pt idx="55">
                  <c:v>580.83975269771838</c:v>
                </c:pt>
                <c:pt idx="56">
                  <c:v>707.51377059479773</c:v>
                </c:pt>
                <c:pt idx="57">
                  <c:v>859.71205066950142</c:v>
                </c:pt>
                <c:pt idx="58">
                  <c:v>1041.5986850414913</c:v>
                </c:pt>
                <c:pt idx="59">
                  <c:v>1257.5756347546417</c:v>
                </c:pt>
                <c:pt idx="60">
                  <c:v>1512.0884766621496</c:v>
                </c:pt>
                <c:pt idx="61">
                  <c:v>1809.3377049792223</c:v>
                </c:pt>
                <c:pt idx="62">
                  <c:v>2152.8881502544336</c:v>
                </c:pt>
                <c:pt idx="63">
                  <c:v>2545.1859962546355</c:v>
                </c:pt>
                <c:pt idx="64">
                  <c:v>2987.0187662352032</c:v>
                </c:pt>
                <c:pt idx="65">
                  <c:v>3476.9857623387938</c:v>
                </c:pt>
                <c:pt idx="66">
                  <c:v>4011.0769128489947</c:v>
                </c:pt>
                <c:pt idx="67">
                  <c:v>4582.4739601766814</c:v>
                </c:pt>
                <c:pt idx="68">
                  <c:v>8672.7236910020129</c:v>
                </c:pt>
                <c:pt idx="69" formatCode="0.00E+00">
                  <c:v>10940.930780631754</c:v>
                </c:pt>
                <c:pt idx="70" formatCode="0.00E+00">
                  <c:v>11648.511933451053</c:v>
                </c:pt>
                <c:pt idx="71" formatCode="0.00E+00">
                  <c:v>11826.153299668858</c:v>
                </c:pt>
                <c:pt idx="72" formatCode="0.00E+00">
                  <c:v>11868.190790849338</c:v>
                </c:pt>
                <c:pt idx="73" formatCode="0.00E+00">
                  <c:v>11877.99731544269</c:v>
                </c:pt>
                <c:pt idx="74" formatCode="0.00E+00">
                  <c:v>11880.277320420282</c:v>
                </c:pt>
                <c:pt idx="75" formatCode="0.00E+00">
                  <c:v>11880.807004753402</c:v>
                </c:pt>
                <c:pt idx="76" formatCode="0.00E+00">
                  <c:v>11880.930037183418</c:v>
                </c:pt>
                <c:pt idx="77" formatCode="0.00E+00">
                  <c:v>11880.958613336119</c:v>
                </c:pt>
                <c:pt idx="78" formatCode="0.00E+00">
                  <c:v>11880.965250517091</c:v>
                </c:pt>
                <c:pt idx="79" formatCode="0.00E+00">
                  <c:v>11880.966792084682</c:v>
                </c:pt>
                <c:pt idx="80" formatCode="0.00E+00">
                  <c:v>11880.967150132688</c:v>
                </c:pt>
                <c:pt idx="81" formatCode="0.00E+00">
                  <c:v>11880.967233293723</c:v>
                </c:pt>
                <c:pt idx="82" formatCode="0.00E+00">
                  <c:v>11880.967252608893</c:v>
                </c:pt>
                <c:pt idx="83" formatCode="0.00E+00">
                  <c:v>11880.967257095075</c:v>
                </c:pt>
                <c:pt idx="84" formatCode="0.00E+00">
                  <c:v>11880.967258137045</c:v>
                </c:pt>
                <c:pt idx="85" formatCode="0.00E+00">
                  <c:v>11880.967258379056</c:v>
                </c:pt>
                <c:pt idx="86" formatCode="0.00E+00">
                  <c:v>11880.967258435265</c:v>
                </c:pt>
                <c:pt idx="87" formatCode="0.00E+00">
                  <c:v>11880.96725844832</c:v>
                </c:pt>
                <c:pt idx="88" formatCode="0.00E+00">
                  <c:v>11880.967258451356</c:v>
                </c:pt>
                <c:pt idx="89" formatCode="0.00E+00">
                  <c:v>11880.967258452059</c:v>
                </c:pt>
                <c:pt idx="90" formatCode="0.00E+00">
                  <c:v>11880.967258452221</c:v>
                </c:pt>
                <c:pt idx="91" formatCode="0.00E+00">
                  <c:v>11880.96725845226</c:v>
                </c:pt>
                <c:pt idx="92" formatCode="0.00E+00">
                  <c:v>11880.967258452269</c:v>
                </c:pt>
                <c:pt idx="93" formatCode="0.00E+00">
                  <c:v>11880.96725845227</c:v>
                </c:pt>
                <c:pt idx="94" formatCode="0.00E+00">
                  <c:v>11880.96725845227</c:v>
                </c:pt>
                <c:pt idx="95" formatCode="0.00E+00">
                  <c:v>11880.96725845227</c:v>
                </c:pt>
                <c:pt idx="96" formatCode="0.00E+00">
                  <c:v>11880.96725845227</c:v>
                </c:pt>
                <c:pt idx="97" formatCode="0.00E+00">
                  <c:v>11880.96725845227</c:v>
                </c:pt>
                <c:pt idx="98" formatCode="0.00E+00">
                  <c:v>11880.96725845227</c:v>
                </c:pt>
                <c:pt idx="99" formatCode="0.00E+00">
                  <c:v>11880.96725845227</c:v>
                </c:pt>
                <c:pt idx="100" formatCode="0.00E+00">
                  <c:v>11880.96725845227</c:v>
                </c:pt>
                <c:pt idx="101" formatCode="0.00E+00">
                  <c:v>11880.96725845227</c:v>
                </c:pt>
                <c:pt idx="102" formatCode="0.00E+00">
                  <c:v>11880.96725845227</c:v>
                </c:pt>
              </c:numCache>
            </c:numRef>
          </c:yVal>
          <c:smooth val="0"/>
        </c:ser>
        <c:ser>
          <c:idx val="2"/>
          <c:order val="2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63"/>
                <c:pt idx="0">
                  <c:v>43853</c:v>
                </c:pt>
                <c:pt idx="1">
                  <c:v>43854</c:v>
                </c:pt>
                <c:pt idx="2">
                  <c:v>43855</c:v>
                </c:pt>
                <c:pt idx="3">
                  <c:v>43856</c:v>
                </c:pt>
                <c:pt idx="4">
                  <c:v>43857</c:v>
                </c:pt>
                <c:pt idx="5">
                  <c:v>43858</c:v>
                </c:pt>
                <c:pt idx="6">
                  <c:v>43859</c:v>
                </c:pt>
                <c:pt idx="7">
                  <c:v>43860</c:v>
                </c:pt>
                <c:pt idx="8">
                  <c:v>43861</c:v>
                </c:pt>
                <c:pt idx="9">
                  <c:v>43862</c:v>
                </c:pt>
                <c:pt idx="10">
                  <c:v>43863</c:v>
                </c:pt>
                <c:pt idx="11">
                  <c:v>43864</c:v>
                </c:pt>
                <c:pt idx="12">
                  <c:v>43865</c:v>
                </c:pt>
                <c:pt idx="13">
                  <c:v>43866</c:v>
                </c:pt>
                <c:pt idx="14">
                  <c:v>43867</c:v>
                </c:pt>
                <c:pt idx="15">
                  <c:v>43868</c:v>
                </c:pt>
                <c:pt idx="16">
                  <c:v>43869</c:v>
                </c:pt>
                <c:pt idx="17">
                  <c:v>43870</c:v>
                </c:pt>
                <c:pt idx="18">
                  <c:v>43871</c:v>
                </c:pt>
                <c:pt idx="19">
                  <c:v>43872</c:v>
                </c:pt>
                <c:pt idx="20">
                  <c:v>43873</c:v>
                </c:pt>
                <c:pt idx="21">
                  <c:v>43874</c:v>
                </c:pt>
                <c:pt idx="22">
                  <c:v>43875</c:v>
                </c:pt>
                <c:pt idx="23">
                  <c:v>43876</c:v>
                </c:pt>
                <c:pt idx="24">
                  <c:v>43877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43883</c:v>
                </c:pt>
                <c:pt idx="31">
                  <c:v>43884</c:v>
                </c:pt>
                <c:pt idx="32">
                  <c:v>43885</c:v>
                </c:pt>
                <c:pt idx="33">
                  <c:v>43886</c:v>
                </c:pt>
                <c:pt idx="34">
                  <c:v>43887</c:v>
                </c:pt>
                <c:pt idx="35">
                  <c:v>43888</c:v>
                </c:pt>
                <c:pt idx="36">
                  <c:v>43889</c:v>
                </c:pt>
                <c:pt idx="37">
                  <c:v>43890</c:v>
                </c:pt>
                <c:pt idx="38">
                  <c:v>43891</c:v>
                </c:pt>
                <c:pt idx="39">
                  <c:v>43892</c:v>
                </c:pt>
                <c:pt idx="40">
                  <c:v>43893</c:v>
                </c:pt>
                <c:pt idx="41">
                  <c:v>43894</c:v>
                </c:pt>
                <c:pt idx="42">
                  <c:v>43895</c:v>
                </c:pt>
                <c:pt idx="43">
                  <c:v>43896</c:v>
                </c:pt>
                <c:pt idx="44">
                  <c:v>43897</c:v>
                </c:pt>
                <c:pt idx="45">
                  <c:v>43898</c:v>
                </c:pt>
                <c:pt idx="46">
                  <c:v>43899</c:v>
                </c:pt>
                <c:pt idx="47">
                  <c:v>43900</c:v>
                </c:pt>
                <c:pt idx="48">
                  <c:v>43901</c:v>
                </c:pt>
                <c:pt idx="49">
                  <c:v>43902</c:v>
                </c:pt>
                <c:pt idx="50">
                  <c:v>43903</c:v>
                </c:pt>
                <c:pt idx="51">
                  <c:v>43904</c:v>
                </c:pt>
                <c:pt idx="52">
                  <c:v>43905</c:v>
                </c:pt>
                <c:pt idx="53">
                  <c:v>43906</c:v>
                </c:pt>
                <c:pt idx="54">
                  <c:v>43907</c:v>
                </c:pt>
                <c:pt idx="55">
                  <c:v>43908</c:v>
                </c:pt>
                <c:pt idx="56">
                  <c:v>43909</c:v>
                </c:pt>
                <c:pt idx="57">
                  <c:v>43910</c:v>
                </c:pt>
                <c:pt idx="58">
                  <c:v>43911</c:v>
                </c:pt>
                <c:pt idx="59">
                  <c:v>43912</c:v>
                </c:pt>
                <c:pt idx="60">
                  <c:v>43913</c:v>
                </c:pt>
                <c:pt idx="61">
                  <c:v>43914</c:v>
                </c:pt>
                <c:pt idx="62">
                  <c:v>43915</c:v>
                </c:pt>
              </c:numCache>
            </c:numRef>
          </c:xVal>
          <c:yVal>
            <c:numRef>
              <c:f>myData!USCases</c:f>
              <c:numCache>
                <c:formatCode>##0.0E+00</c:formatCode>
                <c:ptCount val="63"/>
                <c:pt idx="0">
                  <c:v>3.037411069235945E-2</c:v>
                </c:pt>
                <c:pt idx="1">
                  <c:v>6.0748221384718901E-2</c:v>
                </c:pt>
                <c:pt idx="2">
                  <c:v>6.0748221384718901E-2</c:v>
                </c:pt>
                <c:pt idx="3">
                  <c:v>0.15187055346179726</c:v>
                </c:pt>
                <c:pt idx="4">
                  <c:v>0.15187055346179726</c:v>
                </c:pt>
                <c:pt idx="5">
                  <c:v>0.15187055346179726</c:v>
                </c:pt>
                <c:pt idx="6">
                  <c:v>0.15187055346179726</c:v>
                </c:pt>
                <c:pt idx="7">
                  <c:v>0.15187055346179726</c:v>
                </c:pt>
                <c:pt idx="8">
                  <c:v>0.21261877484651615</c:v>
                </c:pt>
                <c:pt idx="9">
                  <c:v>0.2429928855388756</c:v>
                </c:pt>
                <c:pt idx="10">
                  <c:v>0.2429928855388756</c:v>
                </c:pt>
                <c:pt idx="11">
                  <c:v>0.33411521761595392</c:v>
                </c:pt>
                <c:pt idx="12">
                  <c:v>0.33411521761595392</c:v>
                </c:pt>
                <c:pt idx="13">
                  <c:v>0.33411521761595392</c:v>
                </c:pt>
                <c:pt idx="14">
                  <c:v>0.33411521761595392</c:v>
                </c:pt>
                <c:pt idx="15">
                  <c:v>0.33411521761595392</c:v>
                </c:pt>
                <c:pt idx="16">
                  <c:v>0.33411521761595392</c:v>
                </c:pt>
                <c:pt idx="17">
                  <c:v>0.33411521761595392</c:v>
                </c:pt>
                <c:pt idx="18">
                  <c:v>0.33411521761595392</c:v>
                </c:pt>
                <c:pt idx="19">
                  <c:v>0.36448932830831338</c:v>
                </c:pt>
                <c:pt idx="20">
                  <c:v>0.36448932830831338</c:v>
                </c:pt>
                <c:pt idx="21">
                  <c:v>0.39486343900067283</c:v>
                </c:pt>
                <c:pt idx="22">
                  <c:v>0.39486343900067283</c:v>
                </c:pt>
                <c:pt idx="23">
                  <c:v>0.39486343900067283</c:v>
                </c:pt>
                <c:pt idx="24">
                  <c:v>0.39486343900067283</c:v>
                </c:pt>
                <c:pt idx="25">
                  <c:v>0.39486343900067283</c:v>
                </c:pt>
                <c:pt idx="26">
                  <c:v>0.39486343900067283</c:v>
                </c:pt>
                <c:pt idx="27">
                  <c:v>0.39486343900067283</c:v>
                </c:pt>
                <c:pt idx="28">
                  <c:v>0.39486343900067283</c:v>
                </c:pt>
                <c:pt idx="29">
                  <c:v>0.45561166038539175</c:v>
                </c:pt>
                <c:pt idx="30">
                  <c:v>0.45561166038539175</c:v>
                </c:pt>
                <c:pt idx="31">
                  <c:v>0.45561166038539175</c:v>
                </c:pt>
                <c:pt idx="32">
                  <c:v>1.5490796453103319</c:v>
                </c:pt>
                <c:pt idx="33">
                  <c:v>1.5490796453103319</c:v>
                </c:pt>
                <c:pt idx="34">
                  <c:v>1.7313243094644886</c:v>
                </c:pt>
                <c:pt idx="35">
                  <c:v>1.761698420156848</c:v>
                </c:pt>
                <c:pt idx="36">
                  <c:v>1.822446641541567</c:v>
                </c:pt>
                <c:pt idx="37">
                  <c:v>2.0654395270804424</c:v>
                </c:pt>
                <c:pt idx="38">
                  <c:v>2.2476841912345993</c:v>
                </c:pt>
                <c:pt idx="39">
                  <c:v>2.9766628478512263</c:v>
                </c:pt>
                <c:pt idx="40">
                  <c:v>3.5841450616984152</c:v>
                </c:pt>
                <c:pt idx="41">
                  <c:v>4.525742493161558</c:v>
                </c:pt>
                <c:pt idx="42">
                  <c:v>6.5911820202420008</c:v>
                </c:pt>
                <c:pt idx="43">
                  <c:v>7.9580170013981757</c:v>
                </c:pt>
                <c:pt idx="44">
                  <c:v>12.210392498328499</c:v>
                </c:pt>
                <c:pt idx="45">
                  <c:v>15.733789338642195</c:v>
                </c:pt>
                <c:pt idx="46">
                  <c:v>17.708106533645559</c:v>
                </c:pt>
                <c:pt idx="47">
                  <c:v>29.128772153972712</c:v>
                </c:pt>
                <c:pt idx="48">
                  <c:v>38.909235796912455</c:v>
                </c:pt>
                <c:pt idx="49">
                  <c:v>50.512146081393766</c:v>
                </c:pt>
                <c:pt idx="50">
                  <c:v>66.185187198651235</c:v>
                </c:pt>
                <c:pt idx="51">
                  <c:v>82.830199858064219</c:v>
                </c:pt>
                <c:pt idx="52">
                  <c:v>106.27901331256571</c:v>
                </c:pt>
                <c:pt idx="53">
                  <c:v>140.69288072700897</c:v>
                </c:pt>
                <c:pt idx="54">
                  <c:v>195.03216475564003</c:v>
                </c:pt>
                <c:pt idx="55">
                  <c:v>236.40170351863358</c:v>
                </c:pt>
                <c:pt idx="56">
                  <c:v>415.42671193940021</c:v>
                </c:pt>
                <c:pt idx="57">
                  <c:v>580.14551422406544</c:v>
                </c:pt>
                <c:pt idx="58">
                  <c:v>774.20570743755002</c:v>
                </c:pt>
                <c:pt idx="59">
                  <c:v>1010.7289073989531</c:v>
                </c:pt>
                <c:pt idx="60">
                  <c:v>1331.8136315278848</c:v>
                </c:pt>
                <c:pt idx="61">
                  <c:v>1632.3047086073968</c:v>
                </c:pt>
                <c:pt idx="62">
                  <c:v>1668.0246627816116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myData!USSeries</c:f>
              <c:strCache>
                <c:ptCount val="1"/>
                <c:pt idx="0">
                  <c:v>USA Limit 5.69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106"/>
                <c:pt idx="0">
                  <c:v>43853</c:v>
                </c:pt>
                <c:pt idx="1">
                  <c:v>43854</c:v>
                </c:pt>
                <c:pt idx="2">
                  <c:v>43855</c:v>
                </c:pt>
                <c:pt idx="3">
                  <c:v>43856</c:v>
                </c:pt>
                <c:pt idx="4">
                  <c:v>43857</c:v>
                </c:pt>
                <c:pt idx="5">
                  <c:v>43858</c:v>
                </c:pt>
                <c:pt idx="6">
                  <c:v>43859</c:v>
                </c:pt>
                <c:pt idx="7">
                  <c:v>43860</c:v>
                </c:pt>
                <c:pt idx="8">
                  <c:v>43861</c:v>
                </c:pt>
                <c:pt idx="9">
                  <c:v>43862</c:v>
                </c:pt>
                <c:pt idx="10">
                  <c:v>43863</c:v>
                </c:pt>
                <c:pt idx="11">
                  <c:v>43864</c:v>
                </c:pt>
                <c:pt idx="12">
                  <c:v>43865</c:v>
                </c:pt>
                <c:pt idx="13">
                  <c:v>43866</c:v>
                </c:pt>
                <c:pt idx="14">
                  <c:v>43867</c:v>
                </c:pt>
                <c:pt idx="15">
                  <c:v>43868</c:v>
                </c:pt>
                <c:pt idx="16">
                  <c:v>43869</c:v>
                </c:pt>
                <c:pt idx="17">
                  <c:v>43870</c:v>
                </c:pt>
                <c:pt idx="18">
                  <c:v>43871</c:v>
                </c:pt>
                <c:pt idx="19">
                  <c:v>43872</c:v>
                </c:pt>
                <c:pt idx="20">
                  <c:v>43873</c:v>
                </c:pt>
                <c:pt idx="21">
                  <c:v>43874</c:v>
                </c:pt>
                <c:pt idx="22">
                  <c:v>43875</c:v>
                </c:pt>
                <c:pt idx="23">
                  <c:v>43876</c:v>
                </c:pt>
                <c:pt idx="24">
                  <c:v>43877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43883</c:v>
                </c:pt>
                <c:pt idx="31">
                  <c:v>43884</c:v>
                </c:pt>
                <c:pt idx="32">
                  <c:v>43885</c:v>
                </c:pt>
                <c:pt idx="33">
                  <c:v>43886</c:v>
                </c:pt>
                <c:pt idx="34">
                  <c:v>43887</c:v>
                </c:pt>
                <c:pt idx="35">
                  <c:v>43888</c:v>
                </c:pt>
                <c:pt idx="36">
                  <c:v>43889</c:v>
                </c:pt>
                <c:pt idx="37">
                  <c:v>43890</c:v>
                </c:pt>
                <c:pt idx="38">
                  <c:v>43891</c:v>
                </c:pt>
                <c:pt idx="39">
                  <c:v>43892</c:v>
                </c:pt>
                <c:pt idx="40">
                  <c:v>43893</c:v>
                </c:pt>
                <c:pt idx="41">
                  <c:v>43894</c:v>
                </c:pt>
                <c:pt idx="42">
                  <c:v>43895</c:v>
                </c:pt>
                <c:pt idx="43">
                  <c:v>43896</c:v>
                </c:pt>
                <c:pt idx="44">
                  <c:v>43897</c:v>
                </c:pt>
                <c:pt idx="45">
                  <c:v>43898</c:v>
                </c:pt>
                <c:pt idx="46">
                  <c:v>43899</c:v>
                </c:pt>
                <c:pt idx="47">
                  <c:v>43900</c:v>
                </c:pt>
                <c:pt idx="48">
                  <c:v>43901</c:v>
                </c:pt>
                <c:pt idx="49">
                  <c:v>43902</c:v>
                </c:pt>
                <c:pt idx="50">
                  <c:v>43903</c:v>
                </c:pt>
                <c:pt idx="51">
                  <c:v>43904</c:v>
                </c:pt>
                <c:pt idx="52">
                  <c:v>43905</c:v>
                </c:pt>
                <c:pt idx="53">
                  <c:v>43906</c:v>
                </c:pt>
                <c:pt idx="54">
                  <c:v>43907</c:v>
                </c:pt>
                <c:pt idx="55">
                  <c:v>43908</c:v>
                </c:pt>
                <c:pt idx="56">
                  <c:v>43909</c:v>
                </c:pt>
                <c:pt idx="57">
                  <c:v>43910</c:v>
                </c:pt>
                <c:pt idx="58">
                  <c:v>43911</c:v>
                </c:pt>
                <c:pt idx="59">
                  <c:v>43912</c:v>
                </c:pt>
                <c:pt idx="60">
                  <c:v>43913</c:v>
                </c:pt>
                <c:pt idx="61">
                  <c:v>43914</c:v>
                </c:pt>
                <c:pt idx="62">
                  <c:v>43915</c:v>
                </c:pt>
                <c:pt idx="63">
                  <c:v>43916</c:v>
                </c:pt>
                <c:pt idx="64">
                  <c:v>43917</c:v>
                </c:pt>
                <c:pt idx="65">
                  <c:v>43918</c:v>
                </c:pt>
                <c:pt idx="66">
                  <c:v>43919</c:v>
                </c:pt>
                <c:pt idx="67">
                  <c:v>43920</c:v>
                </c:pt>
                <c:pt idx="68">
                  <c:v>43921</c:v>
                </c:pt>
                <c:pt idx="69">
                  <c:v>43922</c:v>
                </c:pt>
                <c:pt idx="70">
                  <c:v>43923</c:v>
                </c:pt>
                <c:pt idx="71">
                  <c:v>43930</c:v>
                </c:pt>
                <c:pt idx="72">
                  <c:v>43937</c:v>
                </c:pt>
                <c:pt idx="73">
                  <c:v>43944</c:v>
                </c:pt>
                <c:pt idx="74">
                  <c:v>43951</c:v>
                </c:pt>
                <c:pt idx="75">
                  <c:v>43958</c:v>
                </c:pt>
                <c:pt idx="76">
                  <c:v>43965</c:v>
                </c:pt>
                <c:pt idx="77">
                  <c:v>43972</c:v>
                </c:pt>
                <c:pt idx="78">
                  <c:v>43979</c:v>
                </c:pt>
                <c:pt idx="79">
                  <c:v>43986</c:v>
                </c:pt>
                <c:pt idx="80">
                  <c:v>43993</c:v>
                </c:pt>
                <c:pt idx="81">
                  <c:v>44000</c:v>
                </c:pt>
                <c:pt idx="82">
                  <c:v>44007</c:v>
                </c:pt>
                <c:pt idx="83">
                  <c:v>44014</c:v>
                </c:pt>
                <c:pt idx="84">
                  <c:v>44021</c:v>
                </c:pt>
                <c:pt idx="85">
                  <c:v>44028</c:v>
                </c:pt>
                <c:pt idx="86">
                  <c:v>44035</c:v>
                </c:pt>
                <c:pt idx="87">
                  <c:v>44042</c:v>
                </c:pt>
                <c:pt idx="88">
                  <c:v>44049</c:v>
                </c:pt>
                <c:pt idx="89">
                  <c:v>44056</c:v>
                </c:pt>
                <c:pt idx="90">
                  <c:v>44063</c:v>
                </c:pt>
                <c:pt idx="91">
                  <c:v>44070</c:v>
                </c:pt>
                <c:pt idx="92">
                  <c:v>44077</c:v>
                </c:pt>
                <c:pt idx="93">
                  <c:v>44084</c:v>
                </c:pt>
                <c:pt idx="94">
                  <c:v>44091</c:v>
                </c:pt>
                <c:pt idx="95">
                  <c:v>44098</c:v>
                </c:pt>
                <c:pt idx="96">
                  <c:v>44105</c:v>
                </c:pt>
                <c:pt idx="97">
                  <c:v>44112</c:v>
                </c:pt>
                <c:pt idx="98">
                  <c:v>44119</c:v>
                </c:pt>
                <c:pt idx="99">
                  <c:v>44126</c:v>
                </c:pt>
                <c:pt idx="100">
                  <c:v>44133</c:v>
                </c:pt>
                <c:pt idx="101">
                  <c:v>44140</c:v>
                </c:pt>
                <c:pt idx="102">
                  <c:v>44147</c:v>
                </c:pt>
                <c:pt idx="103">
                  <c:v>44154</c:v>
                </c:pt>
                <c:pt idx="104">
                  <c:v>44161</c:v>
                </c:pt>
                <c:pt idx="105">
                  <c:v>44168</c:v>
                </c:pt>
              </c:numCache>
            </c:numRef>
          </c:xVal>
          <c:yVal>
            <c:numRef>
              <c:f>myData!USLogi</c:f>
              <c:numCache>
                <c:formatCode>0</c:formatCode>
                <c:ptCount val="106"/>
                <c:pt idx="0">
                  <c:v>9.103015837459202E-5</c:v>
                </c:pt>
                <c:pt idx="1">
                  <c:v>1.2012474515609634E-4</c:v>
                </c:pt>
                <c:pt idx="2">
                  <c:v>1.5851839250745242E-4</c:v>
                </c:pt>
                <c:pt idx="3">
                  <c:v>2.0918321763191202E-4</c:v>
                </c:pt>
                <c:pt idx="4">
                  <c:v>2.7604127017801433E-4</c:v>
                </c:pt>
                <c:pt idx="5">
                  <c:v>3.6426814453856309E-4</c:v>
                </c:pt>
                <c:pt idx="6">
                  <c:v>4.8069363100138171E-4</c:v>
                </c:pt>
                <c:pt idx="7">
                  <c:v>6.3433042070470513E-4</c:v>
                </c:pt>
                <c:pt idx="8">
                  <c:v>8.3707179211294197E-4</c:v>
                </c:pt>
                <c:pt idx="9">
                  <c:v>1.1046122877012539E-3</c:v>
                </c:pt>
                <c:pt idx="10">
                  <c:v>1.4576626512851959E-3</c:v>
                </c:pt>
                <c:pt idx="11">
                  <c:v>1.9235530751198636E-3</c:v>
                </c:pt>
                <c:pt idx="12">
                  <c:v>2.538348864691448E-3</c:v>
                </c:pt>
                <c:pt idx="13">
                  <c:v>3.3496422946445118E-3</c:v>
                </c:pt>
                <c:pt idx="14">
                  <c:v>4.4202367715992039E-3</c:v>
                </c:pt>
                <c:pt idx="15">
                  <c:v>5.833008489738699E-3</c:v>
                </c:pt>
                <c:pt idx="16">
                  <c:v>7.6973219082871625E-3</c:v>
                </c:pt>
                <c:pt idx="17">
                  <c:v>1.0157495649229147E-2</c:v>
                </c:pt>
                <c:pt idx="18" formatCode="0.0">
                  <c:v>1.3403974114426778E-2</c:v>
                </c:pt>
                <c:pt idx="19" formatCode="0.0">
                  <c:v>1.7688069530853529E-2</c:v>
                </c:pt>
                <c:pt idx="20" formatCode="0.0">
                  <c:v>2.3341415447598917E-2</c:v>
                </c:pt>
                <c:pt idx="21" formatCode="0.0">
                  <c:v>3.0801637294001431E-2</c:v>
                </c:pt>
                <c:pt idx="22" formatCode="0.0">
                  <c:v>4.0646226645076618E-2</c:v>
                </c:pt>
                <c:pt idx="23" formatCode="0.0">
                  <c:v>5.3637240491567012E-2</c:v>
                </c:pt>
                <c:pt idx="24" formatCode="0.0">
                  <c:v>7.0780284076915723E-2</c:v>
                </c:pt>
                <c:pt idx="25" formatCode="0.0">
                  <c:v>9.3402340330069472E-2</c:v>
                </c:pt>
                <c:pt idx="26" formatCode="0.0">
                  <c:v>0.12325446569586926</c:v>
                </c:pt>
                <c:pt idx="27" formatCode="0.0">
                  <c:v>0.16264729332909872</c:v>
                </c:pt>
                <c:pt idx="28" formatCode="0.0">
                  <c:v>0.21462981770017936</c:v>
                </c:pt>
                <c:pt idx="29" formatCode="0.0">
                  <c:v>0.28322527367069344</c:v>
                </c:pt>
                <c:pt idx="30" formatCode="0.0">
                  <c:v>0.3737423228937814</c:v>
                </c:pt>
                <c:pt idx="31" formatCode="0.0">
                  <c:v>0.49318555527247215</c:v>
                </c:pt>
                <c:pt idx="32" formatCode="0.0">
                  <c:v>0.65079694079267869</c:v>
                </c:pt>
                <c:pt idx="33" formatCode="0.0">
                  <c:v>0.85876989871762466</c:v>
                </c:pt>
                <c:pt idx="34" formatCode="0.0">
                  <c:v>1.1331908302558913</c:v>
                </c:pt>
                <c:pt idx="35" formatCode="0.0">
                  <c:v>1.4952802498751077</c:v>
                </c:pt>
                <c:pt idx="36" formatCode="0.0">
                  <c:v>1.9730282874258249</c:v>
                </c:pt>
                <c:pt idx="37" formatCode="0.0">
                  <c:v>2.6033488961268096</c:v>
                </c:pt>
                <c:pt idx="38" formatCode="0.0">
                  <c:v>3.4349155759406131</c:v>
                </c:pt>
                <c:pt idx="39" formatCode="0.0">
                  <c:v>4.5318912610369626</c:v>
                </c:pt>
                <c:pt idx="40" formatCode="0.0">
                  <c:v>5.9788291720206441</c:v>
                </c:pt>
                <c:pt idx="41" formatCode="0.0">
                  <c:v>7.8871032905543652</c:v>
                </c:pt>
                <c:pt idx="42" formatCode="0.0">
                  <c:v>10.403330296332603</c:v>
                </c:pt>
                <c:pt idx="43" formatCode="0.0">
                  <c:v>13.720372627576337</c:v>
                </c:pt>
                <c:pt idx="44" formatCode="0.0">
                  <c:v>18.091666669839835</c:v>
                </c:pt>
                <c:pt idx="45" formatCode="0.0">
                  <c:v>23.849799231942143</c:v>
                </c:pt>
                <c:pt idx="46" formatCode="0.0">
                  <c:v>31.430450172582489</c:v>
                </c:pt>
                <c:pt idx="47" formatCode="0.0">
                  <c:v>41.403005580593657</c:v>
                </c:pt>
                <c:pt idx="48" formatCode="0.0">
                  <c:v>54.509274514490357</c:v>
                </c:pt>
                <c:pt idx="49" formatCode="0.0">
                  <c:v>71.711718528157149</c:v>
                </c:pt>
                <c:pt idx="50" formatCode="0.0">
                  <c:v>94.25225973260568</c:v>
                </c:pt>
                <c:pt idx="51" formatCode="0.0">
                  <c:v>123.72179064184844</c:v>
                </c:pt>
                <c:pt idx="52" formatCode="0.0">
                  <c:v>162.13852981714359</c:v>
                </c:pt>
                <c:pt idx="53" formatCode="0.0">
                  <c:v>212.02971913794752</c:v>
                </c:pt>
                <c:pt idx="54" formatCode="0.0">
                  <c:v>276.50503664219457</c:v>
                </c:pt>
                <c:pt idx="55" formatCode="0.0">
                  <c:v>359.30071026364072</c:v>
                </c:pt>
                <c:pt idx="56" formatCode="0.0">
                  <c:v>464.76041307748113</c:v>
                </c:pt>
                <c:pt idx="57" formatCode="0.0">
                  <c:v>597.70402136451548</c:v>
                </c:pt>
                <c:pt idx="58" formatCode="0.0">
                  <c:v>763.12317401877999</c:v>
                </c:pt>
                <c:pt idx="59" formatCode="0.0">
                  <c:v>965.64387444397209</c:v>
                </c:pt>
                <c:pt idx="60" formatCode="0.0">
                  <c:v>1208.7277054029225</c:v>
                </c:pt>
                <c:pt idx="61" formatCode="0.0">
                  <c:v>1493.6616006387142</c:v>
                </c:pt>
                <c:pt idx="62" formatCode="0.0">
                  <c:v>1818.5131123607787</c:v>
                </c:pt>
                <c:pt idx="63" formatCode="0.0">
                  <c:v>2177.3664792888003</c:v>
                </c:pt>
                <c:pt idx="64" formatCode="0.0">
                  <c:v>2560.2179744849482</c:v>
                </c:pt>
                <c:pt idx="65" formatCode="0.0">
                  <c:v>2953.7973457075614</c:v>
                </c:pt>
                <c:pt idx="66" formatCode="0.0">
                  <c:v>3343.2727233804826</c:v>
                </c:pt>
                <c:pt idx="67" formatCode="0.0">
                  <c:v>3714.4170176554244</c:v>
                </c:pt>
                <c:pt idx="68" formatCode="0.0">
                  <c:v>4055.592754843623</c:v>
                </c:pt>
                <c:pt idx="69" formatCode="0.0">
                  <c:v>4359.0009136722329</c:v>
                </c:pt>
                <c:pt idx="70" formatCode="0.0">
                  <c:v>4620.9756508952923</c:v>
                </c:pt>
                <c:pt idx="71" formatCode="0.0">
                  <c:v>5508.0689516976345</c:v>
                </c:pt>
                <c:pt idx="72" formatCode="0.0">
                  <c:v>5664.1093188838377</c:v>
                </c:pt>
                <c:pt idx="73" formatCode="0.0">
                  <c:v>5687.2303998974139</c:v>
                </c:pt>
                <c:pt idx="74" formatCode="0.0">
                  <c:v>5690.5639081233212</c:v>
                </c:pt>
                <c:pt idx="75" formatCode="0.0">
                  <c:v>5691.0426068397092</c:v>
                </c:pt>
                <c:pt idx="76" formatCode="0.0">
                  <c:v>5691.1113095318096</c:v>
                </c:pt>
                <c:pt idx="77" formatCode="0.0">
                  <c:v>5691.1211689086804</c:v>
                </c:pt>
                <c:pt idx="78" formatCode="0.0">
                  <c:v>5691.1225837901075</c:v>
                </c:pt>
                <c:pt idx="79" formatCode="0.0">
                  <c:v>5691.1227868339802</c:v>
                </c:pt>
                <c:pt idx="80" formatCode="0.0">
                  <c:v>5691.1228159719712</c:v>
                </c:pt>
                <c:pt idx="81" formatCode="0.0">
                  <c:v>5691.122820153445</c:v>
                </c:pt>
                <c:pt idx="82" formatCode="0.0">
                  <c:v>5691.1228207535114</c:v>
                </c:pt>
                <c:pt idx="83" formatCode="0.0">
                  <c:v>5691.1228208396251</c:v>
                </c:pt>
                <c:pt idx="84" formatCode="0.0">
                  <c:v>5691.1228208519824</c:v>
                </c:pt>
                <c:pt idx="85" formatCode="0.0">
                  <c:v>5691.1228208537559</c:v>
                </c:pt>
                <c:pt idx="86" formatCode="0.0">
                  <c:v>5691.1228208540097</c:v>
                </c:pt>
                <c:pt idx="87" formatCode="0.0">
                  <c:v>5691.1228208540451</c:v>
                </c:pt>
                <c:pt idx="88" formatCode="0.0">
                  <c:v>5691.1228208540515</c:v>
                </c:pt>
                <c:pt idx="89" formatCode="0.0">
                  <c:v>5691.1228208540524</c:v>
                </c:pt>
                <c:pt idx="90" formatCode="0.0">
                  <c:v>5691.1228208540524</c:v>
                </c:pt>
                <c:pt idx="91" formatCode="0.0">
                  <c:v>5691.1228208540524</c:v>
                </c:pt>
                <c:pt idx="92" formatCode="0.0">
                  <c:v>5691.1228208540524</c:v>
                </c:pt>
                <c:pt idx="93" formatCode="0.0">
                  <c:v>5691.1228208540524</c:v>
                </c:pt>
                <c:pt idx="94" formatCode="0.0">
                  <c:v>5691.1228208540524</c:v>
                </c:pt>
                <c:pt idx="95" formatCode="0.0">
                  <c:v>5691.1228208540524</c:v>
                </c:pt>
                <c:pt idx="96" formatCode="0.0">
                  <c:v>5691.1228208540524</c:v>
                </c:pt>
                <c:pt idx="97" formatCode="0.0">
                  <c:v>5691.1228208540524</c:v>
                </c:pt>
                <c:pt idx="98" formatCode="0.0">
                  <c:v>5691.1228208540524</c:v>
                </c:pt>
                <c:pt idx="99" formatCode="0.0">
                  <c:v>5691.1228208540524</c:v>
                </c:pt>
                <c:pt idx="100" formatCode="0.0">
                  <c:v>5691.1228208540524</c:v>
                </c:pt>
                <c:pt idx="101" formatCode="0.0">
                  <c:v>5691.1228208540524</c:v>
                </c:pt>
                <c:pt idx="102" formatCode="0.0">
                  <c:v>5691.1228208540524</c:v>
                </c:pt>
                <c:pt idx="103" formatCode="0.0">
                  <c:v>5691.1228208540524</c:v>
                </c:pt>
                <c:pt idx="104" formatCode="0.0">
                  <c:v>5691.1228208540524</c:v>
                </c:pt>
                <c:pt idx="105" formatCode="0.0">
                  <c:v>5691.1228208540524</c:v>
                </c:pt>
              </c:numCache>
            </c:numRef>
          </c:yVal>
          <c:smooth val="0"/>
        </c:ser>
        <c:ser>
          <c:idx val="8"/>
          <c:order val="4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myData!$DS$11:$DS$12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myData!$DU$11:$DU$12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94624"/>
        <c:axId val="782392664"/>
      </c:scatterChart>
      <c:valAx>
        <c:axId val="782394624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92664"/>
        <c:crossesAt val="1.0000000000000002E-2"/>
        <c:crossBetween val="midCat"/>
        <c:majorUnit val="14"/>
        <c:minorUnit val="7"/>
      </c:valAx>
      <c:valAx>
        <c:axId val="782392664"/>
        <c:scaling>
          <c:logBase val="10"/>
          <c:orientation val="minMax"/>
          <c:max val="1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9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myData!$CV$12</c:f>
          <c:strCache>
            <c:ptCount val="1"/>
            <c:pt idx="0">
              <c:v>NSW Limit 11.9 k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61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61"/>
                <c:pt idx="0">
                  <c:v>3.7128712871287126</c:v>
                </c:pt>
                <c:pt idx="1">
                  <c:v>4.9504950495049505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7.4257425742574252</c:v>
                </c:pt>
                <c:pt idx="36">
                  <c:v>7.4257425742574252</c:v>
                </c:pt>
                <c:pt idx="37">
                  <c:v>16.089108910891088</c:v>
                </c:pt>
                <c:pt idx="38">
                  <c:v>27.227722772277225</c:v>
                </c:pt>
                <c:pt idx="39">
                  <c:v>27.227722772277225</c:v>
                </c:pt>
                <c:pt idx="40">
                  <c:v>32.178217821782177</c:v>
                </c:pt>
                <c:pt idx="41">
                  <c:v>34.653465346534652</c:v>
                </c:pt>
                <c:pt idx="42">
                  <c:v>47.029702970297024</c:v>
                </c:pt>
                <c:pt idx="43">
                  <c:v>59.405940594059402</c:v>
                </c:pt>
                <c:pt idx="44">
                  <c:v>68.06930693069306</c:v>
                </c:pt>
                <c:pt idx="45">
                  <c:v>80.445544554455438</c:v>
                </c:pt>
                <c:pt idx="46">
                  <c:v>80.445544554455438</c:v>
                </c:pt>
                <c:pt idx="47">
                  <c:v>113.86138613861385</c:v>
                </c:pt>
                <c:pt idx="48">
                  <c:v>138.61386138613861</c:v>
                </c:pt>
                <c:pt idx="49">
                  <c:v>165.84158415841583</c:v>
                </c:pt>
                <c:pt idx="50">
                  <c:v>211.63366336633663</c:v>
                </c:pt>
                <c:pt idx="51">
                  <c:v>259.9009900990099</c:v>
                </c:pt>
                <c:pt idx="52">
                  <c:v>330.44554455445541</c:v>
                </c:pt>
                <c:pt idx="53">
                  <c:v>379.95049504950492</c:v>
                </c:pt>
                <c:pt idx="54">
                  <c:v>436.88118811881185</c:v>
                </c:pt>
                <c:pt idx="55">
                  <c:v>539.60396039603961</c:v>
                </c:pt>
                <c:pt idx="56">
                  <c:v>827.97029702970292</c:v>
                </c:pt>
                <c:pt idx="57">
                  <c:v>827.97029702970292</c:v>
                </c:pt>
                <c:pt idx="58">
                  <c:v>1012.3762376237623</c:v>
                </c:pt>
                <c:pt idx="59">
                  <c:v>1273.5148514851485</c:v>
                </c:pt>
                <c:pt idx="60">
                  <c:v>1508.6633663366335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11.9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43922</c:v>
                </c:pt>
                <c:pt idx="67">
                  <c:v>43923</c:v>
                </c:pt>
                <c:pt idx="68">
                  <c:v>43930</c:v>
                </c:pt>
                <c:pt idx="69">
                  <c:v>43937</c:v>
                </c:pt>
                <c:pt idx="70">
                  <c:v>43944</c:v>
                </c:pt>
                <c:pt idx="71">
                  <c:v>43951</c:v>
                </c:pt>
                <c:pt idx="72">
                  <c:v>43958</c:v>
                </c:pt>
                <c:pt idx="73">
                  <c:v>43965</c:v>
                </c:pt>
                <c:pt idx="74">
                  <c:v>43972</c:v>
                </c:pt>
                <c:pt idx="75">
                  <c:v>43979</c:v>
                </c:pt>
                <c:pt idx="76">
                  <c:v>43986</c:v>
                </c:pt>
                <c:pt idx="77">
                  <c:v>43993</c:v>
                </c:pt>
                <c:pt idx="78">
                  <c:v>44000</c:v>
                </c:pt>
                <c:pt idx="79">
                  <c:v>44007</c:v>
                </c:pt>
                <c:pt idx="80">
                  <c:v>44014</c:v>
                </c:pt>
                <c:pt idx="81">
                  <c:v>44021</c:v>
                </c:pt>
                <c:pt idx="82">
                  <c:v>44028</c:v>
                </c:pt>
                <c:pt idx="83">
                  <c:v>44035</c:v>
                </c:pt>
                <c:pt idx="84">
                  <c:v>44042</c:v>
                </c:pt>
                <c:pt idx="85">
                  <c:v>44049</c:v>
                </c:pt>
                <c:pt idx="86">
                  <c:v>44056</c:v>
                </c:pt>
                <c:pt idx="87">
                  <c:v>44063</c:v>
                </c:pt>
                <c:pt idx="88">
                  <c:v>44070</c:v>
                </c:pt>
                <c:pt idx="89">
                  <c:v>44077</c:v>
                </c:pt>
                <c:pt idx="90">
                  <c:v>44084</c:v>
                </c:pt>
                <c:pt idx="91">
                  <c:v>44091</c:v>
                </c:pt>
                <c:pt idx="92">
                  <c:v>44098</c:v>
                </c:pt>
                <c:pt idx="93">
                  <c:v>44105</c:v>
                </c:pt>
                <c:pt idx="94">
                  <c:v>44112</c:v>
                </c:pt>
                <c:pt idx="95">
                  <c:v>44119</c:v>
                </c:pt>
                <c:pt idx="96">
                  <c:v>44126</c:v>
                </c:pt>
                <c:pt idx="97">
                  <c:v>44133</c:v>
                </c:pt>
                <c:pt idx="98">
                  <c:v>44140</c:v>
                </c:pt>
                <c:pt idx="99">
                  <c:v>44147</c:v>
                </c:pt>
                <c:pt idx="100">
                  <c:v>44154</c:v>
                </c:pt>
                <c:pt idx="101">
                  <c:v>44161</c:v>
                </c:pt>
                <c:pt idx="102">
                  <c:v>44168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3"/>
                <c:pt idx="0">
                  <c:v>6.3712984807301754E-3</c:v>
                </c:pt>
                <c:pt idx="1">
                  <c:v>7.8487840642898453E-3</c:v>
                </c:pt>
                <c:pt idx="2">
                  <c:v>9.6688939778353522E-3</c:v>
                </c:pt>
                <c:pt idx="3">
                  <c:v>1.1911081597819484E-2</c:v>
                </c:pt>
                <c:pt idx="4">
                  <c:v>1.4673225184410197E-2</c:v>
                </c:pt>
                <c:pt idx="5">
                  <c:v>1.807590049120817E-2</c:v>
                </c:pt>
                <c:pt idx="6">
                  <c:v>2.226764414513269E-2</c:v>
                </c:pt>
                <c:pt idx="7">
                  <c:v>2.743143753458533E-2</c:v>
                </c:pt>
                <c:pt idx="8">
                  <c:v>3.3792694209925055E-2</c:v>
                </c:pt>
                <c:pt idx="9">
                  <c:v>4.1629099413407263E-2</c:v>
                </c:pt>
                <c:pt idx="10">
                  <c:v>5.1282731176733508E-2</c:v>
                </c:pt>
                <c:pt idx="11">
                  <c:v>6.3174991975944172E-2</c:v>
                </c:pt>
                <c:pt idx="12">
                  <c:v>7.7825002553146866E-2</c:v>
                </c:pt>
                <c:pt idx="13">
                  <c:v>9.5872260542864726E-2</c:v>
                </c:pt>
                <c:pt idx="14">
                  <c:v>0.11810455255167786</c:v>
                </c:pt>
                <c:pt idx="15">
                  <c:v>0.14549233742475587</c:v>
                </c:pt>
                <c:pt idx="16">
                  <c:v>0.17923110054882554</c:v>
                </c:pt>
                <c:pt idx="17">
                  <c:v>0.22079352643764122</c:v>
                </c:pt>
                <c:pt idx="18">
                  <c:v>0.27199376458837904</c:v>
                </c:pt>
                <c:pt idx="19">
                  <c:v>0.3350665902065712</c:v>
                </c:pt>
                <c:pt idx="20">
                  <c:v>0.41276490963182538</c:v>
                </c:pt>
                <c:pt idx="21">
                  <c:v>0.508479858105782</c:v>
                </c:pt>
                <c:pt idx="22">
                  <c:v>0.62638871920597339</c:v>
                </c:pt>
                <c:pt idx="23">
                  <c:v>0.77163710287616338</c:v>
                </c:pt>
                <c:pt idx="24">
                  <c:v>0.95056330401493339</c:v>
                </c:pt>
                <c:pt idx="25">
                  <c:v>1.1709745890210341</c:v>
                </c:pt>
                <c:pt idx="26">
                  <c:v>1.4424874004241792</c:v>
                </c:pt>
                <c:pt idx="27">
                  <c:v>1.7769462234123128</c:v>
                </c:pt>
                <c:pt idx="28">
                  <c:v>2.1889392364740052</c:v>
                </c:pt>
                <c:pt idx="29">
                  <c:v>2.6964330092326785</c:v>
                </c:pt>
                <c:pt idx="30">
                  <c:v>3.3215535798391</c:v>
                </c:pt>
                <c:pt idx="31">
                  <c:v>4.0915474409086281</c:v>
                </c:pt>
                <c:pt idx="32">
                  <c:v>5.0399635235325233</c:v>
                </c:pt>
                <c:pt idx="33">
                  <c:v>6.208106472073557</c:v>
                </c:pt>
                <c:pt idx="34">
                  <c:v>7.6468226723816715</c:v>
                </c:pt>
                <c:pt idx="35">
                  <c:v>9.4186940029785617</c:v>
                </c:pt>
                <c:pt idx="36">
                  <c:v>11.600730535048687</c:v>
                </c:pt>
                <c:pt idx="37">
                  <c:v>14.287672855037508</c:v>
                </c:pt>
                <c:pt idx="38">
                  <c:v>17.596037769575929</c:v>
                </c:pt>
                <c:pt idx="39">
                  <c:v>21.669068278614812</c:v>
                </c:pt>
                <c:pt idx="40">
                  <c:v>26.682780144797977</c:v>
                </c:pt>
                <c:pt idx="41">
                  <c:v>32.853333158594644</c:v>
                </c:pt>
                <c:pt idx="42">
                  <c:v>40.445994834390724</c:v>
                </c:pt>
                <c:pt idx="43">
                  <c:v>49.786006493631319</c:v>
                </c:pt>
                <c:pt idx="44">
                  <c:v>61.271703896265599</c:v>
                </c:pt>
                <c:pt idx="45">
                  <c:v>75.390282094892427</c:v>
                </c:pt>
                <c:pt idx="46">
                  <c:v>92.736619165176265</c:v>
                </c:pt>
                <c:pt idx="47">
                  <c:v>114.03557336852663</c:v>
                </c:pt>
                <c:pt idx="48">
                  <c:v>140.16812379875256</c:v>
                </c:pt>
                <c:pt idx="49">
                  <c:v>172.20160683402094</c:v>
                </c:pt>
                <c:pt idx="50">
                  <c:v>211.42406819814897</c:v>
                </c:pt>
                <c:pt idx="51">
                  <c:v>259.38234538965673</c:v>
                </c:pt>
                <c:pt idx="52">
                  <c:v>317.92284106745399</c:v>
                </c:pt>
                <c:pt idx="53">
                  <c:v>389.23294933643001</c:v>
                </c:pt>
                <c:pt idx="54">
                  <c:v>475.87964623656359</c:v>
                </c:pt>
                <c:pt idx="55">
                  <c:v>580.83975269771838</c:v>
                </c:pt>
                <c:pt idx="56">
                  <c:v>707.51377059479773</c:v>
                </c:pt>
                <c:pt idx="57">
                  <c:v>859.71205066950142</c:v>
                </c:pt>
                <c:pt idx="58">
                  <c:v>1041.5986850414913</c:v>
                </c:pt>
                <c:pt idx="59">
                  <c:v>1257.5756347546417</c:v>
                </c:pt>
                <c:pt idx="60">
                  <c:v>1512.0884766621496</c:v>
                </c:pt>
                <c:pt idx="61">
                  <c:v>1809.3377049792223</c:v>
                </c:pt>
                <c:pt idx="62">
                  <c:v>2152.8881502544336</c:v>
                </c:pt>
                <c:pt idx="63">
                  <c:v>2545.1859962546355</c:v>
                </c:pt>
                <c:pt idx="64">
                  <c:v>2987.0187662352032</c:v>
                </c:pt>
                <c:pt idx="65">
                  <c:v>3476.9857623387938</c:v>
                </c:pt>
                <c:pt idx="66">
                  <c:v>4011.0769128489947</c:v>
                </c:pt>
                <c:pt idx="67">
                  <c:v>4582.4739601766814</c:v>
                </c:pt>
                <c:pt idx="68">
                  <c:v>8672.7236910020129</c:v>
                </c:pt>
                <c:pt idx="69" formatCode="0.00E+00">
                  <c:v>10940.930780631754</c:v>
                </c:pt>
                <c:pt idx="70" formatCode="0.00E+00">
                  <c:v>11648.511933451053</c:v>
                </c:pt>
                <c:pt idx="71" formatCode="0.00E+00">
                  <c:v>11826.153299668858</c:v>
                </c:pt>
                <c:pt idx="72" formatCode="0.00E+00">
                  <c:v>11868.190790849338</c:v>
                </c:pt>
                <c:pt idx="73" formatCode="0.00E+00">
                  <c:v>11877.99731544269</c:v>
                </c:pt>
                <c:pt idx="74" formatCode="0.00E+00">
                  <c:v>11880.277320420282</c:v>
                </c:pt>
                <c:pt idx="75" formatCode="0.00E+00">
                  <c:v>11880.807004753402</c:v>
                </c:pt>
                <c:pt idx="76" formatCode="0.00E+00">
                  <c:v>11880.930037183418</c:v>
                </c:pt>
                <c:pt idx="77" formatCode="0.00E+00">
                  <c:v>11880.958613336119</c:v>
                </c:pt>
                <c:pt idx="78" formatCode="0.00E+00">
                  <c:v>11880.965250517091</c:v>
                </c:pt>
                <c:pt idx="79" formatCode="0.00E+00">
                  <c:v>11880.966792084682</c:v>
                </c:pt>
                <c:pt idx="80" formatCode="0.00E+00">
                  <c:v>11880.967150132688</c:v>
                </c:pt>
                <c:pt idx="81" formatCode="0.00E+00">
                  <c:v>11880.967233293723</c:v>
                </c:pt>
                <c:pt idx="82" formatCode="0.00E+00">
                  <c:v>11880.967252608893</c:v>
                </c:pt>
                <c:pt idx="83" formatCode="0.00E+00">
                  <c:v>11880.967257095075</c:v>
                </c:pt>
                <c:pt idx="84" formatCode="0.00E+00">
                  <c:v>11880.967258137045</c:v>
                </c:pt>
                <c:pt idx="85" formatCode="0.00E+00">
                  <c:v>11880.967258379056</c:v>
                </c:pt>
                <c:pt idx="86" formatCode="0.00E+00">
                  <c:v>11880.967258435265</c:v>
                </c:pt>
                <c:pt idx="87" formatCode="0.00E+00">
                  <c:v>11880.96725844832</c:v>
                </c:pt>
                <c:pt idx="88" formatCode="0.00E+00">
                  <c:v>11880.967258451356</c:v>
                </c:pt>
                <c:pt idx="89" formatCode="0.00E+00">
                  <c:v>11880.967258452059</c:v>
                </c:pt>
                <c:pt idx="90" formatCode="0.00E+00">
                  <c:v>11880.967258452221</c:v>
                </c:pt>
                <c:pt idx="91" formatCode="0.00E+00">
                  <c:v>11880.96725845226</c:v>
                </c:pt>
                <c:pt idx="92" formatCode="0.00E+00">
                  <c:v>11880.967258452269</c:v>
                </c:pt>
                <c:pt idx="93" formatCode="0.00E+00">
                  <c:v>11880.96725845227</c:v>
                </c:pt>
                <c:pt idx="94" formatCode="0.00E+00">
                  <c:v>11880.96725845227</c:v>
                </c:pt>
                <c:pt idx="95" formatCode="0.00E+00">
                  <c:v>11880.96725845227</c:v>
                </c:pt>
                <c:pt idx="96" formatCode="0.00E+00">
                  <c:v>11880.96725845227</c:v>
                </c:pt>
                <c:pt idx="97" formatCode="0.00E+00">
                  <c:v>11880.96725845227</c:v>
                </c:pt>
                <c:pt idx="98" formatCode="0.00E+00">
                  <c:v>11880.96725845227</c:v>
                </c:pt>
                <c:pt idx="99" formatCode="0.00E+00">
                  <c:v>11880.96725845227</c:v>
                </c:pt>
                <c:pt idx="100" formatCode="0.00E+00">
                  <c:v>11880.96725845227</c:v>
                </c:pt>
                <c:pt idx="101" formatCode="0.00E+00">
                  <c:v>11880.96725845227</c:v>
                </c:pt>
                <c:pt idx="102" formatCode="0.00E+00">
                  <c:v>11880.96725845227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5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6"/>
                <c:pt idx="0">
                  <c:v>0.33066049433743905</c:v>
                </c:pt>
                <c:pt idx="1">
                  <c:v>0.33066049433743905</c:v>
                </c:pt>
                <c:pt idx="2">
                  <c:v>0.33066049433743905</c:v>
                </c:pt>
                <c:pt idx="3">
                  <c:v>0.33066049433743905</c:v>
                </c:pt>
                <c:pt idx="4">
                  <c:v>0.33066049433743905</c:v>
                </c:pt>
                <c:pt idx="5">
                  <c:v>0.33066049433743905</c:v>
                </c:pt>
                <c:pt idx="6">
                  <c:v>0.33066049433743905</c:v>
                </c:pt>
                <c:pt idx="7">
                  <c:v>0.49599074150615857</c:v>
                </c:pt>
                <c:pt idx="8">
                  <c:v>0.49599074150615857</c:v>
                </c:pt>
                <c:pt idx="9">
                  <c:v>0.49599074150615857</c:v>
                </c:pt>
                <c:pt idx="10">
                  <c:v>0.49599074150615857</c:v>
                </c:pt>
                <c:pt idx="11">
                  <c:v>0.49599074150615857</c:v>
                </c:pt>
                <c:pt idx="12">
                  <c:v>0.49599074150615857</c:v>
                </c:pt>
                <c:pt idx="13">
                  <c:v>0.49599074150615857</c:v>
                </c:pt>
                <c:pt idx="14">
                  <c:v>0.49599074150615857</c:v>
                </c:pt>
                <c:pt idx="15">
                  <c:v>0.49599074150615857</c:v>
                </c:pt>
                <c:pt idx="16">
                  <c:v>0.49599074150615857</c:v>
                </c:pt>
                <c:pt idx="17">
                  <c:v>0.49599074150615857</c:v>
                </c:pt>
                <c:pt idx="18">
                  <c:v>0.49599074150615857</c:v>
                </c:pt>
                <c:pt idx="19">
                  <c:v>0.49599074150615857</c:v>
                </c:pt>
                <c:pt idx="20">
                  <c:v>0.49599074150615857</c:v>
                </c:pt>
                <c:pt idx="21">
                  <c:v>3.3066049433743903</c:v>
                </c:pt>
                <c:pt idx="22" formatCode="##0.0E+00">
                  <c:v>10.250475324460611</c:v>
                </c:pt>
                <c:pt idx="23" formatCode="##0.0E+00">
                  <c:v>25.626188311151527</c:v>
                </c:pt>
                <c:pt idx="24" formatCode="##0.0E+00">
                  <c:v>37.860626601636774</c:v>
                </c:pt>
                <c:pt idx="25" formatCode="##0.0E+00">
                  <c:v>53.236339588327688</c:v>
                </c:pt>
                <c:pt idx="26" formatCode="##0.0E+00">
                  <c:v>74.894601967429949</c:v>
                </c:pt>
                <c:pt idx="27" formatCode="##0.0E+00">
                  <c:v>108.29131189551129</c:v>
                </c:pt>
                <c:pt idx="28" formatCode="##0.0E+00">
                  <c:v>146.81325948582293</c:v>
                </c:pt>
                <c:pt idx="29" formatCode="##0.0E+00">
                  <c:v>186.49251880631562</c:v>
                </c:pt>
                <c:pt idx="30" formatCode="##0.0E+00">
                  <c:v>280.06943870381087</c:v>
                </c:pt>
                <c:pt idx="31" formatCode="##0.0E+00">
                  <c:v>336.61238323551294</c:v>
                </c:pt>
                <c:pt idx="32" formatCode="##0.0E+00">
                  <c:v>413.65627841613627</c:v>
                </c:pt>
                <c:pt idx="33" formatCode="##0.0E+00">
                  <c:v>510.70513350417463</c:v>
                </c:pt>
                <c:pt idx="34" formatCode="##0.0E+00">
                  <c:v>637.84409357691993</c:v>
                </c:pt>
                <c:pt idx="35" formatCode="##0.0E+00">
                  <c:v>766.47102587418374</c:v>
                </c:pt>
                <c:pt idx="36" formatCode="##0.0E+00">
                  <c:v>972.63784409357697</c:v>
                </c:pt>
                <c:pt idx="37" formatCode="##0.0E+00">
                  <c:v>1219.3105728693065</c:v>
                </c:pt>
                <c:pt idx="38" formatCode="##0.0E+00">
                  <c:v>1516.4090270314955</c:v>
                </c:pt>
                <c:pt idx="39" formatCode="##0.0E+00">
                  <c:v>1677.9366785153345</c:v>
                </c:pt>
                <c:pt idx="40" formatCode="##0.0E+00">
                  <c:v>2060.3455402165828</c:v>
                </c:pt>
                <c:pt idx="41" formatCode="##0.0E+00">
                  <c:v>2490.0388526080847</c:v>
                </c:pt>
                <c:pt idx="42" formatCode="##0.0E+00">
                  <c:v>2919.732164999587</c:v>
                </c:pt>
                <c:pt idx="43" formatCode="##0.0E+00">
                  <c:v>3497.8920393485992</c:v>
                </c:pt>
                <c:pt idx="44" formatCode="##0.0E+00">
                  <c:v>4091.4276266843021</c:v>
                </c:pt>
                <c:pt idx="45" formatCode="##0.0E+00">
                  <c:v>4625.9403157807719</c:v>
                </c:pt>
                <c:pt idx="46" formatCode="##0.0E+00">
                  <c:v>5208.8947672976774</c:v>
                </c:pt>
                <c:pt idx="47" formatCode="##0.0E+00">
                  <c:v>5904.4391171364805</c:v>
                </c:pt>
                <c:pt idx="48" formatCode="##0.0E+00">
                  <c:v>6784.3266925684056</c:v>
                </c:pt>
                <c:pt idx="49" formatCode="##0.0E+00">
                  <c:v>7773.9935521203606</c:v>
                </c:pt>
                <c:pt idx="50" formatCode="##0.0E+00">
                  <c:v>8858.0639828056555</c:v>
                </c:pt>
                <c:pt idx="51" formatCode="##0.0E+00">
                  <c:v>9777.3001570637352</c:v>
                </c:pt>
                <c:pt idx="52" formatCode="##0.0E+00">
                  <c:v>10569.066710754732</c:v>
                </c:pt>
                <c:pt idx="53" formatCode="##0.0E+00">
                  <c:v>11436.885178143342</c:v>
                </c:pt>
                <c:pt idx="54">
                  <c:v>12298.255765892371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12.6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8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  <c:pt idx="55">
                  <c:v>43916</c:v>
                </c:pt>
                <c:pt idx="56">
                  <c:v>43917</c:v>
                </c:pt>
                <c:pt idx="57">
                  <c:v>43918</c:v>
                </c:pt>
                <c:pt idx="58">
                  <c:v>43919</c:v>
                </c:pt>
                <c:pt idx="59">
                  <c:v>43920</c:v>
                </c:pt>
                <c:pt idx="60">
                  <c:v>43921</c:v>
                </c:pt>
                <c:pt idx="61">
                  <c:v>43922</c:v>
                </c:pt>
                <c:pt idx="62">
                  <c:v>43923</c:v>
                </c:pt>
                <c:pt idx="63">
                  <c:v>43930</c:v>
                </c:pt>
                <c:pt idx="64">
                  <c:v>43937</c:v>
                </c:pt>
                <c:pt idx="65">
                  <c:v>43944</c:v>
                </c:pt>
                <c:pt idx="66">
                  <c:v>43951</c:v>
                </c:pt>
                <c:pt idx="67">
                  <c:v>43958</c:v>
                </c:pt>
                <c:pt idx="68">
                  <c:v>43965</c:v>
                </c:pt>
                <c:pt idx="69">
                  <c:v>43972</c:v>
                </c:pt>
                <c:pt idx="70">
                  <c:v>43979</c:v>
                </c:pt>
                <c:pt idx="71">
                  <c:v>43986</c:v>
                </c:pt>
                <c:pt idx="72">
                  <c:v>43993</c:v>
                </c:pt>
                <c:pt idx="73">
                  <c:v>44000</c:v>
                </c:pt>
                <c:pt idx="74">
                  <c:v>44007</c:v>
                </c:pt>
                <c:pt idx="75">
                  <c:v>44014</c:v>
                </c:pt>
                <c:pt idx="76">
                  <c:v>44021</c:v>
                </c:pt>
                <c:pt idx="77">
                  <c:v>44028</c:v>
                </c:pt>
                <c:pt idx="78">
                  <c:v>44035</c:v>
                </c:pt>
                <c:pt idx="79">
                  <c:v>44042</c:v>
                </c:pt>
                <c:pt idx="80">
                  <c:v>44049</c:v>
                </c:pt>
                <c:pt idx="81">
                  <c:v>44056</c:v>
                </c:pt>
                <c:pt idx="82">
                  <c:v>44063</c:v>
                </c:pt>
                <c:pt idx="83">
                  <c:v>44070</c:v>
                </c:pt>
                <c:pt idx="84">
                  <c:v>44077</c:v>
                </c:pt>
                <c:pt idx="85">
                  <c:v>44084</c:v>
                </c:pt>
                <c:pt idx="86">
                  <c:v>44091</c:v>
                </c:pt>
                <c:pt idx="87">
                  <c:v>44098</c:v>
                </c:pt>
                <c:pt idx="88">
                  <c:v>44105</c:v>
                </c:pt>
                <c:pt idx="89">
                  <c:v>44112</c:v>
                </c:pt>
                <c:pt idx="90">
                  <c:v>44119</c:v>
                </c:pt>
                <c:pt idx="91">
                  <c:v>44126</c:v>
                </c:pt>
                <c:pt idx="92">
                  <c:v>44133</c:v>
                </c:pt>
                <c:pt idx="93">
                  <c:v>44140</c:v>
                </c:pt>
                <c:pt idx="94">
                  <c:v>44147</c:v>
                </c:pt>
                <c:pt idx="95">
                  <c:v>44154</c:v>
                </c:pt>
                <c:pt idx="96">
                  <c:v>44161</c:v>
                </c:pt>
                <c:pt idx="97">
                  <c:v>44168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8"/>
                <c:pt idx="0">
                  <c:v>0.12240853858695699</c:v>
                </c:pt>
                <c:pt idx="1">
                  <c:v>0.1583628730928473</c:v>
                </c:pt>
                <c:pt idx="2">
                  <c:v>0.20487768910249429</c:v>
                </c:pt>
                <c:pt idx="3">
                  <c:v>0.26505468779382163</c:v>
                </c:pt>
                <c:pt idx="4">
                  <c:v>0.34290648765903037</c:v>
                </c:pt>
                <c:pt idx="5">
                  <c:v>0.4436240929393882</c:v>
                </c:pt>
                <c:pt idx="6">
                  <c:v>0.57392286213201427</c:v>
                </c:pt>
                <c:pt idx="7">
                  <c:v>0.74248999189637677</c:v>
                </c:pt>
                <c:pt idx="8">
                  <c:v>0.96056326342689469</c:v>
                </c:pt>
                <c:pt idx="9">
                  <c:v>1.2426794882069432</c:v>
                </c:pt>
                <c:pt idx="10">
                  <c:v>1.6076423002591296</c:v>
                </c:pt>
                <c:pt idx="11">
                  <c:v>2.0797733912641552</c:v>
                </c:pt>
                <c:pt idx="12">
                  <c:v>2.6905298885442641</c:v>
                </c:pt>
                <c:pt idx="13">
                  <c:v>3.480594493832196</c:v>
                </c:pt>
                <c:pt idx="14">
                  <c:v>4.5025756931739878</c:v>
                </c:pt>
                <c:pt idx="15">
                  <c:v>5.824494636894932</c:v>
                </c:pt>
                <c:pt idx="16">
                  <c:v>7.5342854176167791</c:v>
                </c:pt>
                <c:pt idx="17">
                  <c:v>9.7455991603557539</c:v>
                </c:pt>
                <c:pt idx="18">
                  <c:v>12.605282785452665</c:v>
                </c:pt>
                <c:pt idx="19">
                  <c:v>16.303004142168387</c:v>
                </c:pt>
                <c:pt idx="20">
                  <c:v>21.083620282854319</c:v>
                </c:pt>
                <c:pt idx="21">
                  <c:v>27.263038527230602</c:v>
                </c:pt>
                <c:pt idx="22">
                  <c:v>35.248502979906938</c:v>
                </c:pt>
                <c:pt idx="23">
                  <c:v>45.564451586619064</c:v>
                </c:pt>
                <c:pt idx="24">
                  <c:v>58.88532368429447</c:v>
                </c:pt>
                <c:pt idx="25">
                  <c:v>76.076936714109053</c:v>
                </c:pt>
                <c:pt idx="26">
                  <c:v>98.248254218165258</c:v>
                </c:pt>
                <c:pt idx="27">
                  <c:v>126.81546180333602</c:v>
                </c:pt>
                <c:pt idx="28">
                  <c:v>163.58012406414301</c:v>
                </c:pt>
                <c:pt idx="29">
                  <c:v>210.82259811419772</c:v>
                </c:pt>
                <c:pt idx="30">
                  <c:v>271.41048751891657</c:v>
                </c:pt>
                <c:pt idx="31">
                  <c:v>348.91922456337272</c:v>
                </c:pt>
                <c:pt idx="32">
                  <c:v>447.75716243775247</c:v>
                </c:pt>
                <c:pt idx="33">
                  <c:v>573.27996988088182</c:v>
                </c:pt>
                <c:pt idx="34">
                  <c:v>731.86779271537603</c:v>
                </c:pt>
                <c:pt idx="35">
                  <c:v>930.92322448969901</c:v>
                </c:pt>
                <c:pt idx="36">
                  <c:v>1178.7297519187343</c:v>
                </c:pt>
                <c:pt idx="37">
                  <c:v>1484.0932884623826</c:v>
                </c:pt>
                <c:pt idx="38">
                  <c:v>1855.6831480420774</c:v>
                </c:pt>
                <c:pt idx="39">
                  <c:v>2301.0092055315536</c:v>
                </c:pt>
                <c:pt idx="40">
                  <c:v>2825.0387785599746</c:v>
                </c:pt>
                <c:pt idx="41">
                  <c:v>3428.5831866093272</c:v>
                </c:pt>
                <c:pt idx="42">
                  <c:v>4106.7568234858363</c:v>
                </c:pt>
                <c:pt idx="43">
                  <c:v>4847.9702085321342</c:v>
                </c:pt>
                <c:pt idx="44">
                  <c:v>5633.9562535064415</c:v>
                </c:pt>
                <c:pt idx="45">
                  <c:v>6441.1449346171048</c:v>
                </c:pt>
                <c:pt idx="46">
                  <c:v>7243.2934251108209</c:v>
                </c:pt>
                <c:pt idx="47">
                  <c:v>8014.8036482442476</c:v>
                </c:pt>
                <c:pt idx="48">
                  <c:v>8733.8708334931998</c:v>
                </c:pt>
                <c:pt idx="49">
                  <c:v>9384.6791774212252</c:v>
                </c:pt>
                <c:pt idx="50">
                  <c:v>9958.2491881017559</c:v>
                </c:pt>
                <c:pt idx="51">
                  <c:v>10452.018714107591</c:v>
                </c:pt>
                <c:pt idx="52">
                  <c:v>10868.572313677741</c:v>
                </c:pt>
                <c:pt idx="53">
                  <c:v>11214.025621862253</c:v>
                </c:pt>
                <c:pt idx="54">
                  <c:v>11496.473687834947</c:v>
                </c:pt>
                <c:pt idx="55">
                  <c:v>11724.737619230449</c:v>
                </c:pt>
                <c:pt idx="56">
                  <c:v>11907.484411988562</c:v>
                </c:pt>
                <c:pt idx="57">
                  <c:v>12052.691484549587</c:v>
                </c:pt>
                <c:pt idx="58">
                  <c:v>12167.380529921342</c:v>
                </c:pt>
                <c:pt idx="59">
                  <c:v>12257.537274031965</c:v>
                </c:pt>
                <c:pt idx="60">
                  <c:v>12328.145611035123</c:v>
                </c:pt>
                <c:pt idx="61">
                  <c:v>12383.282931289163</c:v>
                </c:pt>
                <c:pt idx="62">
                  <c:v>12542.782363206032</c:v>
                </c:pt>
                <c:pt idx="63">
                  <c:v>12569.471840392351</c:v>
                </c:pt>
                <c:pt idx="64">
                  <c:v>12573.88261914732</c:v>
                </c:pt>
                <c:pt idx="65">
                  <c:v>12574.610051250018</c:v>
                </c:pt>
                <c:pt idx="66">
                  <c:v>12574.729979479438</c:v>
                </c:pt>
                <c:pt idx="67">
                  <c:v>12574.749750356659</c:v>
                </c:pt>
                <c:pt idx="68">
                  <c:v>12574.753009672346</c:v>
                </c:pt>
                <c:pt idx="69">
                  <c:v>12574.753546983988</c:v>
                </c:pt>
                <c:pt idx="70">
                  <c:v>12574.753635562007</c:v>
                </c:pt>
                <c:pt idx="71">
                  <c:v>12574.753650164455</c:v>
                </c:pt>
                <c:pt idx="72">
                  <c:v>12574.75365257173</c:v>
                </c:pt>
                <c:pt idx="73">
                  <c:v>12574.753652968575</c:v>
                </c:pt>
                <c:pt idx="74">
                  <c:v>12574.753653033998</c:v>
                </c:pt>
                <c:pt idx="75">
                  <c:v>12574.753653044783</c:v>
                </c:pt>
                <c:pt idx="76">
                  <c:v>12574.753653046562</c:v>
                </c:pt>
                <c:pt idx="77">
                  <c:v>12574.753653046855</c:v>
                </c:pt>
                <c:pt idx="78">
                  <c:v>12574.753653046902</c:v>
                </c:pt>
                <c:pt idx="79">
                  <c:v>12574.75365304691</c:v>
                </c:pt>
                <c:pt idx="80">
                  <c:v>12574.753653046913</c:v>
                </c:pt>
                <c:pt idx="81">
                  <c:v>12574.753653046913</c:v>
                </c:pt>
                <c:pt idx="82">
                  <c:v>12574.753653046913</c:v>
                </c:pt>
                <c:pt idx="83">
                  <c:v>12574.753653046913</c:v>
                </c:pt>
                <c:pt idx="84">
                  <c:v>12574.753653046913</c:v>
                </c:pt>
                <c:pt idx="85">
                  <c:v>12574.753653046913</c:v>
                </c:pt>
                <c:pt idx="86">
                  <c:v>12574.753653046913</c:v>
                </c:pt>
                <c:pt idx="87">
                  <c:v>12574.753653046913</c:v>
                </c:pt>
                <c:pt idx="88">
                  <c:v>12574.753653046913</c:v>
                </c:pt>
                <c:pt idx="89">
                  <c:v>12574.753653046913</c:v>
                </c:pt>
                <c:pt idx="90">
                  <c:v>12574.753653046913</c:v>
                </c:pt>
                <c:pt idx="91">
                  <c:v>12574.753653046913</c:v>
                </c:pt>
                <c:pt idx="92">
                  <c:v>12574.753653046913</c:v>
                </c:pt>
                <c:pt idx="93">
                  <c:v>12574.753653046913</c:v>
                </c:pt>
                <c:pt idx="94">
                  <c:v>12574.753653046913</c:v>
                </c:pt>
                <c:pt idx="95">
                  <c:v>12574.753653046913</c:v>
                </c:pt>
                <c:pt idx="96">
                  <c:v>12574.753653046913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63"/>
                <c:pt idx="0">
                  <c:v>43853</c:v>
                </c:pt>
                <c:pt idx="1">
                  <c:v>43854</c:v>
                </c:pt>
                <c:pt idx="2">
                  <c:v>43855</c:v>
                </c:pt>
                <c:pt idx="3">
                  <c:v>43856</c:v>
                </c:pt>
                <c:pt idx="4">
                  <c:v>43857</c:v>
                </c:pt>
                <c:pt idx="5">
                  <c:v>43858</c:v>
                </c:pt>
                <c:pt idx="6">
                  <c:v>43859</c:v>
                </c:pt>
                <c:pt idx="7">
                  <c:v>43860</c:v>
                </c:pt>
                <c:pt idx="8">
                  <c:v>43861</c:v>
                </c:pt>
                <c:pt idx="9">
                  <c:v>43862</c:v>
                </c:pt>
                <c:pt idx="10">
                  <c:v>43863</c:v>
                </c:pt>
                <c:pt idx="11">
                  <c:v>43864</c:v>
                </c:pt>
                <c:pt idx="12">
                  <c:v>43865</c:v>
                </c:pt>
                <c:pt idx="13">
                  <c:v>43866</c:v>
                </c:pt>
                <c:pt idx="14">
                  <c:v>43867</c:v>
                </c:pt>
                <c:pt idx="15">
                  <c:v>43868</c:v>
                </c:pt>
                <c:pt idx="16">
                  <c:v>43869</c:v>
                </c:pt>
                <c:pt idx="17">
                  <c:v>43870</c:v>
                </c:pt>
                <c:pt idx="18">
                  <c:v>43871</c:v>
                </c:pt>
                <c:pt idx="19">
                  <c:v>43872</c:v>
                </c:pt>
                <c:pt idx="20">
                  <c:v>43873</c:v>
                </c:pt>
                <c:pt idx="21">
                  <c:v>43874</c:v>
                </c:pt>
                <c:pt idx="22">
                  <c:v>43875</c:v>
                </c:pt>
                <c:pt idx="23">
                  <c:v>43876</c:v>
                </c:pt>
                <c:pt idx="24">
                  <c:v>43877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43883</c:v>
                </c:pt>
                <c:pt idx="31">
                  <c:v>43884</c:v>
                </c:pt>
                <c:pt idx="32">
                  <c:v>43885</c:v>
                </c:pt>
                <c:pt idx="33">
                  <c:v>43886</c:v>
                </c:pt>
                <c:pt idx="34">
                  <c:v>43887</c:v>
                </c:pt>
                <c:pt idx="35">
                  <c:v>43888</c:v>
                </c:pt>
                <c:pt idx="36">
                  <c:v>43889</c:v>
                </c:pt>
                <c:pt idx="37">
                  <c:v>43890</c:v>
                </c:pt>
                <c:pt idx="38">
                  <c:v>43891</c:v>
                </c:pt>
                <c:pt idx="39">
                  <c:v>43892</c:v>
                </c:pt>
                <c:pt idx="40">
                  <c:v>43893</c:v>
                </c:pt>
                <c:pt idx="41">
                  <c:v>43894</c:v>
                </c:pt>
                <c:pt idx="42">
                  <c:v>43895</c:v>
                </c:pt>
                <c:pt idx="43">
                  <c:v>43896</c:v>
                </c:pt>
                <c:pt idx="44">
                  <c:v>43897</c:v>
                </c:pt>
                <c:pt idx="45">
                  <c:v>43898</c:v>
                </c:pt>
                <c:pt idx="46">
                  <c:v>43899</c:v>
                </c:pt>
                <c:pt idx="47">
                  <c:v>43900</c:v>
                </c:pt>
                <c:pt idx="48">
                  <c:v>43901</c:v>
                </c:pt>
                <c:pt idx="49">
                  <c:v>43902</c:v>
                </c:pt>
                <c:pt idx="50">
                  <c:v>43903</c:v>
                </c:pt>
                <c:pt idx="51">
                  <c:v>43904</c:v>
                </c:pt>
                <c:pt idx="52">
                  <c:v>43905</c:v>
                </c:pt>
                <c:pt idx="53">
                  <c:v>43906</c:v>
                </c:pt>
                <c:pt idx="54">
                  <c:v>43907</c:v>
                </c:pt>
                <c:pt idx="55">
                  <c:v>43908</c:v>
                </c:pt>
                <c:pt idx="56">
                  <c:v>43909</c:v>
                </c:pt>
                <c:pt idx="57">
                  <c:v>43910</c:v>
                </c:pt>
                <c:pt idx="58">
                  <c:v>43911</c:v>
                </c:pt>
                <c:pt idx="59">
                  <c:v>43912</c:v>
                </c:pt>
                <c:pt idx="60">
                  <c:v>43913</c:v>
                </c:pt>
                <c:pt idx="61">
                  <c:v>43914</c:v>
                </c:pt>
                <c:pt idx="62">
                  <c:v>43915</c:v>
                </c:pt>
              </c:numCache>
            </c:numRef>
          </c:xVal>
          <c:yVal>
            <c:numRef>
              <c:f>myData!USCases</c:f>
              <c:numCache>
                <c:formatCode>##0.0E+00</c:formatCode>
                <c:ptCount val="63"/>
                <c:pt idx="0">
                  <c:v>3.037411069235945E-2</c:v>
                </c:pt>
                <c:pt idx="1">
                  <c:v>6.0748221384718901E-2</c:v>
                </c:pt>
                <c:pt idx="2">
                  <c:v>6.0748221384718901E-2</c:v>
                </c:pt>
                <c:pt idx="3">
                  <c:v>0.15187055346179726</c:v>
                </c:pt>
                <c:pt idx="4">
                  <c:v>0.15187055346179726</c:v>
                </c:pt>
                <c:pt idx="5">
                  <c:v>0.15187055346179726</c:v>
                </c:pt>
                <c:pt idx="6">
                  <c:v>0.15187055346179726</c:v>
                </c:pt>
                <c:pt idx="7">
                  <c:v>0.15187055346179726</c:v>
                </c:pt>
                <c:pt idx="8">
                  <c:v>0.21261877484651615</c:v>
                </c:pt>
                <c:pt idx="9">
                  <c:v>0.2429928855388756</c:v>
                </c:pt>
                <c:pt idx="10">
                  <c:v>0.2429928855388756</c:v>
                </c:pt>
                <c:pt idx="11">
                  <c:v>0.33411521761595392</c:v>
                </c:pt>
                <c:pt idx="12">
                  <c:v>0.33411521761595392</c:v>
                </c:pt>
                <c:pt idx="13">
                  <c:v>0.33411521761595392</c:v>
                </c:pt>
                <c:pt idx="14">
                  <c:v>0.33411521761595392</c:v>
                </c:pt>
                <c:pt idx="15">
                  <c:v>0.33411521761595392</c:v>
                </c:pt>
                <c:pt idx="16">
                  <c:v>0.33411521761595392</c:v>
                </c:pt>
                <c:pt idx="17">
                  <c:v>0.33411521761595392</c:v>
                </c:pt>
                <c:pt idx="18">
                  <c:v>0.33411521761595392</c:v>
                </c:pt>
                <c:pt idx="19">
                  <c:v>0.36448932830831338</c:v>
                </c:pt>
                <c:pt idx="20">
                  <c:v>0.36448932830831338</c:v>
                </c:pt>
                <c:pt idx="21">
                  <c:v>0.39486343900067283</c:v>
                </c:pt>
                <c:pt idx="22">
                  <c:v>0.39486343900067283</c:v>
                </c:pt>
                <c:pt idx="23">
                  <c:v>0.39486343900067283</c:v>
                </c:pt>
                <c:pt idx="24">
                  <c:v>0.39486343900067283</c:v>
                </c:pt>
                <c:pt idx="25">
                  <c:v>0.39486343900067283</c:v>
                </c:pt>
                <c:pt idx="26">
                  <c:v>0.39486343900067283</c:v>
                </c:pt>
                <c:pt idx="27">
                  <c:v>0.39486343900067283</c:v>
                </c:pt>
                <c:pt idx="28">
                  <c:v>0.39486343900067283</c:v>
                </c:pt>
                <c:pt idx="29">
                  <c:v>0.45561166038539175</c:v>
                </c:pt>
                <c:pt idx="30">
                  <c:v>0.45561166038539175</c:v>
                </c:pt>
                <c:pt idx="31">
                  <c:v>0.45561166038539175</c:v>
                </c:pt>
                <c:pt idx="32">
                  <c:v>1.5490796453103319</c:v>
                </c:pt>
                <c:pt idx="33">
                  <c:v>1.5490796453103319</c:v>
                </c:pt>
                <c:pt idx="34">
                  <c:v>1.7313243094644886</c:v>
                </c:pt>
                <c:pt idx="35">
                  <c:v>1.761698420156848</c:v>
                </c:pt>
                <c:pt idx="36">
                  <c:v>1.822446641541567</c:v>
                </c:pt>
                <c:pt idx="37">
                  <c:v>2.0654395270804424</c:v>
                </c:pt>
                <c:pt idx="38">
                  <c:v>2.2476841912345993</c:v>
                </c:pt>
                <c:pt idx="39">
                  <c:v>2.9766628478512263</c:v>
                </c:pt>
                <c:pt idx="40">
                  <c:v>3.5841450616984152</c:v>
                </c:pt>
                <c:pt idx="41">
                  <c:v>4.525742493161558</c:v>
                </c:pt>
                <c:pt idx="42">
                  <c:v>6.5911820202420008</c:v>
                </c:pt>
                <c:pt idx="43">
                  <c:v>7.9580170013981757</c:v>
                </c:pt>
                <c:pt idx="44">
                  <c:v>12.210392498328499</c:v>
                </c:pt>
                <c:pt idx="45">
                  <c:v>15.733789338642195</c:v>
                </c:pt>
                <c:pt idx="46">
                  <c:v>17.708106533645559</c:v>
                </c:pt>
                <c:pt idx="47">
                  <c:v>29.128772153972712</c:v>
                </c:pt>
                <c:pt idx="48">
                  <c:v>38.909235796912455</c:v>
                </c:pt>
                <c:pt idx="49">
                  <c:v>50.512146081393766</c:v>
                </c:pt>
                <c:pt idx="50">
                  <c:v>66.185187198651235</c:v>
                </c:pt>
                <c:pt idx="51">
                  <c:v>82.830199858064219</c:v>
                </c:pt>
                <c:pt idx="52">
                  <c:v>106.27901331256571</c:v>
                </c:pt>
                <c:pt idx="53">
                  <c:v>140.69288072700897</c:v>
                </c:pt>
                <c:pt idx="54">
                  <c:v>195.03216475564003</c:v>
                </c:pt>
                <c:pt idx="55">
                  <c:v>236.40170351863358</c:v>
                </c:pt>
                <c:pt idx="56">
                  <c:v>415.42671193940021</c:v>
                </c:pt>
                <c:pt idx="57">
                  <c:v>580.14551422406544</c:v>
                </c:pt>
                <c:pt idx="58">
                  <c:v>774.20570743755002</c:v>
                </c:pt>
                <c:pt idx="59">
                  <c:v>1010.7289073989531</c:v>
                </c:pt>
                <c:pt idx="60">
                  <c:v>1331.8136315278848</c:v>
                </c:pt>
                <c:pt idx="61">
                  <c:v>1632.3047086073968</c:v>
                </c:pt>
                <c:pt idx="62">
                  <c:v>1668.0246627816116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5.69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106"/>
                <c:pt idx="0">
                  <c:v>43853</c:v>
                </c:pt>
                <c:pt idx="1">
                  <c:v>43854</c:v>
                </c:pt>
                <c:pt idx="2">
                  <c:v>43855</c:v>
                </c:pt>
                <c:pt idx="3">
                  <c:v>43856</c:v>
                </c:pt>
                <c:pt idx="4">
                  <c:v>43857</c:v>
                </c:pt>
                <c:pt idx="5">
                  <c:v>43858</c:v>
                </c:pt>
                <c:pt idx="6">
                  <c:v>43859</c:v>
                </c:pt>
                <c:pt idx="7">
                  <c:v>43860</c:v>
                </c:pt>
                <c:pt idx="8">
                  <c:v>43861</c:v>
                </c:pt>
                <c:pt idx="9">
                  <c:v>43862</c:v>
                </c:pt>
                <c:pt idx="10">
                  <c:v>43863</c:v>
                </c:pt>
                <c:pt idx="11">
                  <c:v>43864</c:v>
                </c:pt>
                <c:pt idx="12">
                  <c:v>43865</c:v>
                </c:pt>
                <c:pt idx="13">
                  <c:v>43866</c:v>
                </c:pt>
                <c:pt idx="14">
                  <c:v>43867</c:v>
                </c:pt>
                <c:pt idx="15">
                  <c:v>43868</c:v>
                </c:pt>
                <c:pt idx="16">
                  <c:v>43869</c:v>
                </c:pt>
                <c:pt idx="17">
                  <c:v>43870</c:v>
                </c:pt>
                <c:pt idx="18">
                  <c:v>43871</c:v>
                </c:pt>
                <c:pt idx="19">
                  <c:v>43872</c:v>
                </c:pt>
                <c:pt idx="20">
                  <c:v>43873</c:v>
                </c:pt>
                <c:pt idx="21">
                  <c:v>43874</c:v>
                </c:pt>
                <c:pt idx="22">
                  <c:v>43875</c:v>
                </c:pt>
                <c:pt idx="23">
                  <c:v>43876</c:v>
                </c:pt>
                <c:pt idx="24">
                  <c:v>43877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43883</c:v>
                </c:pt>
                <c:pt idx="31">
                  <c:v>43884</c:v>
                </c:pt>
                <c:pt idx="32">
                  <c:v>43885</c:v>
                </c:pt>
                <c:pt idx="33">
                  <c:v>43886</c:v>
                </c:pt>
                <c:pt idx="34">
                  <c:v>43887</c:v>
                </c:pt>
                <c:pt idx="35">
                  <c:v>43888</c:v>
                </c:pt>
                <c:pt idx="36">
                  <c:v>43889</c:v>
                </c:pt>
                <c:pt idx="37">
                  <c:v>43890</c:v>
                </c:pt>
                <c:pt idx="38">
                  <c:v>43891</c:v>
                </c:pt>
                <c:pt idx="39">
                  <c:v>43892</c:v>
                </c:pt>
                <c:pt idx="40">
                  <c:v>43893</c:v>
                </c:pt>
                <c:pt idx="41">
                  <c:v>43894</c:v>
                </c:pt>
                <c:pt idx="42">
                  <c:v>43895</c:v>
                </c:pt>
                <c:pt idx="43">
                  <c:v>43896</c:v>
                </c:pt>
                <c:pt idx="44">
                  <c:v>43897</c:v>
                </c:pt>
                <c:pt idx="45">
                  <c:v>43898</c:v>
                </c:pt>
                <c:pt idx="46">
                  <c:v>43899</c:v>
                </c:pt>
                <c:pt idx="47">
                  <c:v>43900</c:v>
                </c:pt>
                <c:pt idx="48">
                  <c:v>43901</c:v>
                </c:pt>
                <c:pt idx="49">
                  <c:v>43902</c:v>
                </c:pt>
                <c:pt idx="50">
                  <c:v>43903</c:v>
                </c:pt>
                <c:pt idx="51">
                  <c:v>43904</c:v>
                </c:pt>
                <c:pt idx="52">
                  <c:v>43905</c:v>
                </c:pt>
                <c:pt idx="53">
                  <c:v>43906</c:v>
                </c:pt>
                <c:pt idx="54">
                  <c:v>43907</c:v>
                </c:pt>
                <c:pt idx="55">
                  <c:v>43908</c:v>
                </c:pt>
                <c:pt idx="56">
                  <c:v>43909</c:v>
                </c:pt>
                <c:pt idx="57">
                  <c:v>43910</c:v>
                </c:pt>
                <c:pt idx="58">
                  <c:v>43911</c:v>
                </c:pt>
                <c:pt idx="59">
                  <c:v>43912</c:v>
                </c:pt>
                <c:pt idx="60">
                  <c:v>43913</c:v>
                </c:pt>
                <c:pt idx="61">
                  <c:v>43914</c:v>
                </c:pt>
                <c:pt idx="62">
                  <c:v>43915</c:v>
                </c:pt>
                <c:pt idx="63">
                  <c:v>43916</c:v>
                </c:pt>
                <c:pt idx="64">
                  <c:v>43917</c:v>
                </c:pt>
                <c:pt idx="65">
                  <c:v>43918</c:v>
                </c:pt>
                <c:pt idx="66">
                  <c:v>43919</c:v>
                </c:pt>
                <c:pt idx="67">
                  <c:v>43920</c:v>
                </c:pt>
                <c:pt idx="68">
                  <c:v>43921</c:v>
                </c:pt>
                <c:pt idx="69">
                  <c:v>43922</c:v>
                </c:pt>
                <c:pt idx="70">
                  <c:v>43923</c:v>
                </c:pt>
                <c:pt idx="71">
                  <c:v>43930</c:v>
                </c:pt>
                <c:pt idx="72">
                  <c:v>43937</c:v>
                </c:pt>
                <c:pt idx="73">
                  <c:v>43944</c:v>
                </c:pt>
                <c:pt idx="74">
                  <c:v>43951</c:v>
                </c:pt>
                <c:pt idx="75">
                  <c:v>43958</c:v>
                </c:pt>
                <c:pt idx="76">
                  <c:v>43965</c:v>
                </c:pt>
                <c:pt idx="77">
                  <c:v>43972</c:v>
                </c:pt>
                <c:pt idx="78">
                  <c:v>43979</c:v>
                </c:pt>
                <c:pt idx="79">
                  <c:v>43986</c:v>
                </c:pt>
                <c:pt idx="80">
                  <c:v>43993</c:v>
                </c:pt>
                <c:pt idx="81">
                  <c:v>44000</c:v>
                </c:pt>
                <c:pt idx="82">
                  <c:v>44007</c:v>
                </c:pt>
                <c:pt idx="83">
                  <c:v>44014</c:v>
                </c:pt>
                <c:pt idx="84">
                  <c:v>44021</c:v>
                </c:pt>
                <c:pt idx="85">
                  <c:v>44028</c:v>
                </c:pt>
                <c:pt idx="86">
                  <c:v>44035</c:v>
                </c:pt>
                <c:pt idx="87">
                  <c:v>44042</c:v>
                </c:pt>
                <c:pt idx="88">
                  <c:v>44049</c:v>
                </c:pt>
                <c:pt idx="89">
                  <c:v>44056</c:v>
                </c:pt>
                <c:pt idx="90">
                  <c:v>44063</c:v>
                </c:pt>
                <c:pt idx="91">
                  <c:v>44070</c:v>
                </c:pt>
                <c:pt idx="92">
                  <c:v>44077</c:v>
                </c:pt>
                <c:pt idx="93">
                  <c:v>44084</c:v>
                </c:pt>
                <c:pt idx="94">
                  <c:v>44091</c:v>
                </c:pt>
                <c:pt idx="95">
                  <c:v>44098</c:v>
                </c:pt>
                <c:pt idx="96">
                  <c:v>44105</c:v>
                </c:pt>
                <c:pt idx="97">
                  <c:v>44112</c:v>
                </c:pt>
                <c:pt idx="98">
                  <c:v>44119</c:v>
                </c:pt>
                <c:pt idx="99">
                  <c:v>44126</c:v>
                </c:pt>
                <c:pt idx="100">
                  <c:v>44133</c:v>
                </c:pt>
                <c:pt idx="101">
                  <c:v>44140</c:v>
                </c:pt>
                <c:pt idx="102">
                  <c:v>44147</c:v>
                </c:pt>
                <c:pt idx="103">
                  <c:v>44154</c:v>
                </c:pt>
                <c:pt idx="104">
                  <c:v>44161</c:v>
                </c:pt>
                <c:pt idx="105">
                  <c:v>44168</c:v>
                </c:pt>
              </c:numCache>
            </c:numRef>
          </c:xVal>
          <c:yVal>
            <c:numRef>
              <c:f>myData!USLogi</c:f>
              <c:numCache>
                <c:formatCode>0</c:formatCode>
                <c:ptCount val="106"/>
                <c:pt idx="0">
                  <c:v>9.103015837459202E-5</c:v>
                </c:pt>
                <c:pt idx="1">
                  <c:v>1.2012474515609634E-4</c:v>
                </c:pt>
                <c:pt idx="2">
                  <c:v>1.5851839250745242E-4</c:v>
                </c:pt>
                <c:pt idx="3">
                  <c:v>2.0918321763191202E-4</c:v>
                </c:pt>
                <c:pt idx="4">
                  <c:v>2.7604127017801433E-4</c:v>
                </c:pt>
                <c:pt idx="5">
                  <c:v>3.6426814453856309E-4</c:v>
                </c:pt>
                <c:pt idx="6">
                  <c:v>4.8069363100138171E-4</c:v>
                </c:pt>
                <c:pt idx="7">
                  <c:v>6.3433042070470513E-4</c:v>
                </c:pt>
                <c:pt idx="8">
                  <c:v>8.3707179211294197E-4</c:v>
                </c:pt>
                <c:pt idx="9">
                  <c:v>1.1046122877012539E-3</c:v>
                </c:pt>
                <c:pt idx="10">
                  <c:v>1.4576626512851959E-3</c:v>
                </c:pt>
                <c:pt idx="11">
                  <c:v>1.9235530751198636E-3</c:v>
                </c:pt>
                <c:pt idx="12">
                  <c:v>2.538348864691448E-3</c:v>
                </c:pt>
                <c:pt idx="13">
                  <c:v>3.3496422946445118E-3</c:v>
                </c:pt>
                <c:pt idx="14">
                  <c:v>4.4202367715992039E-3</c:v>
                </c:pt>
                <c:pt idx="15">
                  <c:v>5.833008489738699E-3</c:v>
                </c:pt>
                <c:pt idx="16">
                  <c:v>7.6973219082871625E-3</c:v>
                </c:pt>
                <c:pt idx="17">
                  <c:v>1.0157495649229147E-2</c:v>
                </c:pt>
                <c:pt idx="18" formatCode="0.0">
                  <c:v>1.3403974114426778E-2</c:v>
                </c:pt>
                <c:pt idx="19" formatCode="0.0">
                  <c:v>1.7688069530853529E-2</c:v>
                </c:pt>
                <c:pt idx="20" formatCode="0.0">
                  <c:v>2.3341415447598917E-2</c:v>
                </c:pt>
                <c:pt idx="21" formatCode="0.0">
                  <c:v>3.0801637294001431E-2</c:v>
                </c:pt>
                <c:pt idx="22" formatCode="0.0">
                  <c:v>4.0646226645076618E-2</c:v>
                </c:pt>
                <c:pt idx="23" formatCode="0.0">
                  <c:v>5.3637240491567012E-2</c:v>
                </c:pt>
                <c:pt idx="24" formatCode="0.0">
                  <c:v>7.0780284076915723E-2</c:v>
                </c:pt>
                <c:pt idx="25" formatCode="0.0">
                  <c:v>9.3402340330069472E-2</c:v>
                </c:pt>
                <c:pt idx="26" formatCode="0.0">
                  <c:v>0.12325446569586926</c:v>
                </c:pt>
                <c:pt idx="27" formatCode="0.0">
                  <c:v>0.16264729332909872</c:v>
                </c:pt>
                <c:pt idx="28" formatCode="0.0">
                  <c:v>0.21462981770017936</c:v>
                </c:pt>
                <c:pt idx="29" formatCode="0.0">
                  <c:v>0.28322527367069344</c:v>
                </c:pt>
                <c:pt idx="30" formatCode="0.0">
                  <c:v>0.3737423228937814</c:v>
                </c:pt>
                <c:pt idx="31" formatCode="0.0">
                  <c:v>0.49318555527247215</c:v>
                </c:pt>
                <c:pt idx="32" formatCode="0.0">
                  <c:v>0.65079694079267869</c:v>
                </c:pt>
                <c:pt idx="33" formatCode="0.0">
                  <c:v>0.85876989871762466</c:v>
                </c:pt>
                <c:pt idx="34" formatCode="0.0">
                  <c:v>1.1331908302558913</c:v>
                </c:pt>
                <c:pt idx="35" formatCode="0.0">
                  <c:v>1.4952802498751077</c:v>
                </c:pt>
                <c:pt idx="36" formatCode="0.0">
                  <c:v>1.9730282874258249</c:v>
                </c:pt>
                <c:pt idx="37" formatCode="0.0">
                  <c:v>2.6033488961268096</c:v>
                </c:pt>
                <c:pt idx="38" formatCode="0.0">
                  <c:v>3.4349155759406131</c:v>
                </c:pt>
                <c:pt idx="39" formatCode="0.0">
                  <c:v>4.5318912610369626</c:v>
                </c:pt>
                <c:pt idx="40" formatCode="0.0">
                  <c:v>5.9788291720206441</c:v>
                </c:pt>
                <c:pt idx="41" formatCode="0.0">
                  <c:v>7.8871032905543652</c:v>
                </c:pt>
                <c:pt idx="42" formatCode="0.0">
                  <c:v>10.403330296332603</c:v>
                </c:pt>
                <c:pt idx="43" formatCode="0.0">
                  <c:v>13.720372627576337</c:v>
                </c:pt>
                <c:pt idx="44" formatCode="0.0">
                  <c:v>18.091666669839835</c:v>
                </c:pt>
                <c:pt idx="45" formatCode="0.0">
                  <c:v>23.849799231942143</c:v>
                </c:pt>
                <c:pt idx="46" formatCode="0.0">
                  <c:v>31.430450172582489</c:v>
                </c:pt>
                <c:pt idx="47" formatCode="0.0">
                  <c:v>41.403005580593657</c:v>
                </c:pt>
                <c:pt idx="48" formatCode="0.0">
                  <c:v>54.509274514490357</c:v>
                </c:pt>
                <c:pt idx="49" formatCode="0.0">
                  <c:v>71.711718528157149</c:v>
                </c:pt>
                <c:pt idx="50" formatCode="0.0">
                  <c:v>94.25225973260568</c:v>
                </c:pt>
                <c:pt idx="51" formatCode="0.0">
                  <c:v>123.72179064184844</c:v>
                </c:pt>
                <c:pt idx="52" formatCode="0.0">
                  <c:v>162.13852981714359</c:v>
                </c:pt>
                <c:pt idx="53" formatCode="0.0">
                  <c:v>212.02971913794752</c:v>
                </c:pt>
                <c:pt idx="54" formatCode="0.0">
                  <c:v>276.50503664219457</c:v>
                </c:pt>
                <c:pt idx="55" formatCode="0.0">
                  <c:v>359.30071026364072</c:v>
                </c:pt>
                <c:pt idx="56" formatCode="0.0">
                  <c:v>464.76041307748113</c:v>
                </c:pt>
                <c:pt idx="57" formatCode="0.0">
                  <c:v>597.70402136451548</c:v>
                </c:pt>
                <c:pt idx="58" formatCode="0.0">
                  <c:v>763.12317401877999</c:v>
                </c:pt>
                <c:pt idx="59" formatCode="0.0">
                  <c:v>965.64387444397209</c:v>
                </c:pt>
                <c:pt idx="60" formatCode="0.0">
                  <c:v>1208.7277054029225</c:v>
                </c:pt>
                <c:pt idx="61" formatCode="0.0">
                  <c:v>1493.6616006387142</c:v>
                </c:pt>
                <c:pt idx="62" formatCode="0.0">
                  <c:v>1818.5131123607787</c:v>
                </c:pt>
                <c:pt idx="63" formatCode="0.0">
                  <c:v>2177.3664792888003</c:v>
                </c:pt>
                <c:pt idx="64" formatCode="0.0">
                  <c:v>2560.2179744849482</c:v>
                </c:pt>
                <c:pt idx="65" formatCode="0.0">
                  <c:v>2953.7973457075614</c:v>
                </c:pt>
                <c:pt idx="66" formatCode="0.0">
                  <c:v>3343.2727233804826</c:v>
                </c:pt>
                <c:pt idx="67" formatCode="0.0">
                  <c:v>3714.4170176554244</c:v>
                </c:pt>
                <c:pt idx="68" formatCode="0.0">
                  <c:v>4055.592754843623</c:v>
                </c:pt>
                <c:pt idx="69" formatCode="0.0">
                  <c:v>4359.0009136722329</c:v>
                </c:pt>
                <c:pt idx="70" formatCode="0.0">
                  <c:v>4620.9756508952923</c:v>
                </c:pt>
                <c:pt idx="71" formatCode="0.0">
                  <c:v>5508.0689516976345</c:v>
                </c:pt>
                <c:pt idx="72" formatCode="0.0">
                  <c:v>5664.1093188838377</c:v>
                </c:pt>
                <c:pt idx="73" formatCode="0.0">
                  <c:v>5687.2303998974139</c:v>
                </c:pt>
                <c:pt idx="74" formatCode="0.0">
                  <c:v>5690.5639081233212</c:v>
                </c:pt>
                <c:pt idx="75" formatCode="0.0">
                  <c:v>5691.0426068397092</c:v>
                </c:pt>
                <c:pt idx="76" formatCode="0.0">
                  <c:v>5691.1113095318096</c:v>
                </c:pt>
                <c:pt idx="77" formatCode="0.0">
                  <c:v>5691.1211689086804</c:v>
                </c:pt>
                <c:pt idx="78" formatCode="0.0">
                  <c:v>5691.1225837901075</c:v>
                </c:pt>
                <c:pt idx="79" formatCode="0.0">
                  <c:v>5691.1227868339802</c:v>
                </c:pt>
                <c:pt idx="80" formatCode="0.0">
                  <c:v>5691.1228159719712</c:v>
                </c:pt>
                <c:pt idx="81" formatCode="0.0">
                  <c:v>5691.122820153445</c:v>
                </c:pt>
                <c:pt idx="82" formatCode="0.0">
                  <c:v>5691.1228207535114</c:v>
                </c:pt>
                <c:pt idx="83" formatCode="0.0">
                  <c:v>5691.1228208396251</c:v>
                </c:pt>
                <c:pt idx="84" formatCode="0.0">
                  <c:v>5691.1228208519824</c:v>
                </c:pt>
                <c:pt idx="85" formatCode="0.0">
                  <c:v>5691.1228208537559</c:v>
                </c:pt>
                <c:pt idx="86" formatCode="0.0">
                  <c:v>5691.1228208540097</c:v>
                </c:pt>
                <c:pt idx="87" formatCode="0.0">
                  <c:v>5691.1228208540451</c:v>
                </c:pt>
                <c:pt idx="88" formatCode="0.0">
                  <c:v>5691.1228208540515</c:v>
                </c:pt>
                <c:pt idx="89" formatCode="0.0">
                  <c:v>5691.1228208540524</c:v>
                </c:pt>
                <c:pt idx="90" formatCode="0.0">
                  <c:v>5691.1228208540524</c:v>
                </c:pt>
                <c:pt idx="91" formatCode="0.0">
                  <c:v>5691.1228208540524</c:v>
                </c:pt>
                <c:pt idx="92" formatCode="0.0">
                  <c:v>5691.1228208540524</c:v>
                </c:pt>
                <c:pt idx="93" formatCode="0.0">
                  <c:v>5691.1228208540524</c:v>
                </c:pt>
                <c:pt idx="94" formatCode="0.0">
                  <c:v>5691.1228208540524</c:v>
                </c:pt>
                <c:pt idx="95" formatCode="0.0">
                  <c:v>5691.1228208540524</c:v>
                </c:pt>
                <c:pt idx="96" formatCode="0.0">
                  <c:v>5691.1228208540524</c:v>
                </c:pt>
                <c:pt idx="97" formatCode="0.0">
                  <c:v>5691.1228208540524</c:v>
                </c:pt>
                <c:pt idx="98" formatCode="0.0">
                  <c:v>5691.1228208540524</c:v>
                </c:pt>
                <c:pt idx="99" formatCode="0.0">
                  <c:v>5691.1228208540524</c:v>
                </c:pt>
                <c:pt idx="100" formatCode="0.0">
                  <c:v>5691.1228208540524</c:v>
                </c:pt>
                <c:pt idx="101" formatCode="0.0">
                  <c:v>5691.1228208540524</c:v>
                </c:pt>
                <c:pt idx="102" formatCode="0.0">
                  <c:v>5691.1228208540524</c:v>
                </c:pt>
                <c:pt idx="103" formatCode="0.0">
                  <c:v>5691.1228208540524</c:v>
                </c:pt>
                <c:pt idx="104" formatCode="0.0">
                  <c:v>5691.1228208540524</c:v>
                </c:pt>
                <c:pt idx="105" formatCode="0.0">
                  <c:v>5691.1228208540524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myData!ChinaSeries</c:f>
              <c:strCache>
                <c:ptCount val="1"/>
                <c:pt idx="0">
                  <c:v>China Limit 563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43930</c:v>
                </c:pt>
                <c:pt idx="73">
                  <c:v>43937</c:v>
                </c:pt>
                <c:pt idx="74">
                  <c:v>43944</c:v>
                </c:pt>
                <c:pt idx="75">
                  <c:v>43951</c:v>
                </c:pt>
                <c:pt idx="76">
                  <c:v>43958</c:v>
                </c:pt>
                <c:pt idx="77">
                  <c:v>43965</c:v>
                </c:pt>
                <c:pt idx="78">
                  <c:v>43972</c:v>
                </c:pt>
                <c:pt idx="79">
                  <c:v>43979</c:v>
                </c:pt>
                <c:pt idx="80">
                  <c:v>43986</c:v>
                </c:pt>
                <c:pt idx="81">
                  <c:v>43993</c:v>
                </c:pt>
                <c:pt idx="82">
                  <c:v>44000</c:v>
                </c:pt>
                <c:pt idx="83">
                  <c:v>44007</c:v>
                </c:pt>
                <c:pt idx="84">
                  <c:v>44014</c:v>
                </c:pt>
                <c:pt idx="85">
                  <c:v>44021</c:v>
                </c:pt>
                <c:pt idx="86">
                  <c:v>44028</c:v>
                </c:pt>
                <c:pt idx="87">
                  <c:v>44035</c:v>
                </c:pt>
                <c:pt idx="88">
                  <c:v>44042</c:v>
                </c:pt>
                <c:pt idx="89">
                  <c:v>44049</c:v>
                </c:pt>
                <c:pt idx="90">
                  <c:v>44056</c:v>
                </c:pt>
                <c:pt idx="91">
                  <c:v>44063</c:v>
                </c:pt>
                <c:pt idx="92">
                  <c:v>44070</c:v>
                </c:pt>
                <c:pt idx="93">
                  <c:v>44077</c:v>
                </c:pt>
                <c:pt idx="94">
                  <c:v>44084</c:v>
                </c:pt>
                <c:pt idx="95">
                  <c:v>44091</c:v>
                </c:pt>
                <c:pt idx="96">
                  <c:v>44098</c:v>
                </c:pt>
                <c:pt idx="97">
                  <c:v>44105</c:v>
                </c:pt>
                <c:pt idx="98">
                  <c:v>44112</c:v>
                </c:pt>
                <c:pt idx="99">
                  <c:v>44119</c:v>
                </c:pt>
                <c:pt idx="100">
                  <c:v>44126</c:v>
                </c:pt>
                <c:pt idx="101">
                  <c:v>44133</c:v>
                </c:pt>
                <c:pt idx="102">
                  <c:v>44140</c:v>
                </c:pt>
                <c:pt idx="103">
                  <c:v>44147</c:v>
                </c:pt>
                <c:pt idx="104">
                  <c:v>44154</c:v>
                </c:pt>
                <c:pt idx="105">
                  <c:v>44161</c:v>
                </c:pt>
                <c:pt idx="106">
                  <c:v>44168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13.277879447066788</c:v>
                </c:pt>
                <c:pt idx="2">
                  <c:v>16.484025158498682</c:v>
                </c:pt>
                <c:pt idx="3">
                  <c:v>20.435557567426564</c:v>
                </c:pt>
                <c:pt idx="4">
                  <c:v>25.290501829557009</c:v>
                </c:pt>
                <c:pt idx="5">
                  <c:v>31.232441089395362</c:v>
                </c:pt>
                <c:pt idx="6">
                  <c:v>38.470520532809786</c:v>
                </c:pt>
                <c:pt idx="7">
                  <c:v>47.236975856005962</c:v>
                </c:pt>
                <c:pt idx="8">
                  <c:v>57.780974610663726</c:v>
                </c:pt>
                <c:pt idx="9">
                  <c:v>70.357412171750113</c:v>
                </c:pt>
                <c:pt idx="10">
                  <c:v>85.209409130504824</c:v>
                </c:pt>
                <c:pt idx="11">
                  <c:v>102.54381624813004</c:v>
                </c:pt>
                <c:pt idx="12">
                  <c:v>122.50025002999644</c:v>
                </c:pt>
                <c:pt idx="13">
                  <c:v>145.11614101891283</c:v>
                </c:pt>
                <c:pt idx="14">
                  <c:v>170.29276175115768</c:v>
                </c:pt>
                <c:pt idx="15">
                  <c:v>197.76952773596358</c:v>
                </c:pt>
                <c:pt idx="16">
                  <c:v>227.11489628142812</c:v>
                </c:pt>
                <c:pt idx="17">
                  <c:v>257.74071779720998</c:v>
                </c:pt>
                <c:pt idx="18">
                  <c:v>288.9423931902565</c:v>
                </c:pt>
                <c:pt idx="19">
                  <c:v>319.96053813308185</c:v>
                </c:pt>
                <c:pt idx="20">
                  <c:v>350.05339135025753</c:v>
                </c:pt>
                <c:pt idx="21">
                  <c:v>378.5657247416421</c:v>
                </c:pt>
                <c:pt idx="22">
                  <c:v>404.98116271540044</c:v>
                </c:pt>
                <c:pt idx="23">
                  <c:v>428.9500439666773</c:v>
                </c:pt>
                <c:pt idx="24">
                  <c:v>450.29186964358246</c:v>
                </c:pt>
                <c:pt idx="25">
                  <c:v>468.97721443524625</c:v>
                </c:pt>
                <c:pt idx="26">
                  <c:v>485.09703305386586</c:v>
                </c:pt>
                <c:pt idx="27">
                  <c:v>498.82743532617133</c:v>
                </c:pt>
                <c:pt idx="28">
                  <c:v>510.39618937343494</c:v>
                </c:pt>
                <c:pt idx="29">
                  <c:v>520.05469188858694</c:v>
                </c:pt>
                <c:pt idx="30">
                  <c:v>528.05685838737736</c:v>
                </c:pt>
                <c:pt idx="31">
                  <c:v>534.64477991143008</c:v>
                </c:pt>
                <c:pt idx="32">
                  <c:v>540.04011311565966</c:v>
                </c:pt>
                <c:pt idx="33">
                  <c:v>544.43985676337707</c:v>
                </c:pt>
                <c:pt idx="34">
                  <c:v>548.01520612193474</c:v>
                </c:pt>
                <c:pt idx="35">
                  <c:v>550.91238715096574</c:v>
                </c:pt>
                <c:pt idx="36">
                  <c:v>553.254633686425</c:v>
                </c:pt>
                <c:pt idx="37">
                  <c:v>555.14471635709356</c:v>
                </c:pt>
                <c:pt idx="38">
                  <c:v>556.66763335036103</c:v>
                </c:pt>
                <c:pt idx="39">
                  <c:v>557.89322454156468</c:v>
                </c:pt>
                <c:pt idx="40">
                  <c:v>558.87857709112427</c:v>
                </c:pt>
                <c:pt idx="41">
                  <c:v>559.67016150191012</c:v>
                </c:pt>
                <c:pt idx="42">
                  <c:v>560.30568164218823</c:v>
                </c:pt>
                <c:pt idx="43">
                  <c:v>560.81564833239645</c:v>
                </c:pt>
                <c:pt idx="44">
                  <c:v>561.22469991929427</c:v>
                </c:pt>
                <c:pt idx="45">
                  <c:v>561.55269928180894</c:v>
                </c:pt>
                <c:pt idx="46">
                  <c:v>561.81563801642449</c:v>
                </c:pt>
                <c:pt idx="47">
                  <c:v>562.02637718859285</c:v>
                </c:pt>
                <c:pt idx="48">
                  <c:v>562.19525132492754</c:v>
                </c:pt>
                <c:pt idx="49">
                  <c:v>562.33055906783136</c:v>
                </c:pt>
                <c:pt idx="50">
                  <c:v>562.43896059369558</c:v>
                </c:pt>
                <c:pt idx="51">
                  <c:v>562.52579876654454</c:v>
                </c:pt>
                <c:pt idx="52">
                  <c:v>562.5953581856262</c:v>
                </c:pt>
                <c:pt idx="53">
                  <c:v>562.65107383225461</c:v>
                </c:pt>
                <c:pt idx="54">
                  <c:v>562.69569892667312</c:v>
                </c:pt>
                <c:pt idx="55">
                  <c:v>562.7314398442245</c:v>
                </c:pt>
                <c:pt idx="56">
                  <c:v>562.76006447507518</c:v>
                </c:pt>
                <c:pt idx="57">
                  <c:v>562.78298920344093</c:v>
                </c:pt>
                <c:pt idx="58">
                  <c:v>562.8013486920064</c:v>
                </c:pt>
                <c:pt idx="59">
                  <c:v>562.81605184966952</c:v>
                </c:pt>
                <c:pt idx="60">
                  <c:v>562.82782670466872</c:v>
                </c:pt>
                <c:pt idx="61">
                  <c:v>562.83725637373834</c:v>
                </c:pt>
                <c:pt idx="62">
                  <c:v>562.84480788851272</c:v>
                </c:pt>
                <c:pt idx="63">
                  <c:v>562.85085529402204</c:v>
                </c:pt>
                <c:pt idx="64">
                  <c:v>562.85569815515476</c:v>
                </c:pt>
                <c:pt idx="65">
                  <c:v>562.85957638252387</c:v>
                </c:pt>
                <c:pt idx="66">
                  <c:v>562.86268210880723</c:v>
                </c:pt>
                <c:pt idx="67">
                  <c:v>562.86516920174654</c:v>
                </c:pt>
                <c:pt idx="68">
                  <c:v>562.8671608837177</c:v>
                </c:pt>
                <c:pt idx="69">
                  <c:v>562.86875583448295</c:v>
                </c:pt>
                <c:pt idx="70">
                  <c:v>562.87003307891825</c:v>
                </c:pt>
                <c:pt idx="71">
                  <c:v>562.87105590151873</c:v>
                </c:pt>
                <c:pt idx="72">
                  <c:v>562.87429939848346</c:v>
                </c:pt>
                <c:pt idx="73">
                  <c:v>562.87498439471096</c:v>
                </c:pt>
                <c:pt idx="74">
                  <c:v>562.87512905871199</c:v>
                </c:pt>
                <c:pt idx="75">
                  <c:v>562.87515961019244</c:v>
                </c:pt>
                <c:pt idx="76">
                  <c:v>562.87516606233476</c:v>
                </c:pt>
                <c:pt idx="77">
                  <c:v>562.87516742495757</c:v>
                </c:pt>
                <c:pt idx="78">
                  <c:v>562.87516771272851</c:v>
                </c:pt>
                <c:pt idx="79">
                  <c:v>562.87516777350288</c:v>
                </c:pt>
                <c:pt idx="80">
                  <c:v>562.87516778633756</c:v>
                </c:pt>
                <c:pt idx="81">
                  <c:v>562.87516778904819</c:v>
                </c:pt>
                <c:pt idx="82">
                  <c:v>562.8751677896206</c:v>
                </c:pt>
                <c:pt idx="83">
                  <c:v>562.87516778974145</c:v>
                </c:pt>
                <c:pt idx="84">
                  <c:v>562.87516778976703</c:v>
                </c:pt>
                <c:pt idx="85">
                  <c:v>562.87516778977249</c:v>
                </c:pt>
                <c:pt idx="86">
                  <c:v>562.87516778977351</c:v>
                </c:pt>
                <c:pt idx="87">
                  <c:v>562.87516778977385</c:v>
                </c:pt>
                <c:pt idx="88">
                  <c:v>562.87516778977385</c:v>
                </c:pt>
                <c:pt idx="89">
                  <c:v>562.87516778977385</c:v>
                </c:pt>
                <c:pt idx="90">
                  <c:v>562.87516778977385</c:v>
                </c:pt>
                <c:pt idx="91">
                  <c:v>562.87516778977385</c:v>
                </c:pt>
                <c:pt idx="92">
                  <c:v>562.87516778977385</c:v>
                </c:pt>
                <c:pt idx="93">
                  <c:v>562.87516778977385</c:v>
                </c:pt>
                <c:pt idx="94">
                  <c:v>562.87516778977385</c:v>
                </c:pt>
                <c:pt idx="95">
                  <c:v>562.87516778977385</c:v>
                </c:pt>
                <c:pt idx="96">
                  <c:v>562.87516778977385</c:v>
                </c:pt>
                <c:pt idx="97">
                  <c:v>562.87516778977385</c:v>
                </c:pt>
                <c:pt idx="98">
                  <c:v>562.87516778977385</c:v>
                </c:pt>
                <c:pt idx="99">
                  <c:v>562.87516778977385</c:v>
                </c:pt>
                <c:pt idx="100">
                  <c:v>562.87516778977385</c:v>
                </c:pt>
                <c:pt idx="101">
                  <c:v>562.87516778977385</c:v>
                </c:pt>
                <c:pt idx="102">
                  <c:v>562.87516778977385</c:v>
                </c:pt>
                <c:pt idx="103">
                  <c:v>562.87516778977385</c:v>
                </c:pt>
                <c:pt idx="104">
                  <c:v>562.87516778977385</c:v>
                </c:pt>
                <c:pt idx="105">
                  <c:v>562.87516778977385</c:v>
                </c:pt>
                <c:pt idx="106">
                  <c:v>562.87516778977385</c:v>
                </c:pt>
              </c:numCache>
            </c:numRef>
          </c:yVal>
          <c:smooth val="0"/>
        </c:ser>
        <c:ser>
          <c:idx val="7"/>
          <c:order val="7"/>
          <c:tx>
            <c:v>China Cases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0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 formatCode="##0.0E+00">
                  <c:v>536.64784316048156</c:v>
                </c:pt>
                <c:pt idx="34" formatCode="##0.0E+00">
                  <c:v>540.21201689646796</c:v>
                </c:pt>
                <c:pt idx="35" formatCode="##0.0E+00">
                  <c:v>543.07447221659743</c:v>
                </c:pt>
                <c:pt idx="36" formatCode="##0.0E+00">
                  <c:v>546.08977709265605</c:v>
                </c:pt>
                <c:pt idx="37" formatCode="##0.0E+00">
                  <c:v>548.36862501741928</c:v>
                </c:pt>
                <c:pt idx="38" formatCode="##0.0E+00">
                  <c:v>551.34224365095179</c:v>
                </c:pt>
                <c:pt idx="39" formatCode="##0.0E+00">
                  <c:v>555.34412293346293</c:v>
                </c:pt>
                <c:pt idx="40" formatCode="##0.0E+00">
                  <c:v>556.7614551793522</c:v>
                </c:pt>
                <c:pt idx="41" formatCode="##0.0E+00">
                  <c:v>557.6299185653138</c:v>
                </c:pt>
                <c:pt idx="42" formatCode="##0.0E+00">
                  <c:v>558.49838195127541</c:v>
                </c:pt>
                <c:pt idx="43" formatCode="##0.0E+00">
                  <c:v>559.54748572151709</c:v>
                </c:pt>
                <c:pt idx="44" formatCode="##0.0E+00">
                  <c:v>560.61048490593407</c:v>
                </c:pt>
                <c:pt idx="45" formatCode="##0.0E+00">
                  <c:v>561.1663014729495</c:v>
                </c:pt>
                <c:pt idx="46" formatCode="##0.0E+00">
                  <c:v>561.5345299485972</c:v>
                </c:pt>
                <c:pt idx="47" formatCode="##0.0E+00">
                  <c:v>561.79159511084185</c:v>
                </c:pt>
                <c:pt idx="48" formatCode="##0.0E+00">
                  <c:v>561.97918320220958</c:v>
                </c:pt>
                <c:pt idx="49" formatCode="##0.0E+00">
                  <c:v>562.21540524319107</c:v>
                </c:pt>
                <c:pt idx="50" formatCode="##0.0E+00">
                  <c:v>562.29183002115576</c:v>
                </c:pt>
                <c:pt idx="51" formatCode="##0.0E+00">
                  <c:v>562.38215021329574</c:v>
                </c:pt>
                <c:pt idx="52" formatCode="##0.0E+00">
                  <c:v>562.60447684010194</c:v>
                </c:pt>
                <c:pt idx="53" formatCode="##0.0E+00">
                  <c:v>562.78511722438191</c:v>
                </c:pt>
                <c:pt idx="54" formatCode="##0.0E+00">
                  <c:v>562.99354843701269</c:v>
                </c:pt>
                <c:pt idx="55" formatCode="##0.0E+00">
                  <c:v>563.16724111420501</c:v>
                </c:pt>
                <c:pt idx="56" formatCode="##0.0E+00">
                  <c:v>563.47294022606354</c:v>
                </c:pt>
                <c:pt idx="57" formatCode="##0.0E+00">
                  <c:v>563.84811640879889</c:v>
                </c:pt>
                <c:pt idx="58" formatCode="##0.0E+00">
                  <c:v>564.50120087504206</c:v>
                </c:pt>
                <c:pt idx="59" formatCode="##0.0E+00">
                  <c:v>564.88332476486516</c:v>
                </c:pt>
                <c:pt idx="60" formatCode="##0.0E+00">
                  <c:v>565.78652668626523</c:v>
                </c:pt>
                <c:pt idx="61" formatCode="##0.0E+00">
                  <c:v>566.22423223278986</c:v>
                </c:pt>
                <c:pt idx="62">
                  <c:v>566.87036899194527</c:v>
                </c:pt>
                <c:pt idx="63">
                  <c:v>567.35670848808377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myData!$DS$11:$DS$12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myData!$DU$11:$DU$12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97760"/>
        <c:axId val="782400896"/>
      </c:scatterChart>
      <c:valAx>
        <c:axId val="782397760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400896"/>
        <c:crossesAt val="1.0000000000000002E-2"/>
        <c:crossBetween val="midCat"/>
        <c:majorUnit val="14"/>
        <c:minorUnit val="7"/>
      </c:valAx>
      <c:valAx>
        <c:axId val="782400896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97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myData!$CX$12</c:f>
          <c:strCache>
            <c:ptCount val="1"/>
            <c:pt idx="0">
              <c:v>COVID19 NSW P(t) = b / {d+[( b/Po - d ) ]* exp(-b*t)}
b=0.209, d=2.17E-05, P0=.004 Limit=11.9 k=&gt;9.60 k cases 
 26-Mar, Cases per 10 M population</c:v>
            </c:pt>
          </c:strCache>
        </c:strRef>
      </c:tx>
      <c:layout>
        <c:manualLayout>
          <c:xMode val="edge"/>
          <c:yMode val="edge"/>
          <c:x val="0.10423000727656354"/>
          <c:y val="2.087170083325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7791892379594115"/>
          <c:w val="0.43460159270882204"/>
          <c:h val="0.68992130218377157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61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61"/>
                <c:pt idx="0">
                  <c:v>3.7128712871287126</c:v>
                </c:pt>
                <c:pt idx="1">
                  <c:v>4.9504950495049505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7.4257425742574252</c:v>
                </c:pt>
                <c:pt idx="36">
                  <c:v>7.4257425742574252</c:v>
                </c:pt>
                <c:pt idx="37">
                  <c:v>16.089108910891088</c:v>
                </c:pt>
                <c:pt idx="38">
                  <c:v>27.227722772277225</c:v>
                </c:pt>
                <c:pt idx="39">
                  <c:v>27.227722772277225</c:v>
                </c:pt>
                <c:pt idx="40">
                  <c:v>32.178217821782177</c:v>
                </c:pt>
                <c:pt idx="41">
                  <c:v>34.653465346534652</c:v>
                </c:pt>
                <c:pt idx="42">
                  <c:v>47.029702970297024</c:v>
                </c:pt>
                <c:pt idx="43">
                  <c:v>59.405940594059402</c:v>
                </c:pt>
                <c:pt idx="44">
                  <c:v>68.06930693069306</c:v>
                </c:pt>
                <c:pt idx="45">
                  <c:v>80.445544554455438</c:v>
                </c:pt>
                <c:pt idx="46">
                  <c:v>80.445544554455438</c:v>
                </c:pt>
                <c:pt idx="47">
                  <c:v>113.86138613861385</c:v>
                </c:pt>
                <c:pt idx="48">
                  <c:v>138.61386138613861</c:v>
                </c:pt>
                <c:pt idx="49">
                  <c:v>165.84158415841583</c:v>
                </c:pt>
                <c:pt idx="50">
                  <c:v>211.63366336633663</c:v>
                </c:pt>
                <c:pt idx="51">
                  <c:v>259.9009900990099</c:v>
                </c:pt>
                <c:pt idx="52">
                  <c:v>330.44554455445541</c:v>
                </c:pt>
                <c:pt idx="53">
                  <c:v>379.95049504950492</c:v>
                </c:pt>
                <c:pt idx="54">
                  <c:v>436.88118811881185</c:v>
                </c:pt>
                <c:pt idx="55">
                  <c:v>539.60396039603961</c:v>
                </c:pt>
                <c:pt idx="56">
                  <c:v>827.97029702970292</c:v>
                </c:pt>
                <c:pt idx="57">
                  <c:v>827.97029702970292</c:v>
                </c:pt>
                <c:pt idx="58">
                  <c:v>1012.3762376237623</c:v>
                </c:pt>
                <c:pt idx="59">
                  <c:v>1273.5148514851485</c:v>
                </c:pt>
                <c:pt idx="60">
                  <c:v>1508.6633663366335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myData!$CV$12</c:f>
              <c:strCache>
                <c:ptCount val="1"/>
                <c:pt idx="0">
                  <c:v>NSW Limit 11.9 k</c:v>
                </c:pt>
              </c:strCache>
            </c:strRef>
          </c:tx>
          <c:spPr>
            <a:ln w="158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43922</c:v>
                </c:pt>
                <c:pt idx="67">
                  <c:v>43923</c:v>
                </c:pt>
                <c:pt idx="68">
                  <c:v>43930</c:v>
                </c:pt>
                <c:pt idx="69">
                  <c:v>43937</c:v>
                </c:pt>
                <c:pt idx="70">
                  <c:v>43944</c:v>
                </c:pt>
                <c:pt idx="71">
                  <c:v>43951</c:v>
                </c:pt>
                <c:pt idx="72">
                  <c:v>43958</c:v>
                </c:pt>
                <c:pt idx="73">
                  <c:v>43965</c:v>
                </c:pt>
                <c:pt idx="74">
                  <c:v>43972</c:v>
                </c:pt>
                <c:pt idx="75">
                  <c:v>43979</c:v>
                </c:pt>
                <c:pt idx="76">
                  <c:v>43986</c:v>
                </c:pt>
                <c:pt idx="77">
                  <c:v>43993</c:v>
                </c:pt>
                <c:pt idx="78">
                  <c:v>44000</c:v>
                </c:pt>
                <c:pt idx="79">
                  <c:v>44007</c:v>
                </c:pt>
                <c:pt idx="80">
                  <c:v>44014</c:v>
                </c:pt>
                <c:pt idx="81">
                  <c:v>44021</c:v>
                </c:pt>
                <c:pt idx="82">
                  <c:v>44028</c:v>
                </c:pt>
                <c:pt idx="83">
                  <c:v>44035</c:v>
                </c:pt>
                <c:pt idx="84">
                  <c:v>44042</c:v>
                </c:pt>
                <c:pt idx="85">
                  <c:v>44049</c:v>
                </c:pt>
                <c:pt idx="86">
                  <c:v>44056</c:v>
                </c:pt>
                <c:pt idx="87">
                  <c:v>44063</c:v>
                </c:pt>
                <c:pt idx="88">
                  <c:v>44070</c:v>
                </c:pt>
                <c:pt idx="89">
                  <c:v>44077</c:v>
                </c:pt>
                <c:pt idx="90">
                  <c:v>44084</c:v>
                </c:pt>
                <c:pt idx="91">
                  <c:v>44091</c:v>
                </c:pt>
                <c:pt idx="92">
                  <c:v>44098</c:v>
                </c:pt>
                <c:pt idx="93">
                  <c:v>44105</c:v>
                </c:pt>
                <c:pt idx="94">
                  <c:v>44112</c:v>
                </c:pt>
                <c:pt idx="95">
                  <c:v>44119</c:v>
                </c:pt>
                <c:pt idx="96">
                  <c:v>44126</c:v>
                </c:pt>
                <c:pt idx="97">
                  <c:v>44133</c:v>
                </c:pt>
                <c:pt idx="98">
                  <c:v>44140</c:v>
                </c:pt>
                <c:pt idx="99">
                  <c:v>44147</c:v>
                </c:pt>
                <c:pt idx="100">
                  <c:v>44154</c:v>
                </c:pt>
                <c:pt idx="101">
                  <c:v>44161</c:v>
                </c:pt>
                <c:pt idx="102">
                  <c:v>44168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3"/>
                <c:pt idx="0">
                  <c:v>6.3712984807301754E-3</c:v>
                </c:pt>
                <c:pt idx="1">
                  <c:v>7.8487840642898453E-3</c:v>
                </c:pt>
                <c:pt idx="2">
                  <c:v>9.6688939778353522E-3</c:v>
                </c:pt>
                <c:pt idx="3">
                  <c:v>1.1911081597819484E-2</c:v>
                </c:pt>
                <c:pt idx="4">
                  <c:v>1.4673225184410197E-2</c:v>
                </c:pt>
                <c:pt idx="5">
                  <c:v>1.807590049120817E-2</c:v>
                </c:pt>
                <c:pt idx="6">
                  <c:v>2.226764414513269E-2</c:v>
                </c:pt>
                <c:pt idx="7">
                  <c:v>2.743143753458533E-2</c:v>
                </c:pt>
                <c:pt idx="8">
                  <c:v>3.3792694209925055E-2</c:v>
                </c:pt>
                <c:pt idx="9">
                  <c:v>4.1629099413407263E-2</c:v>
                </c:pt>
                <c:pt idx="10">
                  <c:v>5.1282731176733508E-2</c:v>
                </c:pt>
                <c:pt idx="11">
                  <c:v>6.3174991975944172E-2</c:v>
                </c:pt>
                <c:pt idx="12">
                  <c:v>7.7825002553146866E-2</c:v>
                </c:pt>
                <c:pt idx="13">
                  <c:v>9.5872260542864726E-2</c:v>
                </c:pt>
                <c:pt idx="14">
                  <c:v>0.11810455255167786</c:v>
                </c:pt>
                <c:pt idx="15">
                  <c:v>0.14549233742475587</c:v>
                </c:pt>
                <c:pt idx="16">
                  <c:v>0.17923110054882554</c:v>
                </c:pt>
                <c:pt idx="17">
                  <c:v>0.22079352643764122</c:v>
                </c:pt>
                <c:pt idx="18">
                  <c:v>0.27199376458837904</c:v>
                </c:pt>
                <c:pt idx="19">
                  <c:v>0.3350665902065712</c:v>
                </c:pt>
                <c:pt idx="20">
                  <c:v>0.41276490963182538</c:v>
                </c:pt>
                <c:pt idx="21">
                  <c:v>0.508479858105782</c:v>
                </c:pt>
                <c:pt idx="22">
                  <c:v>0.62638871920597339</c:v>
                </c:pt>
                <c:pt idx="23">
                  <c:v>0.77163710287616338</c:v>
                </c:pt>
                <c:pt idx="24">
                  <c:v>0.95056330401493339</c:v>
                </c:pt>
                <c:pt idx="25">
                  <c:v>1.1709745890210341</c:v>
                </c:pt>
                <c:pt idx="26">
                  <c:v>1.4424874004241792</c:v>
                </c:pt>
                <c:pt idx="27">
                  <c:v>1.7769462234123128</c:v>
                </c:pt>
                <c:pt idx="28">
                  <c:v>2.1889392364740052</c:v>
                </c:pt>
                <c:pt idx="29">
                  <c:v>2.6964330092326785</c:v>
                </c:pt>
                <c:pt idx="30">
                  <c:v>3.3215535798391</c:v>
                </c:pt>
                <c:pt idx="31">
                  <c:v>4.0915474409086281</c:v>
                </c:pt>
                <c:pt idx="32">
                  <c:v>5.0399635235325233</c:v>
                </c:pt>
                <c:pt idx="33">
                  <c:v>6.208106472073557</c:v>
                </c:pt>
                <c:pt idx="34">
                  <c:v>7.6468226723816715</c:v>
                </c:pt>
                <c:pt idx="35">
                  <c:v>9.4186940029785617</c:v>
                </c:pt>
                <c:pt idx="36">
                  <c:v>11.600730535048687</c:v>
                </c:pt>
                <c:pt idx="37">
                  <c:v>14.287672855037508</c:v>
                </c:pt>
                <c:pt idx="38">
                  <c:v>17.596037769575929</c:v>
                </c:pt>
                <c:pt idx="39">
                  <c:v>21.669068278614812</c:v>
                </c:pt>
                <c:pt idx="40">
                  <c:v>26.682780144797977</c:v>
                </c:pt>
                <c:pt idx="41">
                  <c:v>32.853333158594644</c:v>
                </c:pt>
                <c:pt idx="42">
                  <c:v>40.445994834390724</c:v>
                </c:pt>
                <c:pt idx="43">
                  <c:v>49.786006493631319</c:v>
                </c:pt>
                <c:pt idx="44">
                  <c:v>61.271703896265599</c:v>
                </c:pt>
                <c:pt idx="45">
                  <c:v>75.390282094892427</c:v>
                </c:pt>
                <c:pt idx="46">
                  <c:v>92.736619165176265</c:v>
                </c:pt>
                <c:pt idx="47">
                  <c:v>114.03557336852663</c:v>
                </c:pt>
                <c:pt idx="48">
                  <c:v>140.16812379875256</c:v>
                </c:pt>
                <c:pt idx="49">
                  <c:v>172.20160683402094</c:v>
                </c:pt>
                <c:pt idx="50">
                  <c:v>211.42406819814897</c:v>
                </c:pt>
                <c:pt idx="51">
                  <c:v>259.38234538965673</c:v>
                </c:pt>
                <c:pt idx="52">
                  <c:v>317.92284106745399</c:v>
                </c:pt>
                <c:pt idx="53">
                  <c:v>389.23294933643001</c:v>
                </c:pt>
                <c:pt idx="54">
                  <c:v>475.87964623656359</c:v>
                </c:pt>
                <c:pt idx="55">
                  <c:v>580.83975269771838</c:v>
                </c:pt>
                <c:pt idx="56">
                  <c:v>707.51377059479773</c:v>
                </c:pt>
                <c:pt idx="57">
                  <c:v>859.71205066950142</c:v>
                </c:pt>
                <c:pt idx="58">
                  <c:v>1041.5986850414913</c:v>
                </c:pt>
                <c:pt idx="59">
                  <c:v>1257.5756347546417</c:v>
                </c:pt>
                <c:pt idx="60">
                  <c:v>1512.0884766621496</c:v>
                </c:pt>
                <c:pt idx="61">
                  <c:v>1809.3377049792223</c:v>
                </c:pt>
                <c:pt idx="62">
                  <c:v>2152.8881502544336</c:v>
                </c:pt>
                <c:pt idx="63">
                  <c:v>2545.1859962546355</c:v>
                </c:pt>
                <c:pt idx="64">
                  <c:v>2987.0187662352032</c:v>
                </c:pt>
                <c:pt idx="65">
                  <c:v>3476.9857623387938</c:v>
                </c:pt>
                <c:pt idx="66">
                  <c:v>4011.0769128489947</c:v>
                </c:pt>
                <c:pt idx="67">
                  <c:v>4582.4739601766814</c:v>
                </c:pt>
                <c:pt idx="68">
                  <c:v>8672.7236910020129</c:v>
                </c:pt>
                <c:pt idx="69" formatCode="0.00E+00">
                  <c:v>10940.930780631754</c:v>
                </c:pt>
                <c:pt idx="70" formatCode="0.00E+00">
                  <c:v>11648.511933451053</c:v>
                </c:pt>
                <c:pt idx="71" formatCode="0.00E+00">
                  <c:v>11826.153299668858</c:v>
                </c:pt>
                <c:pt idx="72" formatCode="0.00E+00">
                  <c:v>11868.190790849338</c:v>
                </c:pt>
                <c:pt idx="73" formatCode="0.00E+00">
                  <c:v>11877.99731544269</c:v>
                </c:pt>
                <c:pt idx="74" formatCode="0.00E+00">
                  <c:v>11880.277320420282</c:v>
                </c:pt>
                <c:pt idx="75" formatCode="0.00E+00">
                  <c:v>11880.807004753402</c:v>
                </c:pt>
                <c:pt idx="76" formatCode="0.00E+00">
                  <c:v>11880.930037183418</c:v>
                </c:pt>
                <c:pt idx="77" formatCode="0.00E+00">
                  <c:v>11880.958613336119</c:v>
                </c:pt>
                <c:pt idx="78" formatCode="0.00E+00">
                  <c:v>11880.965250517091</c:v>
                </c:pt>
                <c:pt idx="79" formatCode="0.00E+00">
                  <c:v>11880.966792084682</c:v>
                </c:pt>
                <c:pt idx="80" formatCode="0.00E+00">
                  <c:v>11880.967150132688</c:v>
                </c:pt>
                <c:pt idx="81" formatCode="0.00E+00">
                  <c:v>11880.967233293723</c:v>
                </c:pt>
                <c:pt idx="82" formatCode="0.00E+00">
                  <c:v>11880.967252608893</c:v>
                </c:pt>
                <c:pt idx="83" formatCode="0.00E+00">
                  <c:v>11880.967257095075</c:v>
                </c:pt>
                <c:pt idx="84" formatCode="0.00E+00">
                  <c:v>11880.967258137045</c:v>
                </c:pt>
                <c:pt idx="85" formatCode="0.00E+00">
                  <c:v>11880.967258379056</c:v>
                </c:pt>
                <c:pt idx="86" formatCode="0.00E+00">
                  <c:v>11880.967258435265</c:v>
                </c:pt>
                <c:pt idx="87" formatCode="0.00E+00">
                  <c:v>11880.96725844832</c:v>
                </c:pt>
                <c:pt idx="88" formatCode="0.00E+00">
                  <c:v>11880.967258451356</c:v>
                </c:pt>
                <c:pt idx="89" formatCode="0.00E+00">
                  <c:v>11880.967258452059</c:v>
                </c:pt>
                <c:pt idx="90" formatCode="0.00E+00">
                  <c:v>11880.967258452221</c:v>
                </c:pt>
                <c:pt idx="91" formatCode="0.00E+00">
                  <c:v>11880.96725845226</c:v>
                </c:pt>
                <c:pt idx="92" formatCode="0.00E+00">
                  <c:v>11880.967258452269</c:v>
                </c:pt>
                <c:pt idx="93" formatCode="0.00E+00">
                  <c:v>11880.96725845227</c:v>
                </c:pt>
                <c:pt idx="94" formatCode="0.00E+00">
                  <c:v>11880.96725845227</c:v>
                </c:pt>
                <c:pt idx="95" formatCode="0.00E+00">
                  <c:v>11880.96725845227</c:v>
                </c:pt>
                <c:pt idx="96" formatCode="0.00E+00">
                  <c:v>11880.96725845227</c:v>
                </c:pt>
                <c:pt idx="97" formatCode="0.00E+00">
                  <c:v>11880.96725845227</c:v>
                </c:pt>
                <c:pt idx="98" formatCode="0.00E+00">
                  <c:v>11880.96725845227</c:v>
                </c:pt>
                <c:pt idx="99" formatCode="0.00E+00">
                  <c:v>11880.96725845227</c:v>
                </c:pt>
                <c:pt idx="100" formatCode="0.00E+00">
                  <c:v>11880.96725845227</c:v>
                </c:pt>
                <c:pt idx="101" formatCode="0.00E+00">
                  <c:v>11880.96725845227</c:v>
                </c:pt>
                <c:pt idx="102" formatCode="0.00E+00">
                  <c:v>11880.96725845227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myData!$DS$11:$DS$12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myData!$DT$11:$DT$12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95408"/>
        <c:axId val="782393056"/>
      </c:scatterChart>
      <c:valAx>
        <c:axId val="782395408"/>
        <c:scaling>
          <c:orientation val="minMax"/>
          <c:max val="43928"/>
          <c:min val="4385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93056"/>
        <c:crosses val="autoZero"/>
        <c:crossBetween val="midCat"/>
        <c:majorUnit val="7"/>
        <c:minorUnit val="1"/>
      </c:valAx>
      <c:valAx>
        <c:axId val="782393056"/>
        <c:scaling>
          <c:logBase val="10"/>
          <c:orientation val="minMax"/>
          <c:max val="1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#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95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326873199651895"/>
          <c:y val="0.75918626004430056"/>
          <c:w val="0.20090832474950837"/>
          <c:h val="9.157483392206868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myData!$CX$13</c:f>
          <c:strCache>
            <c:ptCount val="1"/>
            <c:pt idx="0">
              <c:v>COVID19 Italy P(t) = b / {d+[( b/Po - d ) ]* exp(-b*t)}
b=0.258, d=3.39E-06, P0=.442 Limit=12.6 k=&gt;76.1 k cases 
 25-Mar,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69409564235042309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5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6"/>
                <c:pt idx="0">
                  <c:v>0.33066049433743905</c:v>
                </c:pt>
                <c:pt idx="1">
                  <c:v>0.33066049433743905</c:v>
                </c:pt>
                <c:pt idx="2">
                  <c:v>0.33066049433743905</c:v>
                </c:pt>
                <c:pt idx="3">
                  <c:v>0.33066049433743905</c:v>
                </c:pt>
                <c:pt idx="4">
                  <c:v>0.33066049433743905</c:v>
                </c:pt>
                <c:pt idx="5">
                  <c:v>0.33066049433743905</c:v>
                </c:pt>
                <c:pt idx="6">
                  <c:v>0.33066049433743905</c:v>
                </c:pt>
                <c:pt idx="7">
                  <c:v>0.49599074150615857</c:v>
                </c:pt>
                <c:pt idx="8">
                  <c:v>0.49599074150615857</c:v>
                </c:pt>
                <c:pt idx="9">
                  <c:v>0.49599074150615857</c:v>
                </c:pt>
                <c:pt idx="10">
                  <c:v>0.49599074150615857</c:v>
                </c:pt>
                <c:pt idx="11">
                  <c:v>0.49599074150615857</c:v>
                </c:pt>
                <c:pt idx="12">
                  <c:v>0.49599074150615857</c:v>
                </c:pt>
                <c:pt idx="13">
                  <c:v>0.49599074150615857</c:v>
                </c:pt>
                <c:pt idx="14">
                  <c:v>0.49599074150615857</c:v>
                </c:pt>
                <c:pt idx="15">
                  <c:v>0.49599074150615857</c:v>
                </c:pt>
                <c:pt idx="16">
                  <c:v>0.49599074150615857</c:v>
                </c:pt>
                <c:pt idx="17">
                  <c:v>0.49599074150615857</c:v>
                </c:pt>
                <c:pt idx="18">
                  <c:v>0.49599074150615857</c:v>
                </c:pt>
                <c:pt idx="19">
                  <c:v>0.49599074150615857</c:v>
                </c:pt>
                <c:pt idx="20">
                  <c:v>0.49599074150615857</c:v>
                </c:pt>
                <c:pt idx="21">
                  <c:v>3.3066049433743903</c:v>
                </c:pt>
                <c:pt idx="22" formatCode="##0.0E+00">
                  <c:v>10.250475324460611</c:v>
                </c:pt>
                <c:pt idx="23" formatCode="##0.0E+00">
                  <c:v>25.626188311151527</c:v>
                </c:pt>
                <c:pt idx="24" formatCode="##0.0E+00">
                  <c:v>37.860626601636774</c:v>
                </c:pt>
                <c:pt idx="25" formatCode="##0.0E+00">
                  <c:v>53.236339588327688</c:v>
                </c:pt>
                <c:pt idx="26" formatCode="##0.0E+00">
                  <c:v>74.894601967429949</c:v>
                </c:pt>
                <c:pt idx="27" formatCode="##0.0E+00">
                  <c:v>108.29131189551129</c:v>
                </c:pt>
                <c:pt idx="28" formatCode="##0.0E+00">
                  <c:v>146.81325948582293</c:v>
                </c:pt>
                <c:pt idx="29" formatCode="##0.0E+00">
                  <c:v>186.49251880631562</c:v>
                </c:pt>
                <c:pt idx="30" formatCode="##0.0E+00">
                  <c:v>280.06943870381087</c:v>
                </c:pt>
                <c:pt idx="31" formatCode="##0.0E+00">
                  <c:v>336.61238323551294</c:v>
                </c:pt>
                <c:pt idx="32" formatCode="##0.0E+00">
                  <c:v>413.65627841613627</c:v>
                </c:pt>
                <c:pt idx="33" formatCode="##0.0E+00">
                  <c:v>510.70513350417463</c:v>
                </c:pt>
                <c:pt idx="34" formatCode="##0.0E+00">
                  <c:v>637.84409357691993</c:v>
                </c:pt>
                <c:pt idx="35" formatCode="##0.0E+00">
                  <c:v>766.47102587418374</c:v>
                </c:pt>
                <c:pt idx="36" formatCode="##0.0E+00">
                  <c:v>972.63784409357697</c:v>
                </c:pt>
                <c:pt idx="37" formatCode="##0.0E+00">
                  <c:v>1219.3105728693065</c:v>
                </c:pt>
                <c:pt idx="38" formatCode="##0.0E+00">
                  <c:v>1516.4090270314955</c:v>
                </c:pt>
                <c:pt idx="39" formatCode="##0.0E+00">
                  <c:v>1677.9366785153345</c:v>
                </c:pt>
                <c:pt idx="40" formatCode="##0.0E+00">
                  <c:v>2060.3455402165828</c:v>
                </c:pt>
                <c:pt idx="41" formatCode="##0.0E+00">
                  <c:v>2490.0388526080847</c:v>
                </c:pt>
                <c:pt idx="42" formatCode="##0.0E+00">
                  <c:v>2919.732164999587</c:v>
                </c:pt>
                <c:pt idx="43" formatCode="##0.0E+00">
                  <c:v>3497.8920393485992</c:v>
                </c:pt>
                <c:pt idx="44" formatCode="##0.0E+00">
                  <c:v>4091.4276266843021</c:v>
                </c:pt>
                <c:pt idx="45" formatCode="##0.0E+00">
                  <c:v>4625.9403157807719</c:v>
                </c:pt>
                <c:pt idx="46" formatCode="##0.0E+00">
                  <c:v>5208.8947672976774</c:v>
                </c:pt>
                <c:pt idx="47" formatCode="##0.0E+00">
                  <c:v>5904.4391171364805</c:v>
                </c:pt>
                <c:pt idx="48" formatCode="##0.0E+00">
                  <c:v>6784.3266925684056</c:v>
                </c:pt>
                <c:pt idx="49" formatCode="##0.0E+00">
                  <c:v>7773.9935521203606</c:v>
                </c:pt>
                <c:pt idx="50" formatCode="##0.0E+00">
                  <c:v>8858.0639828056555</c:v>
                </c:pt>
                <c:pt idx="51" formatCode="##0.0E+00">
                  <c:v>9777.3001570637352</c:v>
                </c:pt>
                <c:pt idx="52" formatCode="##0.0E+00">
                  <c:v>10569.066710754732</c:v>
                </c:pt>
                <c:pt idx="53" formatCode="##0.0E+00">
                  <c:v>11436.885178143342</c:v>
                </c:pt>
                <c:pt idx="54">
                  <c:v>12298.255765892371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ItalyLogistic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8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  <c:pt idx="55">
                  <c:v>43916</c:v>
                </c:pt>
                <c:pt idx="56">
                  <c:v>43917</c:v>
                </c:pt>
                <c:pt idx="57">
                  <c:v>43918</c:v>
                </c:pt>
                <c:pt idx="58">
                  <c:v>43919</c:v>
                </c:pt>
                <c:pt idx="59">
                  <c:v>43920</c:v>
                </c:pt>
                <c:pt idx="60">
                  <c:v>43921</c:v>
                </c:pt>
                <c:pt idx="61">
                  <c:v>43922</c:v>
                </c:pt>
                <c:pt idx="62">
                  <c:v>43923</c:v>
                </c:pt>
                <c:pt idx="63">
                  <c:v>43930</c:v>
                </c:pt>
                <c:pt idx="64">
                  <c:v>43937</c:v>
                </c:pt>
                <c:pt idx="65">
                  <c:v>43944</c:v>
                </c:pt>
                <c:pt idx="66">
                  <c:v>43951</c:v>
                </c:pt>
                <c:pt idx="67">
                  <c:v>43958</c:v>
                </c:pt>
                <c:pt idx="68">
                  <c:v>43965</c:v>
                </c:pt>
                <c:pt idx="69">
                  <c:v>43972</c:v>
                </c:pt>
                <c:pt idx="70">
                  <c:v>43979</c:v>
                </c:pt>
                <c:pt idx="71">
                  <c:v>43986</c:v>
                </c:pt>
                <c:pt idx="72">
                  <c:v>43993</c:v>
                </c:pt>
                <c:pt idx="73">
                  <c:v>44000</c:v>
                </c:pt>
                <c:pt idx="74">
                  <c:v>44007</c:v>
                </c:pt>
                <c:pt idx="75">
                  <c:v>44014</c:v>
                </c:pt>
                <c:pt idx="76">
                  <c:v>44021</c:v>
                </c:pt>
                <c:pt idx="77">
                  <c:v>44028</c:v>
                </c:pt>
                <c:pt idx="78">
                  <c:v>44035</c:v>
                </c:pt>
                <c:pt idx="79">
                  <c:v>44042</c:v>
                </c:pt>
                <c:pt idx="80">
                  <c:v>44049</c:v>
                </c:pt>
                <c:pt idx="81">
                  <c:v>44056</c:v>
                </c:pt>
                <c:pt idx="82">
                  <c:v>44063</c:v>
                </c:pt>
                <c:pt idx="83">
                  <c:v>44070</c:v>
                </c:pt>
                <c:pt idx="84">
                  <c:v>44077</c:v>
                </c:pt>
                <c:pt idx="85">
                  <c:v>44084</c:v>
                </c:pt>
                <c:pt idx="86">
                  <c:v>44091</c:v>
                </c:pt>
                <c:pt idx="87">
                  <c:v>44098</c:v>
                </c:pt>
                <c:pt idx="88">
                  <c:v>44105</c:v>
                </c:pt>
                <c:pt idx="89">
                  <c:v>44112</c:v>
                </c:pt>
                <c:pt idx="90">
                  <c:v>44119</c:v>
                </c:pt>
                <c:pt idx="91">
                  <c:v>44126</c:v>
                </c:pt>
                <c:pt idx="92">
                  <c:v>44133</c:v>
                </c:pt>
                <c:pt idx="93">
                  <c:v>44140</c:v>
                </c:pt>
                <c:pt idx="94">
                  <c:v>44147</c:v>
                </c:pt>
                <c:pt idx="95">
                  <c:v>44154</c:v>
                </c:pt>
                <c:pt idx="96">
                  <c:v>44161</c:v>
                </c:pt>
                <c:pt idx="97">
                  <c:v>44168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8"/>
                <c:pt idx="0">
                  <c:v>0.12240853858695699</c:v>
                </c:pt>
                <c:pt idx="1">
                  <c:v>0.1583628730928473</c:v>
                </c:pt>
                <c:pt idx="2">
                  <c:v>0.20487768910249429</c:v>
                </c:pt>
                <c:pt idx="3">
                  <c:v>0.26505468779382163</c:v>
                </c:pt>
                <c:pt idx="4">
                  <c:v>0.34290648765903037</c:v>
                </c:pt>
                <c:pt idx="5">
                  <c:v>0.4436240929393882</c:v>
                </c:pt>
                <c:pt idx="6">
                  <c:v>0.57392286213201427</c:v>
                </c:pt>
                <c:pt idx="7">
                  <c:v>0.74248999189637677</c:v>
                </c:pt>
                <c:pt idx="8">
                  <c:v>0.96056326342689469</c:v>
                </c:pt>
                <c:pt idx="9">
                  <c:v>1.2426794882069432</c:v>
                </c:pt>
                <c:pt idx="10">
                  <c:v>1.6076423002591296</c:v>
                </c:pt>
                <c:pt idx="11">
                  <c:v>2.0797733912641552</c:v>
                </c:pt>
                <c:pt idx="12">
                  <c:v>2.6905298885442641</c:v>
                </c:pt>
                <c:pt idx="13">
                  <c:v>3.480594493832196</c:v>
                </c:pt>
                <c:pt idx="14">
                  <c:v>4.5025756931739878</c:v>
                </c:pt>
                <c:pt idx="15">
                  <c:v>5.824494636894932</c:v>
                </c:pt>
                <c:pt idx="16">
                  <c:v>7.5342854176167791</c:v>
                </c:pt>
                <c:pt idx="17">
                  <c:v>9.7455991603557539</c:v>
                </c:pt>
                <c:pt idx="18">
                  <c:v>12.605282785452665</c:v>
                </c:pt>
                <c:pt idx="19">
                  <c:v>16.303004142168387</c:v>
                </c:pt>
                <c:pt idx="20">
                  <c:v>21.083620282854319</c:v>
                </c:pt>
                <c:pt idx="21">
                  <c:v>27.263038527230602</c:v>
                </c:pt>
                <c:pt idx="22">
                  <c:v>35.248502979906938</c:v>
                </c:pt>
                <c:pt idx="23">
                  <c:v>45.564451586619064</c:v>
                </c:pt>
                <c:pt idx="24">
                  <c:v>58.88532368429447</c:v>
                </c:pt>
                <c:pt idx="25">
                  <c:v>76.076936714109053</c:v>
                </c:pt>
                <c:pt idx="26">
                  <c:v>98.248254218165258</c:v>
                </c:pt>
                <c:pt idx="27">
                  <c:v>126.81546180333602</c:v>
                </c:pt>
                <c:pt idx="28">
                  <c:v>163.58012406414301</c:v>
                </c:pt>
                <c:pt idx="29">
                  <c:v>210.82259811419772</c:v>
                </c:pt>
                <c:pt idx="30">
                  <c:v>271.41048751891657</c:v>
                </c:pt>
                <c:pt idx="31">
                  <c:v>348.91922456337272</c:v>
                </c:pt>
                <c:pt idx="32">
                  <c:v>447.75716243775247</c:v>
                </c:pt>
                <c:pt idx="33">
                  <c:v>573.27996988088182</c:v>
                </c:pt>
                <c:pt idx="34">
                  <c:v>731.86779271537603</c:v>
                </c:pt>
                <c:pt idx="35">
                  <c:v>930.92322448969901</c:v>
                </c:pt>
                <c:pt idx="36">
                  <c:v>1178.7297519187343</c:v>
                </c:pt>
                <c:pt idx="37">
                  <c:v>1484.0932884623826</c:v>
                </c:pt>
                <c:pt idx="38">
                  <c:v>1855.6831480420774</c:v>
                </c:pt>
                <c:pt idx="39">
                  <c:v>2301.0092055315536</c:v>
                </c:pt>
                <c:pt idx="40">
                  <c:v>2825.0387785599746</c:v>
                </c:pt>
                <c:pt idx="41">
                  <c:v>3428.5831866093272</c:v>
                </c:pt>
                <c:pt idx="42">
                  <c:v>4106.7568234858363</c:v>
                </c:pt>
                <c:pt idx="43">
                  <c:v>4847.9702085321342</c:v>
                </c:pt>
                <c:pt idx="44">
                  <c:v>5633.9562535064415</c:v>
                </c:pt>
                <c:pt idx="45">
                  <c:v>6441.1449346171048</c:v>
                </c:pt>
                <c:pt idx="46">
                  <c:v>7243.2934251108209</c:v>
                </c:pt>
                <c:pt idx="47">
                  <c:v>8014.8036482442476</c:v>
                </c:pt>
                <c:pt idx="48">
                  <c:v>8733.8708334931998</c:v>
                </c:pt>
                <c:pt idx="49">
                  <c:v>9384.6791774212252</c:v>
                </c:pt>
                <c:pt idx="50">
                  <c:v>9958.2491881017559</c:v>
                </c:pt>
                <c:pt idx="51">
                  <c:v>10452.018714107591</c:v>
                </c:pt>
                <c:pt idx="52">
                  <c:v>10868.572313677741</c:v>
                </c:pt>
                <c:pt idx="53">
                  <c:v>11214.025621862253</c:v>
                </c:pt>
                <c:pt idx="54">
                  <c:v>11496.473687834947</c:v>
                </c:pt>
                <c:pt idx="55">
                  <c:v>11724.737619230449</c:v>
                </c:pt>
                <c:pt idx="56">
                  <c:v>11907.484411988562</c:v>
                </c:pt>
                <c:pt idx="57">
                  <c:v>12052.691484549587</c:v>
                </c:pt>
                <c:pt idx="58">
                  <c:v>12167.380529921342</c:v>
                </c:pt>
                <c:pt idx="59">
                  <c:v>12257.537274031965</c:v>
                </c:pt>
                <c:pt idx="60">
                  <c:v>12328.145611035123</c:v>
                </c:pt>
                <c:pt idx="61">
                  <c:v>12383.282931289163</c:v>
                </c:pt>
                <c:pt idx="62">
                  <c:v>12542.782363206032</c:v>
                </c:pt>
                <c:pt idx="63">
                  <c:v>12569.471840392351</c:v>
                </c:pt>
                <c:pt idx="64">
                  <c:v>12573.88261914732</c:v>
                </c:pt>
                <c:pt idx="65">
                  <c:v>12574.610051250018</c:v>
                </c:pt>
                <c:pt idx="66">
                  <c:v>12574.729979479438</c:v>
                </c:pt>
                <c:pt idx="67">
                  <c:v>12574.749750356659</c:v>
                </c:pt>
                <c:pt idx="68">
                  <c:v>12574.753009672346</c:v>
                </c:pt>
                <c:pt idx="69">
                  <c:v>12574.753546983988</c:v>
                </c:pt>
                <c:pt idx="70">
                  <c:v>12574.753635562007</c:v>
                </c:pt>
                <c:pt idx="71">
                  <c:v>12574.753650164455</c:v>
                </c:pt>
                <c:pt idx="72">
                  <c:v>12574.75365257173</c:v>
                </c:pt>
                <c:pt idx="73">
                  <c:v>12574.753652968575</c:v>
                </c:pt>
                <c:pt idx="74">
                  <c:v>12574.753653033998</c:v>
                </c:pt>
                <c:pt idx="75">
                  <c:v>12574.753653044783</c:v>
                </c:pt>
                <c:pt idx="76">
                  <c:v>12574.753653046562</c:v>
                </c:pt>
                <c:pt idx="77">
                  <c:v>12574.753653046855</c:v>
                </c:pt>
                <c:pt idx="78">
                  <c:v>12574.753653046902</c:v>
                </c:pt>
                <c:pt idx="79">
                  <c:v>12574.75365304691</c:v>
                </c:pt>
                <c:pt idx="80">
                  <c:v>12574.753653046913</c:v>
                </c:pt>
                <c:pt idx="81">
                  <c:v>12574.753653046913</c:v>
                </c:pt>
                <c:pt idx="82">
                  <c:v>12574.753653046913</c:v>
                </c:pt>
                <c:pt idx="83">
                  <c:v>12574.753653046913</c:v>
                </c:pt>
                <c:pt idx="84">
                  <c:v>12574.753653046913</c:v>
                </c:pt>
                <c:pt idx="85">
                  <c:v>12574.753653046913</c:v>
                </c:pt>
                <c:pt idx="86">
                  <c:v>12574.753653046913</c:v>
                </c:pt>
                <c:pt idx="87">
                  <c:v>12574.753653046913</c:v>
                </c:pt>
                <c:pt idx="88">
                  <c:v>12574.753653046913</c:v>
                </c:pt>
                <c:pt idx="89">
                  <c:v>12574.753653046913</c:v>
                </c:pt>
                <c:pt idx="90">
                  <c:v>12574.753653046913</c:v>
                </c:pt>
                <c:pt idx="91">
                  <c:v>12574.753653046913</c:v>
                </c:pt>
                <c:pt idx="92">
                  <c:v>12574.753653046913</c:v>
                </c:pt>
                <c:pt idx="93">
                  <c:v>12574.753653046913</c:v>
                </c:pt>
                <c:pt idx="94">
                  <c:v>12574.753653046913</c:v>
                </c:pt>
                <c:pt idx="95">
                  <c:v>12574.753653046913</c:v>
                </c:pt>
                <c:pt idx="96">
                  <c:v>12574.753653046913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95800"/>
        <c:axId val="782402072"/>
      </c:scatterChart>
      <c:valAx>
        <c:axId val="782395800"/>
        <c:scaling>
          <c:orientation val="minMax"/>
          <c:max val="43922"/>
          <c:min val="4386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402072"/>
        <c:crossesAt val="0.1"/>
        <c:crossBetween val="midCat"/>
        <c:majorUnit val="7"/>
        <c:minorUnit val="3.5"/>
      </c:valAx>
      <c:valAx>
        <c:axId val="782402072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#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95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432251928890691E-2"/>
          <c:y val="0.16096157076147521"/>
          <c:w val="0.13601372844301224"/>
          <c:h val="0.1107572417406406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myData!$CX$13</c:f>
          <c:strCache>
            <c:ptCount val="1"/>
            <c:pt idx="0">
              <c:v>COVID19 Italy P(t) = b / {d+[( b/Po - d ) ]* exp(-b*t)}
b=0.258, d=3.39E-06, P0=.442 Limit=12.6 k=&gt;76.1 k cases 
 25-Mar,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72749036368363496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5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6"/>
                <c:pt idx="0">
                  <c:v>0.33066049433743905</c:v>
                </c:pt>
                <c:pt idx="1">
                  <c:v>0.33066049433743905</c:v>
                </c:pt>
                <c:pt idx="2">
                  <c:v>0.33066049433743905</c:v>
                </c:pt>
                <c:pt idx="3">
                  <c:v>0.33066049433743905</c:v>
                </c:pt>
                <c:pt idx="4">
                  <c:v>0.33066049433743905</c:v>
                </c:pt>
                <c:pt idx="5">
                  <c:v>0.33066049433743905</c:v>
                </c:pt>
                <c:pt idx="6">
                  <c:v>0.33066049433743905</c:v>
                </c:pt>
                <c:pt idx="7">
                  <c:v>0.49599074150615857</c:v>
                </c:pt>
                <c:pt idx="8">
                  <c:v>0.49599074150615857</c:v>
                </c:pt>
                <c:pt idx="9">
                  <c:v>0.49599074150615857</c:v>
                </c:pt>
                <c:pt idx="10">
                  <c:v>0.49599074150615857</c:v>
                </c:pt>
                <c:pt idx="11">
                  <c:v>0.49599074150615857</c:v>
                </c:pt>
                <c:pt idx="12">
                  <c:v>0.49599074150615857</c:v>
                </c:pt>
                <c:pt idx="13">
                  <c:v>0.49599074150615857</c:v>
                </c:pt>
                <c:pt idx="14">
                  <c:v>0.49599074150615857</c:v>
                </c:pt>
                <c:pt idx="15">
                  <c:v>0.49599074150615857</c:v>
                </c:pt>
                <c:pt idx="16">
                  <c:v>0.49599074150615857</c:v>
                </c:pt>
                <c:pt idx="17">
                  <c:v>0.49599074150615857</c:v>
                </c:pt>
                <c:pt idx="18">
                  <c:v>0.49599074150615857</c:v>
                </c:pt>
                <c:pt idx="19">
                  <c:v>0.49599074150615857</c:v>
                </c:pt>
                <c:pt idx="20">
                  <c:v>0.49599074150615857</c:v>
                </c:pt>
                <c:pt idx="21">
                  <c:v>3.3066049433743903</c:v>
                </c:pt>
                <c:pt idx="22" formatCode="##0.0E+00">
                  <c:v>10.250475324460611</c:v>
                </c:pt>
                <c:pt idx="23" formatCode="##0.0E+00">
                  <c:v>25.626188311151527</c:v>
                </c:pt>
                <c:pt idx="24" formatCode="##0.0E+00">
                  <c:v>37.860626601636774</c:v>
                </c:pt>
                <c:pt idx="25" formatCode="##0.0E+00">
                  <c:v>53.236339588327688</c:v>
                </c:pt>
                <c:pt idx="26" formatCode="##0.0E+00">
                  <c:v>74.894601967429949</c:v>
                </c:pt>
                <c:pt idx="27" formatCode="##0.0E+00">
                  <c:v>108.29131189551129</c:v>
                </c:pt>
                <c:pt idx="28" formatCode="##0.0E+00">
                  <c:v>146.81325948582293</c:v>
                </c:pt>
                <c:pt idx="29" formatCode="##0.0E+00">
                  <c:v>186.49251880631562</c:v>
                </c:pt>
                <c:pt idx="30" formatCode="##0.0E+00">
                  <c:v>280.06943870381087</c:v>
                </c:pt>
                <c:pt idx="31" formatCode="##0.0E+00">
                  <c:v>336.61238323551294</c:v>
                </c:pt>
                <c:pt idx="32" formatCode="##0.0E+00">
                  <c:v>413.65627841613627</c:v>
                </c:pt>
                <c:pt idx="33" formatCode="##0.0E+00">
                  <c:v>510.70513350417463</c:v>
                </c:pt>
                <c:pt idx="34" formatCode="##0.0E+00">
                  <c:v>637.84409357691993</c:v>
                </c:pt>
                <c:pt idx="35" formatCode="##0.0E+00">
                  <c:v>766.47102587418374</c:v>
                </c:pt>
                <c:pt idx="36" formatCode="##0.0E+00">
                  <c:v>972.63784409357697</c:v>
                </c:pt>
                <c:pt idx="37" formatCode="##0.0E+00">
                  <c:v>1219.3105728693065</c:v>
                </c:pt>
                <c:pt idx="38" formatCode="##0.0E+00">
                  <c:v>1516.4090270314955</c:v>
                </c:pt>
                <c:pt idx="39" formatCode="##0.0E+00">
                  <c:v>1677.9366785153345</c:v>
                </c:pt>
                <c:pt idx="40" formatCode="##0.0E+00">
                  <c:v>2060.3455402165828</c:v>
                </c:pt>
                <c:pt idx="41" formatCode="##0.0E+00">
                  <c:v>2490.0388526080847</c:v>
                </c:pt>
                <c:pt idx="42" formatCode="##0.0E+00">
                  <c:v>2919.732164999587</c:v>
                </c:pt>
                <c:pt idx="43" formatCode="##0.0E+00">
                  <c:v>3497.8920393485992</c:v>
                </c:pt>
                <c:pt idx="44" formatCode="##0.0E+00">
                  <c:v>4091.4276266843021</c:v>
                </c:pt>
                <c:pt idx="45" formatCode="##0.0E+00">
                  <c:v>4625.9403157807719</c:v>
                </c:pt>
                <c:pt idx="46" formatCode="##0.0E+00">
                  <c:v>5208.8947672976774</c:v>
                </c:pt>
                <c:pt idx="47" formatCode="##0.0E+00">
                  <c:v>5904.4391171364805</c:v>
                </c:pt>
                <c:pt idx="48" formatCode="##0.0E+00">
                  <c:v>6784.3266925684056</c:v>
                </c:pt>
                <c:pt idx="49" formatCode="##0.0E+00">
                  <c:v>7773.9935521203606</c:v>
                </c:pt>
                <c:pt idx="50" formatCode="##0.0E+00">
                  <c:v>8858.0639828056555</c:v>
                </c:pt>
                <c:pt idx="51" formatCode="##0.0E+00">
                  <c:v>9777.3001570637352</c:v>
                </c:pt>
                <c:pt idx="52" formatCode="##0.0E+00">
                  <c:v>10569.066710754732</c:v>
                </c:pt>
                <c:pt idx="53" formatCode="##0.0E+00">
                  <c:v>11436.885178143342</c:v>
                </c:pt>
                <c:pt idx="54">
                  <c:v>12298.255765892371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myData!ItalySeries</c:f>
              <c:strCache>
                <c:ptCount val="1"/>
                <c:pt idx="0">
                  <c:v>Italy Limit 12.6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8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  <c:pt idx="55">
                  <c:v>43916</c:v>
                </c:pt>
                <c:pt idx="56">
                  <c:v>43917</c:v>
                </c:pt>
                <c:pt idx="57">
                  <c:v>43918</c:v>
                </c:pt>
                <c:pt idx="58">
                  <c:v>43919</c:v>
                </c:pt>
                <c:pt idx="59">
                  <c:v>43920</c:v>
                </c:pt>
                <c:pt idx="60">
                  <c:v>43921</c:v>
                </c:pt>
                <c:pt idx="61">
                  <c:v>43922</c:v>
                </c:pt>
                <c:pt idx="62">
                  <c:v>43923</c:v>
                </c:pt>
                <c:pt idx="63">
                  <c:v>43930</c:v>
                </c:pt>
                <c:pt idx="64">
                  <c:v>43937</c:v>
                </c:pt>
                <c:pt idx="65">
                  <c:v>43944</c:v>
                </c:pt>
                <c:pt idx="66">
                  <c:v>43951</c:v>
                </c:pt>
                <c:pt idx="67">
                  <c:v>43958</c:v>
                </c:pt>
                <c:pt idx="68">
                  <c:v>43965</c:v>
                </c:pt>
                <c:pt idx="69">
                  <c:v>43972</c:v>
                </c:pt>
                <c:pt idx="70">
                  <c:v>43979</c:v>
                </c:pt>
                <c:pt idx="71">
                  <c:v>43986</c:v>
                </c:pt>
                <c:pt idx="72">
                  <c:v>43993</c:v>
                </c:pt>
                <c:pt idx="73">
                  <c:v>44000</c:v>
                </c:pt>
                <c:pt idx="74">
                  <c:v>44007</c:v>
                </c:pt>
                <c:pt idx="75">
                  <c:v>44014</c:v>
                </c:pt>
                <c:pt idx="76">
                  <c:v>44021</c:v>
                </c:pt>
                <c:pt idx="77">
                  <c:v>44028</c:v>
                </c:pt>
                <c:pt idx="78">
                  <c:v>44035</c:v>
                </c:pt>
                <c:pt idx="79">
                  <c:v>44042</c:v>
                </c:pt>
                <c:pt idx="80">
                  <c:v>44049</c:v>
                </c:pt>
                <c:pt idx="81">
                  <c:v>44056</c:v>
                </c:pt>
                <c:pt idx="82">
                  <c:v>44063</c:v>
                </c:pt>
                <c:pt idx="83">
                  <c:v>44070</c:v>
                </c:pt>
                <c:pt idx="84">
                  <c:v>44077</c:v>
                </c:pt>
                <c:pt idx="85">
                  <c:v>44084</c:v>
                </c:pt>
                <c:pt idx="86">
                  <c:v>44091</c:v>
                </c:pt>
                <c:pt idx="87">
                  <c:v>44098</c:v>
                </c:pt>
                <c:pt idx="88">
                  <c:v>44105</c:v>
                </c:pt>
                <c:pt idx="89">
                  <c:v>44112</c:v>
                </c:pt>
                <c:pt idx="90">
                  <c:v>44119</c:v>
                </c:pt>
                <c:pt idx="91">
                  <c:v>44126</c:v>
                </c:pt>
                <c:pt idx="92">
                  <c:v>44133</c:v>
                </c:pt>
                <c:pt idx="93">
                  <c:v>44140</c:v>
                </c:pt>
                <c:pt idx="94">
                  <c:v>44147</c:v>
                </c:pt>
                <c:pt idx="95">
                  <c:v>44154</c:v>
                </c:pt>
                <c:pt idx="96">
                  <c:v>44161</c:v>
                </c:pt>
                <c:pt idx="97">
                  <c:v>44168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8"/>
                <c:pt idx="0">
                  <c:v>0.12240853858695699</c:v>
                </c:pt>
                <c:pt idx="1">
                  <c:v>0.1583628730928473</c:v>
                </c:pt>
                <c:pt idx="2">
                  <c:v>0.20487768910249429</c:v>
                </c:pt>
                <c:pt idx="3">
                  <c:v>0.26505468779382163</c:v>
                </c:pt>
                <c:pt idx="4">
                  <c:v>0.34290648765903037</c:v>
                </c:pt>
                <c:pt idx="5">
                  <c:v>0.4436240929393882</c:v>
                </c:pt>
                <c:pt idx="6">
                  <c:v>0.57392286213201427</c:v>
                </c:pt>
                <c:pt idx="7">
                  <c:v>0.74248999189637677</c:v>
                </c:pt>
                <c:pt idx="8">
                  <c:v>0.96056326342689469</c:v>
                </c:pt>
                <c:pt idx="9">
                  <c:v>1.2426794882069432</c:v>
                </c:pt>
                <c:pt idx="10">
                  <c:v>1.6076423002591296</c:v>
                </c:pt>
                <c:pt idx="11">
                  <c:v>2.0797733912641552</c:v>
                </c:pt>
                <c:pt idx="12">
                  <c:v>2.6905298885442641</c:v>
                </c:pt>
                <c:pt idx="13">
                  <c:v>3.480594493832196</c:v>
                </c:pt>
                <c:pt idx="14">
                  <c:v>4.5025756931739878</c:v>
                </c:pt>
                <c:pt idx="15">
                  <c:v>5.824494636894932</c:v>
                </c:pt>
                <c:pt idx="16">
                  <c:v>7.5342854176167791</c:v>
                </c:pt>
                <c:pt idx="17">
                  <c:v>9.7455991603557539</c:v>
                </c:pt>
                <c:pt idx="18">
                  <c:v>12.605282785452665</c:v>
                </c:pt>
                <c:pt idx="19">
                  <c:v>16.303004142168387</c:v>
                </c:pt>
                <c:pt idx="20">
                  <c:v>21.083620282854319</c:v>
                </c:pt>
                <c:pt idx="21">
                  <c:v>27.263038527230602</c:v>
                </c:pt>
                <c:pt idx="22">
                  <c:v>35.248502979906938</c:v>
                </c:pt>
                <c:pt idx="23">
                  <c:v>45.564451586619064</c:v>
                </c:pt>
                <c:pt idx="24">
                  <c:v>58.88532368429447</c:v>
                </c:pt>
                <c:pt idx="25">
                  <c:v>76.076936714109053</c:v>
                </c:pt>
                <c:pt idx="26">
                  <c:v>98.248254218165258</c:v>
                </c:pt>
                <c:pt idx="27">
                  <c:v>126.81546180333602</c:v>
                </c:pt>
                <c:pt idx="28">
                  <c:v>163.58012406414301</c:v>
                </c:pt>
                <c:pt idx="29">
                  <c:v>210.82259811419772</c:v>
                </c:pt>
                <c:pt idx="30">
                  <c:v>271.41048751891657</c:v>
                </c:pt>
                <c:pt idx="31">
                  <c:v>348.91922456337272</c:v>
                </c:pt>
                <c:pt idx="32">
                  <c:v>447.75716243775247</c:v>
                </c:pt>
                <c:pt idx="33">
                  <c:v>573.27996988088182</c:v>
                </c:pt>
                <c:pt idx="34">
                  <c:v>731.86779271537603</c:v>
                </c:pt>
                <c:pt idx="35">
                  <c:v>930.92322448969901</c:v>
                </c:pt>
                <c:pt idx="36">
                  <c:v>1178.7297519187343</c:v>
                </c:pt>
                <c:pt idx="37">
                  <c:v>1484.0932884623826</c:v>
                </c:pt>
                <c:pt idx="38">
                  <c:v>1855.6831480420774</c:v>
                </c:pt>
                <c:pt idx="39">
                  <c:v>2301.0092055315536</c:v>
                </c:pt>
                <c:pt idx="40">
                  <c:v>2825.0387785599746</c:v>
                </c:pt>
                <c:pt idx="41">
                  <c:v>3428.5831866093272</c:v>
                </c:pt>
                <c:pt idx="42">
                  <c:v>4106.7568234858363</c:v>
                </c:pt>
                <c:pt idx="43">
                  <c:v>4847.9702085321342</c:v>
                </c:pt>
                <c:pt idx="44">
                  <c:v>5633.9562535064415</c:v>
                </c:pt>
                <c:pt idx="45">
                  <c:v>6441.1449346171048</c:v>
                </c:pt>
                <c:pt idx="46">
                  <c:v>7243.2934251108209</c:v>
                </c:pt>
                <c:pt idx="47">
                  <c:v>8014.8036482442476</c:v>
                </c:pt>
                <c:pt idx="48">
                  <c:v>8733.8708334931998</c:v>
                </c:pt>
                <c:pt idx="49">
                  <c:v>9384.6791774212252</c:v>
                </c:pt>
                <c:pt idx="50">
                  <c:v>9958.2491881017559</c:v>
                </c:pt>
                <c:pt idx="51">
                  <c:v>10452.018714107591</c:v>
                </c:pt>
                <c:pt idx="52">
                  <c:v>10868.572313677741</c:v>
                </c:pt>
                <c:pt idx="53">
                  <c:v>11214.025621862253</c:v>
                </c:pt>
                <c:pt idx="54">
                  <c:v>11496.473687834947</c:v>
                </c:pt>
                <c:pt idx="55">
                  <c:v>11724.737619230449</c:v>
                </c:pt>
                <c:pt idx="56">
                  <c:v>11907.484411988562</c:v>
                </c:pt>
                <c:pt idx="57">
                  <c:v>12052.691484549587</c:v>
                </c:pt>
                <c:pt idx="58">
                  <c:v>12167.380529921342</c:v>
                </c:pt>
                <c:pt idx="59">
                  <c:v>12257.537274031965</c:v>
                </c:pt>
                <c:pt idx="60">
                  <c:v>12328.145611035123</c:v>
                </c:pt>
                <c:pt idx="61">
                  <c:v>12383.282931289163</c:v>
                </c:pt>
                <c:pt idx="62">
                  <c:v>12542.782363206032</c:v>
                </c:pt>
                <c:pt idx="63">
                  <c:v>12569.471840392351</c:v>
                </c:pt>
                <c:pt idx="64">
                  <c:v>12573.88261914732</c:v>
                </c:pt>
                <c:pt idx="65">
                  <c:v>12574.610051250018</c:v>
                </c:pt>
                <c:pt idx="66">
                  <c:v>12574.729979479438</c:v>
                </c:pt>
                <c:pt idx="67">
                  <c:v>12574.749750356659</c:v>
                </c:pt>
                <c:pt idx="68">
                  <c:v>12574.753009672346</c:v>
                </c:pt>
                <c:pt idx="69">
                  <c:v>12574.753546983988</c:v>
                </c:pt>
                <c:pt idx="70">
                  <c:v>12574.753635562007</c:v>
                </c:pt>
                <c:pt idx="71">
                  <c:v>12574.753650164455</c:v>
                </c:pt>
                <c:pt idx="72">
                  <c:v>12574.75365257173</c:v>
                </c:pt>
                <c:pt idx="73">
                  <c:v>12574.753652968575</c:v>
                </c:pt>
                <c:pt idx="74">
                  <c:v>12574.753653033998</c:v>
                </c:pt>
                <c:pt idx="75">
                  <c:v>12574.753653044783</c:v>
                </c:pt>
                <c:pt idx="76">
                  <c:v>12574.753653046562</c:v>
                </c:pt>
                <c:pt idx="77">
                  <c:v>12574.753653046855</c:v>
                </c:pt>
                <c:pt idx="78">
                  <c:v>12574.753653046902</c:v>
                </c:pt>
                <c:pt idx="79">
                  <c:v>12574.75365304691</c:v>
                </c:pt>
                <c:pt idx="80">
                  <c:v>12574.753653046913</c:v>
                </c:pt>
                <c:pt idx="81">
                  <c:v>12574.753653046913</c:v>
                </c:pt>
                <c:pt idx="82">
                  <c:v>12574.753653046913</c:v>
                </c:pt>
                <c:pt idx="83">
                  <c:v>12574.753653046913</c:v>
                </c:pt>
                <c:pt idx="84">
                  <c:v>12574.753653046913</c:v>
                </c:pt>
                <c:pt idx="85">
                  <c:v>12574.753653046913</c:v>
                </c:pt>
                <c:pt idx="86">
                  <c:v>12574.753653046913</c:v>
                </c:pt>
                <c:pt idx="87">
                  <c:v>12574.753653046913</c:v>
                </c:pt>
                <c:pt idx="88">
                  <c:v>12574.753653046913</c:v>
                </c:pt>
                <c:pt idx="89">
                  <c:v>12574.753653046913</c:v>
                </c:pt>
                <c:pt idx="90">
                  <c:v>12574.753653046913</c:v>
                </c:pt>
                <c:pt idx="91">
                  <c:v>12574.753653046913</c:v>
                </c:pt>
                <c:pt idx="92">
                  <c:v>12574.753653046913</c:v>
                </c:pt>
                <c:pt idx="93">
                  <c:v>12574.753653046913</c:v>
                </c:pt>
                <c:pt idx="94">
                  <c:v>12574.753653046913</c:v>
                </c:pt>
                <c:pt idx="95">
                  <c:v>12574.753653046913</c:v>
                </c:pt>
                <c:pt idx="96">
                  <c:v>12574.753653046913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95016"/>
        <c:axId val="782396192"/>
      </c:scatterChart>
      <c:valAx>
        <c:axId val="782395016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96192"/>
        <c:crossesAt val="0.1"/>
        <c:crossBetween val="midCat"/>
        <c:majorUnit val="14"/>
        <c:minorUnit val="7"/>
      </c:valAx>
      <c:valAx>
        <c:axId val="782396192"/>
        <c:scaling>
          <c:logBase val="10"/>
          <c:orientation val="minMax"/>
          <c:max val="1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95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63370188801795979"/>
          <c:w val="0.19456695891080134"/>
          <c:h val="8.9885519216343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myData!$CX$14</c:f>
          <c:strCache>
            <c:ptCount val="1"/>
            <c:pt idx="0">
              <c:v>COVID19 USA P(t) = b / {d+[( b/Po - d ) ]* exp(-b*t)}
b=0.277, d=1.48E-06, P0=.002 Limit=5.69 k=&gt;187 k cases 
 25-Mar, Cases per 10 M population</c:v>
            </c:pt>
          </c:strCache>
        </c:strRef>
      </c:tx>
      <c:layout>
        <c:manualLayout>
          <c:xMode val="edge"/>
          <c:yMode val="edge"/>
          <c:x val="0.11754775083740615"/>
          <c:y val="1.6697360666605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670345454587287"/>
          <c:w val="0.43460159270882204"/>
          <c:h val="0.63774205010062779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63"/>
                <c:pt idx="0">
                  <c:v>43853</c:v>
                </c:pt>
                <c:pt idx="1">
                  <c:v>43854</c:v>
                </c:pt>
                <c:pt idx="2">
                  <c:v>43855</c:v>
                </c:pt>
                <c:pt idx="3">
                  <c:v>43856</c:v>
                </c:pt>
                <c:pt idx="4">
                  <c:v>43857</c:v>
                </c:pt>
                <c:pt idx="5">
                  <c:v>43858</c:v>
                </c:pt>
                <c:pt idx="6">
                  <c:v>43859</c:v>
                </c:pt>
                <c:pt idx="7">
                  <c:v>43860</c:v>
                </c:pt>
                <c:pt idx="8">
                  <c:v>43861</c:v>
                </c:pt>
                <c:pt idx="9">
                  <c:v>43862</c:v>
                </c:pt>
                <c:pt idx="10">
                  <c:v>43863</c:v>
                </c:pt>
                <c:pt idx="11">
                  <c:v>43864</c:v>
                </c:pt>
                <c:pt idx="12">
                  <c:v>43865</c:v>
                </c:pt>
                <c:pt idx="13">
                  <c:v>43866</c:v>
                </c:pt>
                <c:pt idx="14">
                  <c:v>43867</c:v>
                </c:pt>
                <c:pt idx="15">
                  <c:v>43868</c:v>
                </c:pt>
                <c:pt idx="16">
                  <c:v>43869</c:v>
                </c:pt>
                <c:pt idx="17">
                  <c:v>43870</c:v>
                </c:pt>
                <c:pt idx="18">
                  <c:v>43871</c:v>
                </c:pt>
                <c:pt idx="19">
                  <c:v>43872</c:v>
                </c:pt>
                <c:pt idx="20">
                  <c:v>43873</c:v>
                </c:pt>
                <c:pt idx="21">
                  <c:v>43874</c:v>
                </c:pt>
                <c:pt idx="22">
                  <c:v>43875</c:v>
                </c:pt>
                <c:pt idx="23">
                  <c:v>43876</c:v>
                </c:pt>
                <c:pt idx="24">
                  <c:v>43877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43883</c:v>
                </c:pt>
                <c:pt idx="31">
                  <c:v>43884</c:v>
                </c:pt>
                <c:pt idx="32">
                  <c:v>43885</c:v>
                </c:pt>
                <c:pt idx="33">
                  <c:v>43886</c:v>
                </c:pt>
                <c:pt idx="34">
                  <c:v>43887</c:v>
                </c:pt>
                <c:pt idx="35">
                  <c:v>43888</c:v>
                </c:pt>
                <c:pt idx="36">
                  <c:v>43889</c:v>
                </c:pt>
                <c:pt idx="37">
                  <c:v>43890</c:v>
                </c:pt>
                <c:pt idx="38">
                  <c:v>43891</c:v>
                </c:pt>
                <c:pt idx="39">
                  <c:v>43892</c:v>
                </c:pt>
                <c:pt idx="40">
                  <c:v>43893</c:v>
                </c:pt>
                <c:pt idx="41">
                  <c:v>43894</c:v>
                </c:pt>
                <c:pt idx="42">
                  <c:v>43895</c:v>
                </c:pt>
                <c:pt idx="43">
                  <c:v>43896</c:v>
                </c:pt>
                <c:pt idx="44">
                  <c:v>43897</c:v>
                </c:pt>
                <c:pt idx="45">
                  <c:v>43898</c:v>
                </c:pt>
                <c:pt idx="46">
                  <c:v>43899</c:v>
                </c:pt>
                <c:pt idx="47">
                  <c:v>43900</c:v>
                </c:pt>
                <c:pt idx="48">
                  <c:v>43901</c:v>
                </c:pt>
                <c:pt idx="49">
                  <c:v>43902</c:v>
                </c:pt>
                <c:pt idx="50">
                  <c:v>43903</c:v>
                </c:pt>
                <c:pt idx="51">
                  <c:v>43904</c:v>
                </c:pt>
                <c:pt idx="52">
                  <c:v>43905</c:v>
                </c:pt>
                <c:pt idx="53">
                  <c:v>43906</c:v>
                </c:pt>
                <c:pt idx="54">
                  <c:v>43907</c:v>
                </c:pt>
                <c:pt idx="55">
                  <c:v>43908</c:v>
                </c:pt>
                <c:pt idx="56">
                  <c:v>43909</c:v>
                </c:pt>
                <c:pt idx="57">
                  <c:v>43910</c:v>
                </c:pt>
                <c:pt idx="58">
                  <c:v>43911</c:v>
                </c:pt>
                <c:pt idx="59">
                  <c:v>43912</c:v>
                </c:pt>
                <c:pt idx="60">
                  <c:v>43913</c:v>
                </c:pt>
                <c:pt idx="61">
                  <c:v>43914</c:v>
                </c:pt>
                <c:pt idx="62">
                  <c:v>43915</c:v>
                </c:pt>
              </c:numCache>
            </c:numRef>
          </c:xVal>
          <c:yVal>
            <c:numRef>
              <c:f>myData!USCases</c:f>
              <c:numCache>
                <c:formatCode>##0.0E+00</c:formatCode>
                <c:ptCount val="63"/>
                <c:pt idx="0">
                  <c:v>3.037411069235945E-2</c:v>
                </c:pt>
                <c:pt idx="1">
                  <c:v>6.0748221384718901E-2</c:v>
                </c:pt>
                <c:pt idx="2">
                  <c:v>6.0748221384718901E-2</c:v>
                </c:pt>
                <c:pt idx="3">
                  <c:v>0.15187055346179726</c:v>
                </c:pt>
                <c:pt idx="4">
                  <c:v>0.15187055346179726</c:v>
                </c:pt>
                <c:pt idx="5">
                  <c:v>0.15187055346179726</c:v>
                </c:pt>
                <c:pt idx="6">
                  <c:v>0.15187055346179726</c:v>
                </c:pt>
                <c:pt idx="7">
                  <c:v>0.15187055346179726</c:v>
                </c:pt>
                <c:pt idx="8">
                  <c:v>0.21261877484651615</c:v>
                </c:pt>
                <c:pt idx="9">
                  <c:v>0.2429928855388756</c:v>
                </c:pt>
                <c:pt idx="10">
                  <c:v>0.2429928855388756</c:v>
                </c:pt>
                <c:pt idx="11">
                  <c:v>0.33411521761595392</c:v>
                </c:pt>
                <c:pt idx="12">
                  <c:v>0.33411521761595392</c:v>
                </c:pt>
                <c:pt idx="13">
                  <c:v>0.33411521761595392</c:v>
                </c:pt>
                <c:pt idx="14">
                  <c:v>0.33411521761595392</c:v>
                </c:pt>
                <c:pt idx="15">
                  <c:v>0.33411521761595392</c:v>
                </c:pt>
                <c:pt idx="16">
                  <c:v>0.33411521761595392</c:v>
                </c:pt>
                <c:pt idx="17">
                  <c:v>0.33411521761595392</c:v>
                </c:pt>
                <c:pt idx="18">
                  <c:v>0.33411521761595392</c:v>
                </c:pt>
                <c:pt idx="19">
                  <c:v>0.36448932830831338</c:v>
                </c:pt>
                <c:pt idx="20">
                  <c:v>0.36448932830831338</c:v>
                </c:pt>
                <c:pt idx="21">
                  <c:v>0.39486343900067283</c:v>
                </c:pt>
                <c:pt idx="22">
                  <c:v>0.39486343900067283</c:v>
                </c:pt>
                <c:pt idx="23">
                  <c:v>0.39486343900067283</c:v>
                </c:pt>
                <c:pt idx="24">
                  <c:v>0.39486343900067283</c:v>
                </c:pt>
                <c:pt idx="25">
                  <c:v>0.39486343900067283</c:v>
                </c:pt>
                <c:pt idx="26">
                  <c:v>0.39486343900067283</c:v>
                </c:pt>
                <c:pt idx="27">
                  <c:v>0.39486343900067283</c:v>
                </c:pt>
                <c:pt idx="28">
                  <c:v>0.39486343900067283</c:v>
                </c:pt>
                <c:pt idx="29">
                  <c:v>0.45561166038539175</c:v>
                </c:pt>
                <c:pt idx="30">
                  <c:v>0.45561166038539175</c:v>
                </c:pt>
                <c:pt idx="31">
                  <c:v>0.45561166038539175</c:v>
                </c:pt>
                <c:pt idx="32">
                  <c:v>1.5490796453103319</c:v>
                </c:pt>
                <c:pt idx="33">
                  <c:v>1.5490796453103319</c:v>
                </c:pt>
                <c:pt idx="34">
                  <c:v>1.7313243094644886</c:v>
                </c:pt>
                <c:pt idx="35">
                  <c:v>1.761698420156848</c:v>
                </c:pt>
                <c:pt idx="36">
                  <c:v>1.822446641541567</c:v>
                </c:pt>
                <c:pt idx="37">
                  <c:v>2.0654395270804424</c:v>
                </c:pt>
                <c:pt idx="38">
                  <c:v>2.2476841912345993</c:v>
                </c:pt>
                <c:pt idx="39">
                  <c:v>2.9766628478512263</c:v>
                </c:pt>
                <c:pt idx="40">
                  <c:v>3.5841450616984152</c:v>
                </c:pt>
                <c:pt idx="41">
                  <c:v>4.525742493161558</c:v>
                </c:pt>
                <c:pt idx="42">
                  <c:v>6.5911820202420008</c:v>
                </c:pt>
                <c:pt idx="43">
                  <c:v>7.9580170013981757</c:v>
                </c:pt>
                <c:pt idx="44">
                  <c:v>12.210392498328499</c:v>
                </c:pt>
                <c:pt idx="45">
                  <c:v>15.733789338642195</c:v>
                </c:pt>
                <c:pt idx="46">
                  <c:v>17.708106533645559</c:v>
                </c:pt>
                <c:pt idx="47">
                  <c:v>29.128772153972712</c:v>
                </c:pt>
                <c:pt idx="48">
                  <c:v>38.909235796912455</c:v>
                </c:pt>
                <c:pt idx="49">
                  <c:v>50.512146081393766</c:v>
                </c:pt>
                <c:pt idx="50">
                  <c:v>66.185187198651235</c:v>
                </c:pt>
                <c:pt idx="51">
                  <c:v>82.830199858064219</c:v>
                </c:pt>
                <c:pt idx="52">
                  <c:v>106.27901331256571</c:v>
                </c:pt>
                <c:pt idx="53">
                  <c:v>140.69288072700897</c:v>
                </c:pt>
                <c:pt idx="54">
                  <c:v>195.03216475564003</c:v>
                </c:pt>
                <c:pt idx="55">
                  <c:v>236.40170351863358</c:v>
                </c:pt>
                <c:pt idx="56">
                  <c:v>415.42671193940021</c:v>
                </c:pt>
                <c:pt idx="57">
                  <c:v>580.14551422406544</c:v>
                </c:pt>
                <c:pt idx="58">
                  <c:v>774.20570743755002</c:v>
                </c:pt>
                <c:pt idx="59">
                  <c:v>1010.7289073989531</c:v>
                </c:pt>
                <c:pt idx="60">
                  <c:v>1331.8136315278848</c:v>
                </c:pt>
                <c:pt idx="61">
                  <c:v>1632.3047086073968</c:v>
                </c:pt>
                <c:pt idx="62">
                  <c:v>1668.0246627816116</c:v>
                </c:pt>
              </c:numCache>
            </c:numRef>
          </c:yVal>
          <c:smooth val="0"/>
        </c:ser>
        <c:ser>
          <c:idx val="0"/>
          <c:order val="1"/>
          <c:tx>
            <c:v>US 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106"/>
                <c:pt idx="0">
                  <c:v>43853</c:v>
                </c:pt>
                <c:pt idx="1">
                  <c:v>43854</c:v>
                </c:pt>
                <c:pt idx="2">
                  <c:v>43855</c:v>
                </c:pt>
                <c:pt idx="3">
                  <c:v>43856</c:v>
                </c:pt>
                <c:pt idx="4">
                  <c:v>43857</c:v>
                </c:pt>
                <c:pt idx="5">
                  <c:v>43858</c:v>
                </c:pt>
                <c:pt idx="6">
                  <c:v>43859</c:v>
                </c:pt>
                <c:pt idx="7">
                  <c:v>43860</c:v>
                </c:pt>
                <c:pt idx="8">
                  <c:v>43861</c:v>
                </c:pt>
                <c:pt idx="9">
                  <c:v>43862</c:v>
                </c:pt>
                <c:pt idx="10">
                  <c:v>43863</c:v>
                </c:pt>
                <c:pt idx="11">
                  <c:v>43864</c:v>
                </c:pt>
                <c:pt idx="12">
                  <c:v>43865</c:v>
                </c:pt>
                <c:pt idx="13">
                  <c:v>43866</c:v>
                </c:pt>
                <c:pt idx="14">
                  <c:v>43867</c:v>
                </c:pt>
                <c:pt idx="15">
                  <c:v>43868</c:v>
                </c:pt>
                <c:pt idx="16">
                  <c:v>43869</c:v>
                </c:pt>
                <c:pt idx="17">
                  <c:v>43870</c:v>
                </c:pt>
                <c:pt idx="18">
                  <c:v>43871</c:v>
                </c:pt>
                <c:pt idx="19">
                  <c:v>43872</c:v>
                </c:pt>
                <c:pt idx="20">
                  <c:v>43873</c:v>
                </c:pt>
                <c:pt idx="21">
                  <c:v>43874</c:v>
                </c:pt>
                <c:pt idx="22">
                  <c:v>43875</c:v>
                </c:pt>
                <c:pt idx="23">
                  <c:v>43876</c:v>
                </c:pt>
                <c:pt idx="24">
                  <c:v>43877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43883</c:v>
                </c:pt>
                <c:pt idx="31">
                  <c:v>43884</c:v>
                </c:pt>
                <c:pt idx="32">
                  <c:v>43885</c:v>
                </c:pt>
                <c:pt idx="33">
                  <c:v>43886</c:v>
                </c:pt>
                <c:pt idx="34">
                  <c:v>43887</c:v>
                </c:pt>
                <c:pt idx="35">
                  <c:v>43888</c:v>
                </c:pt>
                <c:pt idx="36">
                  <c:v>43889</c:v>
                </c:pt>
                <c:pt idx="37">
                  <c:v>43890</c:v>
                </c:pt>
                <c:pt idx="38">
                  <c:v>43891</c:v>
                </c:pt>
                <c:pt idx="39">
                  <c:v>43892</c:v>
                </c:pt>
                <c:pt idx="40">
                  <c:v>43893</c:v>
                </c:pt>
                <c:pt idx="41">
                  <c:v>43894</c:v>
                </c:pt>
                <c:pt idx="42">
                  <c:v>43895</c:v>
                </c:pt>
                <c:pt idx="43">
                  <c:v>43896</c:v>
                </c:pt>
                <c:pt idx="44">
                  <c:v>43897</c:v>
                </c:pt>
                <c:pt idx="45">
                  <c:v>43898</c:v>
                </c:pt>
                <c:pt idx="46">
                  <c:v>43899</c:v>
                </c:pt>
                <c:pt idx="47">
                  <c:v>43900</c:v>
                </c:pt>
                <c:pt idx="48">
                  <c:v>43901</c:v>
                </c:pt>
                <c:pt idx="49">
                  <c:v>43902</c:v>
                </c:pt>
                <c:pt idx="50">
                  <c:v>43903</c:v>
                </c:pt>
                <c:pt idx="51">
                  <c:v>43904</c:v>
                </c:pt>
                <c:pt idx="52">
                  <c:v>43905</c:v>
                </c:pt>
                <c:pt idx="53">
                  <c:v>43906</c:v>
                </c:pt>
                <c:pt idx="54">
                  <c:v>43907</c:v>
                </c:pt>
                <c:pt idx="55">
                  <c:v>43908</c:v>
                </c:pt>
                <c:pt idx="56">
                  <c:v>43909</c:v>
                </c:pt>
                <c:pt idx="57">
                  <c:v>43910</c:v>
                </c:pt>
                <c:pt idx="58">
                  <c:v>43911</c:v>
                </c:pt>
                <c:pt idx="59">
                  <c:v>43912</c:v>
                </c:pt>
                <c:pt idx="60">
                  <c:v>43913</c:v>
                </c:pt>
                <c:pt idx="61">
                  <c:v>43914</c:v>
                </c:pt>
                <c:pt idx="62">
                  <c:v>43915</c:v>
                </c:pt>
                <c:pt idx="63">
                  <c:v>43916</c:v>
                </c:pt>
                <c:pt idx="64">
                  <c:v>43917</c:v>
                </c:pt>
                <c:pt idx="65">
                  <c:v>43918</c:v>
                </c:pt>
                <c:pt idx="66">
                  <c:v>43919</c:v>
                </c:pt>
                <c:pt idx="67">
                  <c:v>43920</c:v>
                </c:pt>
                <c:pt idx="68">
                  <c:v>43921</c:v>
                </c:pt>
                <c:pt idx="69">
                  <c:v>43922</c:v>
                </c:pt>
                <c:pt idx="70">
                  <c:v>43923</c:v>
                </c:pt>
                <c:pt idx="71">
                  <c:v>43930</c:v>
                </c:pt>
                <c:pt idx="72">
                  <c:v>43937</c:v>
                </c:pt>
                <c:pt idx="73">
                  <c:v>43944</c:v>
                </c:pt>
                <c:pt idx="74">
                  <c:v>43951</c:v>
                </c:pt>
                <c:pt idx="75">
                  <c:v>43958</c:v>
                </c:pt>
                <c:pt idx="76">
                  <c:v>43965</c:v>
                </c:pt>
                <c:pt idx="77">
                  <c:v>43972</c:v>
                </c:pt>
                <c:pt idx="78">
                  <c:v>43979</c:v>
                </c:pt>
                <c:pt idx="79">
                  <c:v>43986</c:v>
                </c:pt>
                <c:pt idx="80">
                  <c:v>43993</c:v>
                </c:pt>
                <c:pt idx="81">
                  <c:v>44000</c:v>
                </c:pt>
                <c:pt idx="82">
                  <c:v>44007</c:v>
                </c:pt>
                <c:pt idx="83">
                  <c:v>44014</c:v>
                </c:pt>
                <c:pt idx="84">
                  <c:v>44021</c:v>
                </c:pt>
                <c:pt idx="85">
                  <c:v>44028</c:v>
                </c:pt>
                <c:pt idx="86">
                  <c:v>44035</c:v>
                </c:pt>
                <c:pt idx="87">
                  <c:v>44042</c:v>
                </c:pt>
                <c:pt idx="88">
                  <c:v>44049</c:v>
                </c:pt>
                <c:pt idx="89">
                  <c:v>44056</c:v>
                </c:pt>
                <c:pt idx="90">
                  <c:v>44063</c:v>
                </c:pt>
                <c:pt idx="91">
                  <c:v>44070</c:v>
                </c:pt>
                <c:pt idx="92">
                  <c:v>44077</c:v>
                </c:pt>
                <c:pt idx="93">
                  <c:v>44084</c:v>
                </c:pt>
                <c:pt idx="94">
                  <c:v>44091</c:v>
                </c:pt>
                <c:pt idx="95">
                  <c:v>44098</c:v>
                </c:pt>
                <c:pt idx="96">
                  <c:v>44105</c:v>
                </c:pt>
                <c:pt idx="97">
                  <c:v>44112</c:v>
                </c:pt>
                <c:pt idx="98">
                  <c:v>44119</c:v>
                </c:pt>
                <c:pt idx="99">
                  <c:v>44126</c:v>
                </c:pt>
                <c:pt idx="100">
                  <c:v>44133</c:v>
                </c:pt>
                <c:pt idx="101">
                  <c:v>44140</c:v>
                </c:pt>
                <c:pt idx="102">
                  <c:v>44147</c:v>
                </c:pt>
                <c:pt idx="103">
                  <c:v>44154</c:v>
                </c:pt>
                <c:pt idx="104">
                  <c:v>44161</c:v>
                </c:pt>
                <c:pt idx="105">
                  <c:v>44168</c:v>
                </c:pt>
              </c:numCache>
            </c:numRef>
          </c:xVal>
          <c:yVal>
            <c:numRef>
              <c:f>myData!USLogi</c:f>
              <c:numCache>
                <c:formatCode>0</c:formatCode>
                <c:ptCount val="106"/>
                <c:pt idx="0">
                  <c:v>9.103015837459202E-5</c:v>
                </c:pt>
                <c:pt idx="1">
                  <c:v>1.2012474515609634E-4</c:v>
                </c:pt>
                <c:pt idx="2">
                  <c:v>1.5851839250745242E-4</c:v>
                </c:pt>
                <c:pt idx="3">
                  <c:v>2.0918321763191202E-4</c:v>
                </c:pt>
                <c:pt idx="4">
                  <c:v>2.7604127017801433E-4</c:v>
                </c:pt>
                <c:pt idx="5">
                  <c:v>3.6426814453856309E-4</c:v>
                </c:pt>
                <c:pt idx="6">
                  <c:v>4.8069363100138171E-4</c:v>
                </c:pt>
                <c:pt idx="7">
                  <c:v>6.3433042070470513E-4</c:v>
                </c:pt>
                <c:pt idx="8">
                  <c:v>8.3707179211294197E-4</c:v>
                </c:pt>
                <c:pt idx="9">
                  <c:v>1.1046122877012539E-3</c:v>
                </c:pt>
                <c:pt idx="10">
                  <c:v>1.4576626512851959E-3</c:v>
                </c:pt>
                <c:pt idx="11">
                  <c:v>1.9235530751198636E-3</c:v>
                </c:pt>
                <c:pt idx="12">
                  <c:v>2.538348864691448E-3</c:v>
                </c:pt>
                <c:pt idx="13">
                  <c:v>3.3496422946445118E-3</c:v>
                </c:pt>
                <c:pt idx="14">
                  <c:v>4.4202367715992039E-3</c:v>
                </c:pt>
                <c:pt idx="15">
                  <c:v>5.833008489738699E-3</c:v>
                </c:pt>
                <c:pt idx="16">
                  <c:v>7.6973219082871625E-3</c:v>
                </c:pt>
                <c:pt idx="17">
                  <c:v>1.0157495649229147E-2</c:v>
                </c:pt>
                <c:pt idx="18" formatCode="0.0">
                  <c:v>1.3403974114426778E-2</c:v>
                </c:pt>
                <c:pt idx="19" formatCode="0.0">
                  <c:v>1.7688069530853529E-2</c:v>
                </c:pt>
                <c:pt idx="20" formatCode="0.0">
                  <c:v>2.3341415447598917E-2</c:v>
                </c:pt>
                <c:pt idx="21" formatCode="0.0">
                  <c:v>3.0801637294001431E-2</c:v>
                </c:pt>
                <c:pt idx="22" formatCode="0.0">
                  <c:v>4.0646226645076618E-2</c:v>
                </c:pt>
                <c:pt idx="23" formatCode="0.0">
                  <c:v>5.3637240491567012E-2</c:v>
                </c:pt>
                <c:pt idx="24" formatCode="0.0">
                  <c:v>7.0780284076915723E-2</c:v>
                </c:pt>
                <c:pt idx="25" formatCode="0.0">
                  <c:v>9.3402340330069472E-2</c:v>
                </c:pt>
                <c:pt idx="26" formatCode="0.0">
                  <c:v>0.12325446569586926</c:v>
                </c:pt>
                <c:pt idx="27" formatCode="0.0">
                  <c:v>0.16264729332909872</c:v>
                </c:pt>
                <c:pt idx="28" formatCode="0.0">
                  <c:v>0.21462981770017936</c:v>
                </c:pt>
                <c:pt idx="29" formatCode="0.0">
                  <c:v>0.28322527367069344</c:v>
                </c:pt>
                <c:pt idx="30" formatCode="0.0">
                  <c:v>0.3737423228937814</c:v>
                </c:pt>
                <c:pt idx="31" formatCode="0.0">
                  <c:v>0.49318555527247215</c:v>
                </c:pt>
                <c:pt idx="32" formatCode="0.0">
                  <c:v>0.65079694079267869</c:v>
                </c:pt>
                <c:pt idx="33" formatCode="0.0">
                  <c:v>0.85876989871762466</c:v>
                </c:pt>
                <c:pt idx="34" formatCode="0.0">
                  <c:v>1.1331908302558913</c:v>
                </c:pt>
                <c:pt idx="35" formatCode="0.0">
                  <c:v>1.4952802498751077</c:v>
                </c:pt>
                <c:pt idx="36" formatCode="0.0">
                  <c:v>1.9730282874258249</c:v>
                </c:pt>
                <c:pt idx="37" formatCode="0.0">
                  <c:v>2.6033488961268096</c:v>
                </c:pt>
                <c:pt idx="38" formatCode="0.0">
                  <c:v>3.4349155759406131</c:v>
                </c:pt>
                <c:pt idx="39" formatCode="0.0">
                  <c:v>4.5318912610369626</c:v>
                </c:pt>
                <c:pt idx="40" formatCode="0.0">
                  <c:v>5.9788291720206441</c:v>
                </c:pt>
                <c:pt idx="41" formatCode="0.0">
                  <c:v>7.8871032905543652</c:v>
                </c:pt>
                <c:pt idx="42" formatCode="0.0">
                  <c:v>10.403330296332603</c:v>
                </c:pt>
                <c:pt idx="43" formatCode="0.0">
                  <c:v>13.720372627576337</c:v>
                </c:pt>
                <c:pt idx="44" formatCode="0.0">
                  <c:v>18.091666669839835</c:v>
                </c:pt>
                <c:pt idx="45" formatCode="0.0">
                  <c:v>23.849799231942143</c:v>
                </c:pt>
                <c:pt idx="46" formatCode="0.0">
                  <c:v>31.430450172582489</c:v>
                </c:pt>
                <c:pt idx="47" formatCode="0.0">
                  <c:v>41.403005580593657</c:v>
                </c:pt>
                <c:pt idx="48" formatCode="0.0">
                  <c:v>54.509274514490357</c:v>
                </c:pt>
                <c:pt idx="49" formatCode="0.0">
                  <c:v>71.711718528157149</c:v>
                </c:pt>
                <c:pt idx="50" formatCode="0.0">
                  <c:v>94.25225973260568</c:v>
                </c:pt>
                <c:pt idx="51" formatCode="0.0">
                  <c:v>123.72179064184844</c:v>
                </c:pt>
                <c:pt idx="52" formatCode="0.0">
                  <c:v>162.13852981714359</c:v>
                </c:pt>
                <c:pt idx="53" formatCode="0.0">
                  <c:v>212.02971913794752</c:v>
                </c:pt>
                <c:pt idx="54" formatCode="0.0">
                  <c:v>276.50503664219457</c:v>
                </c:pt>
                <c:pt idx="55" formatCode="0.0">
                  <c:v>359.30071026364072</c:v>
                </c:pt>
                <c:pt idx="56" formatCode="0.0">
                  <c:v>464.76041307748113</c:v>
                </c:pt>
                <c:pt idx="57" formatCode="0.0">
                  <c:v>597.70402136451548</c:v>
                </c:pt>
                <c:pt idx="58" formatCode="0.0">
                  <c:v>763.12317401877999</c:v>
                </c:pt>
                <c:pt idx="59" formatCode="0.0">
                  <c:v>965.64387444397209</c:v>
                </c:pt>
                <c:pt idx="60" formatCode="0.0">
                  <c:v>1208.7277054029225</c:v>
                </c:pt>
                <c:pt idx="61" formatCode="0.0">
                  <c:v>1493.6616006387142</c:v>
                </c:pt>
                <c:pt idx="62" formatCode="0.0">
                  <c:v>1818.5131123607787</c:v>
                </c:pt>
                <c:pt idx="63" formatCode="0.0">
                  <c:v>2177.3664792888003</c:v>
                </c:pt>
                <c:pt idx="64" formatCode="0.0">
                  <c:v>2560.2179744849482</c:v>
                </c:pt>
                <c:pt idx="65" formatCode="0.0">
                  <c:v>2953.7973457075614</c:v>
                </c:pt>
                <c:pt idx="66" formatCode="0.0">
                  <c:v>3343.2727233804826</c:v>
                </c:pt>
                <c:pt idx="67" formatCode="0.0">
                  <c:v>3714.4170176554244</c:v>
                </c:pt>
                <c:pt idx="68" formatCode="0.0">
                  <c:v>4055.592754843623</c:v>
                </c:pt>
                <c:pt idx="69" formatCode="0.0">
                  <c:v>4359.0009136722329</c:v>
                </c:pt>
                <c:pt idx="70" formatCode="0.0">
                  <c:v>4620.9756508952923</c:v>
                </c:pt>
                <c:pt idx="71" formatCode="0.0">
                  <c:v>5508.0689516976345</c:v>
                </c:pt>
                <c:pt idx="72" formatCode="0.0">
                  <c:v>5664.1093188838377</c:v>
                </c:pt>
                <c:pt idx="73" formatCode="0.0">
                  <c:v>5687.2303998974139</c:v>
                </c:pt>
                <c:pt idx="74" formatCode="0.0">
                  <c:v>5690.5639081233212</c:v>
                </c:pt>
                <c:pt idx="75" formatCode="0.0">
                  <c:v>5691.0426068397092</c:v>
                </c:pt>
                <c:pt idx="76" formatCode="0.0">
                  <c:v>5691.1113095318096</c:v>
                </c:pt>
                <c:pt idx="77" formatCode="0.0">
                  <c:v>5691.1211689086804</c:v>
                </c:pt>
                <c:pt idx="78" formatCode="0.0">
                  <c:v>5691.1225837901075</c:v>
                </c:pt>
                <c:pt idx="79" formatCode="0.0">
                  <c:v>5691.1227868339802</c:v>
                </c:pt>
                <c:pt idx="80" formatCode="0.0">
                  <c:v>5691.1228159719712</c:v>
                </c:pt>
                <c:pt idx="81" formatCode="0.0">
                  <c:v>5691.122820153445</c:v>
                </c:pt>
                <c:pt idx="82" formatCode="0.0">
                  <c:v>5691.1228207535114</c:v>
                </c:pt>
                <c:pt idx="83" formatCode="0.0">
                  <c:v>5691.1228208396251</c:v>
                </c:pt>
                <c:pt idx="84" formatCode="0.0">
                  <c:v>5691.1228208519824</c:v>
                </c:pt>
                <c:pt idx="85" formatCode="0.0">
                  <c:v>5691.1228208537559</c:v>
                </c:pt>
                <c:pt idx="86" formatCode="0.0">
                  <c:v>5691.1228208540097</c:v>
                </c:pt>
                <c:pt idx="87" formatCode="0.0">
                  <c:v>5691.1228208540451</c:v>
                </c:pt>
                <c:pt idx="88" formatCode="0.0">
                  <c:v>5691.1228208540515</c:v>
                </c:pt>
                <c:pt idx="89" formatCode="0.0">
                  <c:v>5691.1228208540524</c:v>
                </c:pt>
                <c:pt idx="90" formatCode="0.0">
                  <c:v>5691.1228208540524</c:v>
                </c:pt>
                <c:pt idx="91" formatCode="0.0">
                  <c:v>5691.1228208540524</c:v>
                </c:pt>
                <c:pt idx="92" formatCode="0.0">
                  <c:v>5691.1228208540524</c:v>
                </c:pt>
                <c:pt idx="93" formatCode="0.0">
                  <c:v>5691.1228208540524</c:v>
                </c:pt>
                <c:pt idx="94" formatCode="0.0">
                  <c:v>5691.1228208540524</c:v>
                </c:pt>
                <c:pt idx="95" formatCode="0.0">
                  <c:v>5691.1228208540524</c:v>
                </c:pt>
                <c:pt idx="96" formatCode="0.0">
                  <c:v>5691.1228208540524</c:v>
                </c:pt>
                <c:pt idx="97" formatCode="0.0">
                  <c:v>5691.1228208540524</c:v>
                </c:pt>
                <c:pt idx="98" formatCode="0.0">
                  <c:v>5691.1228208540524</c:v>
                </c:pt>
                <c:pt idx="99" formatCode="0.0">
                  <c:v>5691.1228208540524</c:v>
                </c:pt>
                <c:pt idx="100" formatCode="0.0">
                  <c:v>5691.1228208540524</c:v>
                </c:pt>
                <c:pt idx="101" formatCode="0.0">
                  <c:v>5691.1228208540524</c:v>
                </c:pt>
                <c:pt idx="102" formatCode="0.0">
                  <c:v>5691.1228208540524</c:v>
                </c:pt>
                <c:pt idx="103" formatCode="0.0">
                  <c:v>5691.1228208540524</c:v>
                </c:pt>
                <c:pt idx="104" formatCode="0.0">
                  <c:v>5691.1228208540524</c:v>
                </c:pt>
                <c:pt idx="105" formatCode="0.0">
                  <c:v>5691.1228208540524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90704"/>
        <c:axId val="782396584"/>
      </c:scatterChart>
      <c:valAx>
        <c:axId val="782390704"/>
        <c:scaling>
          <c:orientation val="minMax"/>
          <c:max val="43925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96584"/>
        <c:crosses val="autoZero"/>
        <c:crossBetween val="midCat"/>
        <c:majorUnit val="7"/>
        <c:minorUnit val="3.5"/>
      </c:valAx>
      <c:valAx>
        <c:axId val="782396584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#0.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90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312540860868151"/>
          <c:y val="0.69945145225951777"/>
          <c:w val="0.13601372844301224"/>
          <c:h val="8.9885519216343163E-2"/>
        </c:manualLayout>
      </c:layout>
      <c:overlay val="0"/>
      <c:spPr>
        <a:solidFill>
          <a:schemeClr val="bg1">
            <a:alpha val="5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myData!$CX$14</c:f>
          <c:strCache>
            <c:ptCount val="1"/>
            <c:pt idx="0">
              <c:v>COVID19 USA P(t) = b / {d+[( b/Po - d ) ]* exp(-b*t)}
b=0.277, d=1.48E-06, P0=.002 Limit=5.69 k=&gt;187 k cases 
 25-Mar, Cases per 10 M population</c:v>
            </c:pt>
          </c:strCache>
        </c:strRef>
      </c:tx>
      <c:layout>
        <c:manualLayout>
          <c:xMode val="edge"/>
          <c:yMode val="edge"/>
          <c:x val="0.127094481924999"/>
          <c:y val="8.348680333302984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252911437922138"/>
          <c:w val="0.43460159270882204"/>
          <c:h val="0.64191639026727931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63"/>
                <c:pt idx="0">
                  <c:v>43853</c:v>
                </c:pt>
                <c:pt idx="1">
                  <c:v>43854</c:v>
                </c:pt>
                <c:pt idx="2">
                  <c:v>43855</c:v>
                </c:pt>
                <c:pt idx="3">
                  <c:v>43856</c:v>
                </c:pt>
                <c:pt idx="4">
                  <c:v>43857</c:v>
                </c:pt>
                <c:pt idx="5">
                  <c:v>43858</c:v>
                </c:pt>
                <c:pt idx="6">
                  <c:v>43859</c:v>
                </c:pt>
                <c:pt idx="7">
                  <c:v>43860</c:v>
                </c:pt>
                <c:pt idx="8">
                  <c:v>43861</c:v>
                </c:pt>
                <c:pt idx="9">
                  <c:v>43862</c:v>
                </c:pt>
                <c:pt idx="10">
                  <c:v>43863</c:v>
                </c:pt>
                <c:pt idx="11">
                  <c:v>43864</c:v>
                </c:pt>
                <c:pt idx="12">
                  <c:v>43865</c:v>
                </c:pt>
                <c:pt idx="13">
                  <c:v>43866</c:v>
                </c:pt>
                <c:pt idx="14">
                  <c:v>43867</c:v>
                </c:pt>
                <c:pt idx="15">
                  <c:v>43868</c:v>
                </c:pt>
                <c:pt idx="16">
                  <c:v>43869</c:v>
                </c:pt>
                <c:pt idx="17">
                  <c:v>43870</c:v>
                </c:pt>
                <c:pt idx="18">
                  <c:v>43871</c:v>
                </c:pt>
                <c:pt idx="19">
                  <c:v>43872</c:v>
                </c:pt>
                <c:pt idx="20">
                  <c:v>43873</c:v>
                </c:pt>
                <c:pt idx="21">
                  <c:v>43874</c:v>
                </c:pt>
                <c:pt idx="22">
                  <c:v>43875</c:v>
                </c:pt>
                <c:pt idx="23">
                  <c:v>43876</c:v>
                </c:pt>
                <c:pt idx="24">
                  <c:v>43877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43883</c:v>
                </c:pt>
                <c:pt idx="31">
                  <c:v>43884</c:v>
                </c:pt>
                <c:pt idx="32">
                  <c:v>43885</c:v>
                </c:pt>
                <c:pt idx="33">
                  <c:v>43886</c:v>
                </c:pt>
                <c:pt idx="34">
                  <c:v>43887</c:v>
                </c:pt>
                <c:pt idx="35">
                  <c:v>43888</c:v>
                </c:pt>
                <c:pt idx="36">
                  <c:v>43889</c:v>
                </c:pt>
                <c:pt idx="37">
                  <c:v>43890</c:v>
                </c:pt>
                <c:pt idx="38">
                  <c:v>43891</c:v>
                </c:pt>
                <c:pt idx="39">
                  <c:v>43892</c:v>
                </c:pt>
                <c:pt idx="40">
                  <c:v>43893</c:v>
                </c:pt>
                <c:pt idx="41">
                  <c:v>43894</c:v>
                </c:pt>
                <c:pt idx="42">
                  <c:v>43895</c:v>
                </c:pt>
                <c:pt idx="43">
                  <c:v>43896</c:v>
                </c:pt>
                <c:pt idx="44">
                  <c:v>43897</c:v>
                </c:pt>
                <c:pt idx="45">
                  <c:v>43898</c:v>
                </c:pt>
                <c:pt idx="46">
                  <c:v>43899</c:v>
                </c:pt>
                <c:pt idx="47">
                  <c:v>43900</c:v>
                </c:pt>
                <c:pt idx="48">
                  <c:v>43901</c:v>
                </c:pt>
                <c:pt idx="49">
                  <c:v>43902</c:v>
                </c:pt>
                <c:pt idx="50">
                  <c:v>43903</c:v>
                </c:pt>
                <c:pt idx="51">
                  <c:v>43904</c:v>
                </c:pt>
                <c:pt idx="52">
                  <c:v>43905</c:v>
                </c:pt>
                <c:pt idx="53">
                  <c:v>43906</c:v>
                </c:pt>
                <c:pt idx="54">
                  <c:v>43907</c:v>
                </c:pt>
                <c:pt idx="55">
                  <c:v>43908</c:v>
                </c:pt>
                <c:pt idx="56">
                  <c:v>43909</c:v>
                </c:pt>
                <c:pt idx="57">
                  <c:v>43910</c:v>
                </c:pt>
                <c:pt idx="58">
                  <c:v>43911</c:v>
                </c:pt>
                <c:pt idx="59">
                  <c:v>43912</c:v>
                </c:pt>
                <c:pt idx="60">
                  <c:v>43913</c:v>
                </c:pt>
                <c:pt idx="61">
                  <c:v>43914</c:v>
                </c:pt>
                <c:pt idx="62">
                  <c:v>43915</c:v>
                </c:pt>
              </c:numCache>
            </c:numRef>
          </c:xVal>
          <c:yVal>
            <c:numRef>
              <c:f>myData!USCases</c:f>
              <c:numCache>
                <c:formatCode>##0.0E+00</c:formatCode>
                <c:ptCount val="63"/>
                <c:pt idx="0">
                  <c:v>3.037411069235945E-2</c:v>
                </c:pt>
                <c:pt idx="1">
                  <c:v>6.0748221384718901E-2</c:v>
                </c:pt>
                <c:pt idx="2">
                  <c:v>6.0748221384718901E-2</c:v>
                </c:pt>
                <c:pt idx="3">
                  <c:v>0.15187055346179726</c:v>
                </c:pt>
                <c:pt idx="4">
                  <c:v>0.15187055346179726</c:v>
                </c:pt>
                <c:pt idx="5">
                  <c:v>0.15187055346179726</c:v>
                </c:pt>
                <c:pt idx="6">
                  <c:v>0.15187055346179726</c:v>
                </c:pt>
                <c:pt idx="7">
                  <c:v>0.15187055346179726</c:v>
                </c:pt>
                <c:pt idx="8">
                  <c:v>0.21261877484651615</c:v>
                </c:pt>
                <c:pt idx="9">
                  <c:v>0.2429928855388756</c:v>
                </c:pt>
                <c:pt idx="10">
                  <c:v>0.2429928855388756</c:v>
                </c:pt>
                <c:pt idx="11">
                  <c:v>0.33411521761595392</c:v>
                </c:pt>
                <c:pt idx="12">
                  <c:v>0.33411521761595392</c:v>
                </c:pt>
                <c:pt idx="13">
                  <c:v>0.33411521761595392</c:v>
                </c:pt>
                <c:pt idx="14">
                  <c:v>0.33411521761595392</c:v>
                </c:pt>
                <c:pt idx="15">
                  <c:v>0.33411521761595392</c:v>
                </c:pt>
                <c:pt idx="16">
                  <c:v>0.33411521761595392</c:v>
                </c:pt>
                <c:pt idx="17">
                  <c:v>0.33411521761595392</c:v>
                </c:pt>
                <c:pt idx="18">
                  <c:v>0.33411521761595392</c:v>
                </c:pt>
                <c:pt idx="19">
                  <c:v>0.36448932830831338</c:v>
                </c:pt>
                <c:pt idx="20">
                  <c:v>0.36448932830831338</c:v>
                </c:pt>
                <c:pt idx="21">
                  <c:v>0.39486343900067283</c:v>
                </c:pt>
                <c:pt idx="22">
                  <c:v>0.39486343900067283</c:v>
                </c:pt>
                <c:pt idx="23">
                  <c:v>0.39486343900067283</c:v>
                </c:pt>
                <c:pt idx="24">
                  <c:v>0.39486343900067283</c:v>
                </c:pt>
                <c:pt idx="25">
                  <c:v>0.39486343900067283</c:v>
                </c:pt>
                <c:pt idx="26">
                  <c:v>0.39486343900067283</c:v>
                </c:pt>
                <c:pt idx="27">
                  <c:v>0.39486343900067283</c:v>
                </c:pt>
                <c:pt idx="28">
                  <c:v>0.39486343900067283</c:v>
                </c:pt>
                <c:pt idx="29">
                  <c:v>0.45561166038539175</c:v>
                </c:pt>
                <c:pt idx="30">
                  <c:v>0.45561166038539175</c:v>
                </c:pt>
                <c:pt idx="31">
                  <c:v>0.45561166038539175</c:v>
                </c:pt>
                <c:pt idx="32">
                  <c:v>1.5490796453103319</c:v>
                </c:pt>
                <c:pt idx="33">
                  <c:v>1.5490796453103319</c:v>
                </c:pt>
                <c:pt idx="34">
                  <c:v>1.7313243094644886</c:v>
                </c:pt>
                <c:pt idx="35">
                  <c:v>1.761698420156848</c:v>
                </c:pt>
                <c:pt idx="36">
                  <c:v>1.822446641541567</c:v>
                </c:pt>
                <c:pt idx="37">
                  <c:v>2.0654395270804424</c:v>
                </c:pt>
                <c:pt idx="38">
                  <c:v>2.2476841912345993</c:v>
                </c:pt>
                <c:pt idx="39">
                  <c:v>2.9766628478512263</c:v>
                </c:pt>
                <c:pt idx="40">
                  <c:v>3.5841450616984152</c:v>
                </c:pt>
                <c:pt idx="41">
                  <c:v>4.525742493161558</c:v>
                </c:pt>
                <c:pt idx="42">
                  <c:v>6.5911820202420008</c:v>
                </c:pt>
                <c:pt idx="43">
                  <c:v>7.9580170013981757</c:v>
                </c:pt>
                <c:pt idx="44">
                  <c:v>12.210392498328499</c:v>
                </c:pt>
                <c:pt idx="45">
                  <c:v>15.733789338642195</c:v>
                </c:pt>
                <c:pt idx="46">
                  <c:v>17.708106533645559</c:v>
                </c:pt>
                <c:pt idx="47">
                  <c:v>29.128772153972712</c:v>
                </c:pt>
                <c:pt idx="48">
                  <c:v>38.909235796912455</c:v>
                </c:pt>
                <c:pt idx="49">
                  <c:v>50.512146081393766</c:v>
                </c:pt>
                <c:pt idx="50">
                  <c:v>66.185187198651235</c:v>
                </c:pt>
                <c:pt idx="51">
                  <c:v>82.830199858064219</c:v>
                </c:pt>
                <c:pt idx="52">
                  <c:v>106.27901331256571</c:v>
                </c:pt>
                <c:pt idx="53">
                  <c:v>140.69288072700897</c:v>
                </c:pt>
                <c:pt idx="54">
                  <c:v>195.03216475564003</c:v>
                </c:pt>
                <c:pt idx="55">
                  <c:v>236.40170351863358</c:v>
                </c:pt>
                <c:pt idx="56">
                  <c:v>415.42671193940021</c:v>
                </c:pt>
                <c:pt idx="57">
                  <c:v>580.14551422406544</c:v>
                </c:pt>
                <c:pt idx="58">
                  <c:v>774.20570743755002</c:v>
                </c:pt>
                <c:pt idx="59">
                  <c:v>1010.7289073989531</c:v>
                </c:pt>
                <c:pt idx="60">
                  <c:v>1331.8136315278848</c:v>
                </c:pt>
                <c:pt idx="61">
                  <c:v>1632.3047086073968</c:v>
                </c:pt>
                <c:pt idx="62">
                  <c:v>1668.0246627816116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myData!$CV$14</c:f>
              <c:strCache>
                <c:ptCount val="1"/>
                <c:pt idx="0">
                  <c:v>USA Limit 5.69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106"/>
                <c:pt idx="0">
                  <c:v>43853</c:v>
                </c:pt>
                <c:pt idx="1">
                  <c:v>43854</c:v>
                </c:pt>
                <c:pt idx="2">
                  <c:v>43855</c:v>
                </c:pt>
                <c:pt idx="3">
                  <c:v>43856</c:v>
                </c:pt>
                <c:pt idx="4">
                  <c:v>43857</c:v>
                </c:pt>
                <c:pt idx="5">
                  <c:v>43858</c:v>
                </c:pt>
                <c:pt idx="6">
                  <c:v>43859</c:v>
                </c:pt>
                <c:pt idx="7">
                  <c:v>43860</c:v>
                </c:pt>
                <c:pt idx="8">
                  <c:v>43861</c:v>
                </c:pt>
                <c:pt idx="9">
                  <c:v>43862</c:v>
                </c:pt>
                <c:pt idx="10">
                  <c:v>43863</c:v>
                </c:pt>
                <c:pt idx="11">
                  <c:v>43864</c:v>
                </c:pt>
                <c:pt idx="12">
                  <c:v>43865</c:v>
                </c:pt>
                <c:pt idx="13">
                  <c:v>43866</c:v>
                </c:pt>
                <c:pt idx="14">
                  <c:v>43867</c:v>
                </c:pt>
                <c:pt idx="15">
                  <c:v>43868</c:v>
                </c:pt>
                <c:pt idx="16">
                  <c:v>43869</c:v>
                </c:pt>
                <c:pt idx="17">
                  <c:v>43870</c:v>
                </c:pt>
                <c:pt idx="18">
                  <c:v>43871</c:v>
                </c:pt>
                <c:pt idx="19">
                  <c:v>43872</c:v>
                </c:pt>
                <c:pt idx="20">
                  <c:v>43873</c:v>
                </c:pt>
                <c:pt idx="21">
                  <c:v>43874</c:v>
                </c:pt>
                <c:pt idx="22">
                  <c:v>43875</c:v>
                </c:pt>
                <c:pt idx="23">
                  <c:v>43876</c:v>
                </c:pt>
                <c:pt idx="24">
                  <c:v>43877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43883</c:v>
                </c:pt>
                <c:pt idx="31">
                  <c:v>43884</c:v>
                </c:pt>
                <c:pt idx="32">
                  <c:v>43885</c:v>
                </c:pt>
                <c:pt idx="33">
                  <c:v>43886</c:v>
                </c:pt>
                <c:pt idx="34">
                  <c:v>43887</c:v>
                </c:pt>
                <c:pt idx="35">
                  <c:v>43888</c:v>
                </c:pt>
                <c:pt idx="36">
                  <c:v>43889</c:v>
                </c:pt>
                <c:pt idx="37">
                  <c:v>43890</c:v>
                </c:pt>
                <c:pt idx="38">
                  <c:v>43891</c:v>
                </c:pt>
                <c:pt idx="39">
                  <c:v>43892</c:v>
                </c:pt>
                <c:pt idx="40">
                  <c:v>43893</c:v>
                </c:pt>
                <c:pt idx="41">
                  <c:v>43894</c:v>
                </c:pt>
                <c:pt idx="42">
                  <c:v>43895</c:v>
                </c:pt>
                <c:pt idx="43">
                  <c:v>43896</c:v>
                </c:pt>
                <c:pt idx="44">
                  <c:v>43897</c:v>
                </c:pt>
                <c:pt idx="45">
                  <c:v>43898</c:v>
                </c:pt>
                <c:pt idx="46">
                  <c:v>43899</c:v>
                </c:pt>
                <c:pt idx="47">
                  <c:v>43900</c:v>
                </c:pt>
                <c:pt idx="48">
                  <c:v>43901</c:v>
                </c:pt>
                <c:pt idx="49">
                  <c:v>43902</c:v>
                </c:pt>
                <c:pt idx="50">
                  <c:v>43903</c:v>
                </c:pt>
                <c:pt idx="51">
                  <c:v>43904</c:v>
                </c:pt>
                <c:pt idx="52">
                  <c:v>43905</c:v>
                </c:pt>
                <c:pt idx="53">
                  <c:v>43906</c:v>
                </c:pt>
                <c:pt idx="54">
                  <c:v>43907</c:v>
                </c:pt>
                <c:pt idx="55">
                  <c:v>43908</c:v>
                </c:pt>
                <c:pt idx="56">
                  <c:v>43909</c:v>
                </c:pt>
                <c:pt idx="57">
                  <c:v>43910</c:v>
                </c:pt>
                <c:pt idx="58">
                  <c:v>43911</c:v>
                </c:pt>
                <c:pt idx="59">
                  <c:v>43912</c:v>
                </c:pt>
                <c:pt idx="60">
                  <c:v>43913</c:v>
                </c:pt>
                <c:pt idx="61">
                  <c:v>43914</c:v>
                </c:pt>
                <c:pt idx="62">
                  <c:v>43915</c:v>
                </c:pt>
                <c:pt idx="63">
                  <c:v>43916</c:v>
                </c:pt>
                <c:pt idx="64">
                  <c:v>43917</c:v>
                </c:pt>
                <c:pt idx="65">
                  <c:v>43918</c:v>
                </c:pt>
                <c:pt idx="66">
                  <c:v>43919</c:v>
                </c:pt>
                <c:pt idx="67">
                  <c:v>43920</c:v>
                </c:pt>
                <c:pt idx="68">
                  <c:v>43921</c:v>
                </c:pt>
                <c:pt idx="69">
                  <c:v>43922</c:v>
                </c:pt>
                <c:pt idx="70">
                  <c:v>43923</c:v>
                </c:pt>
                <c:pt idx="71">
                  <c:v>43930</c:v>
                </c:pt>
                <c:pt idx="72">
                  <c:v>43937</c:v>
                </c:pt>
                <c:pt idx="73">
                  <c:v>43944</c:v>
                </c:pt>
                <c:pt idx="74">
                  <c:v>43951</c:v>
                </c:pt>
                <c:pt idx="75">
                  <c:v>43958</c:v>
                </c:pt>
                <c:pt idx="76">
                  <c:v>43965</c:v>
                </c:pt>
                <c:pt idx="77">
                  <c:v>43972</c:v>
                </c:pt>
                <c:pt idx="78">
                  <c:v>43979</c:v>
                </c:pt>
                <c:pt idx="79">
                  <c:v>43986</c:v>
                </c:pt>
                <c:pt idx="80">
                  <c:v>43993</c:v>
                </c:pt>
                <c:pt idx="81">
                  <c:v>44000</c:v>
                </c:pt>
                <c:pt idx="82">
                  <c:v>44007</c:v>
                </c:pt>
                <c:pt idx="83">
                  <c:v>44014</c:v>
                </c:pt>
                <c:pt idx="84">
                  <c:v>44021</c:v>
                </c:pt>
                <c:pt idx="85">
                  <c:v>44028</c:v>
                </c:pt>
                <c:pt idx="86">
                  <c:v>44035</c:v>
                </c:pt>
                <c:pt idx="87">
                  <c:v>44042</c:v>
                </c:pt>
                <c:pt idx="88">
                  <c:v>44049</c:v>
                </c:pt>
                <c:pt idx="89">
                  <c:v>44056</c:v>
                </c:pt>
                <c:pt idx="90">
                  <c:v>44063</c:v>
                </c:pt>
                <c:pt idx="91">
                  <c:v>44070</c:v>
                </c:pt>
                <c:pt idx="92">
                  <c:v>44077</c:v>
                </c:pt>
                <c:pt idx="93">
                  <c:v>44084</c:v>
                </c:pt>
                <c:pt idx="94">
                  <c:v>44091</c:v>
                </c:pt>
                <c:pt idx="95">
                  <c:v>44098</c:v>
                </c:pt>
                <c:pt idx="96">
                  <c:v>44105</c:v>
                </c:pt>
                <c:pt idx="97">
                  <c:v>44112</c:v>
                </c:pt>
                <c:pt idx="98">
                  <c:v>44119</c:v>
                </c:pt>
                <c:pt idx="99">
                  <c:v>44126</c:v>
                </c:pt>
                <c:pt idx="100">
                  <c:v>44133</c:v>
                </c:pt>
                <c:pt idx="101">
                  <c:v>44140</c:v>
                </c:pt>
                <c:pt idx="102">
                  <c:v>44147</c:v>
                </c:pt>
                <c:pt idx="103">
                  <c:v>44154</c:v>
                </c:pt>
                <c:pt idx="104">
                  <c:v>44161</c:v>
                </c:pt>
                <c:pt idx="105">
                  <c:v>44168</c:v>
                </c:pt>
              </c:numCache>
            </c:numRef>
          </c:xVal>
          <c:yVal>
            <c:numRef>
              <c:f>myData!USLogi</c:f>
              <c:numCache>
                <c:formatCode>0</c:formatCode>
                <c:ptCount val="106"/>
                <c:pt idx="0">
                  <c:v>9.103015837459202E-5</c:v>
                </c:pt>
                <c:pt idx="1">
                  <c:v>1.2012474515609634E-4</c:v>
                </c:pt>
                <c:pt idx="2">
                  <c:v>1.5851839250745242E-4</c:v>
                </c:pt>
                <c:pt idx="3">
                  <c:v>2.0918321763191202E-4</c:v>
                </c:pt>
                <c:pt idx="4">
                  <c:v>2.7604127017801433E-4</c:v>
                </c:pt>
                <c:pt idx="5">
                  <c:v>3.6426814453856309E-4</c:v>
                </c:pt>
                <c:pt idx="6">
                  <c:v>4.8069363100138171E-4</c:v>
                </c:pt>
                <c:pt idx="7">
                  <c:v>6.3433042070470513E-4</c:v>
                </c:pt>
                <c:pt idx="8">
                  <c:v>8.3707179211294197E-4</c:v>
                </c:pt>
                <c:pt idx="9">
                  <c:v>1.1046122877012539E-3</c:v>
                </c:pt>
                <c:pt idx="10">
                  <c:v>1.4576626512851959E-3</c:v>
                </c:pt>
                <c:pt idx="11">
                  <c:v>1.9235530751198636E-3</c:v>
                </c:pt>
                <c:pt idx="12">
                  <c:v>2.538348864691448E-3</c:v>
                </c:pt>
                <c:pt idx="13">
                  <c:v>3.3496422946445118E-3</c:v>
                </c:pt>
                <c:pt idx="14">
                  <c:v>4.4202367715992039E-3</c:v>
                </c:pt>
                <c:pt idx="15">
                  <c:v>5.833008489738699E-3</c:v>
                </c:pt>
                <c:pt idx="16">
                  <c:v>7.6973219082871625E-3</c:v>
                </c:pt>
                <c:pt idx="17">
                  <c:v>1.0157495649229147E-2</c:v>
                </c:pt>
                <c:pt idx="18" formatCode="0.0">
                  <c:v>1.3403974114426778E-2</c:v>
                </c:pt>
                <c:pt idx="19" formatCode="0.0">
                  <c:v>1.7688069530853529E-2</c:v>
                </c:pt>
                <c:pt idx="20" formatCode="0.0">
                  <c:v>2.3341415447598917E-2</c:v>
                </c:pt>
                <c:pt idx="21" formatCode="0.0">
                  <c:v>3.0801637294001431E-2</c:v>
                </c:pt>
                <c:pt idx="22" formatCode="0.0">
                  <c:v>4.0646226645076618E-2</c:v>
                </c:pt>
                <c:pt idx="23" formatCode="0.0">
                  <c:v>5.3637240491567012E-2</c:v>
                </c:pt>
                <c:pt idx="24" formatCode="0.0">
                  <c:v>7.0780284076915723E-2</c:v>
                </c:pt>
                <c:pt idx="25" formatCode="0.0">
                  <c:v>9.3402340330069472E-2</c:v>
                </c:pt>
                <c:pt idx="26" formatCode="0.0">
                  <c:v>0.12325446569586926</c:v>
                </c:pt>
                <c:pt idx="27" formatCode="0.0">
                  <c:v>0.16264729332909872</c:v>
                </c:pt>
                <c:pt idx="28" formatCode="0.0">
                  <c:v>0.21462981770017936</c:v>
                </c:pt>
                <c:pt idx="29" formatCode="0.0">
                  <c:v>0.28322527367069344</c:v>
                </c:pt>
                <c:pt idx="30" formatCode="0.0">
                  <c:v>0.3737423228937814</c:v>
                </c:pt>
                <c:pt idx="31" formatCode="0.0">
                  <c:v>0.49318555527247215</c:v>
                </c:pt>
                <c:pt idx="32" formatCode="0.0">
                  <c:v>0.65079694079267869</c:v>
                </c:pt>
                <c:pt idx="33" formatCode="0.0">
                  <c:v>0.85876989871762466</c:v>
                </c:pt>
                <c:pt idx="34" formatCode="0.0">
                  <c:v>1.1331908302558913</c:v>
                </c:pt>
                <c:pt idx="35" formatCode="0.0">
                  <c:v>1.4952802498751077</c:v>
                </c:pt>
                <c:pt idx="36" formatCode="0.0">
                  <c:v>1.9730282874258249</c:v>
                </c:pt>
                <c:pt idx="37" formatCode="0.0">
                  <c:v>2.6033488961268096</c:v>
                </c:pt>
                <c:pt idx="38" formatCode="0.0">
                  <c:v>3.4349155759406131</c:v>
                </c:pt>
                <c:pt idx="39" formatCode="0.0">
                  <c:v>4.5318912610369626</c:v>
                </c:pt>
                <c:pt idx="40" formatCode="0.0">
                  <c:v>5.9788291720206441</c:v>
                </c:pt>
                <c:pt idx="41" formatCode="0.0">
                  <c:v>7.8871032905543652</c:v>
                </c:pt>
                <c:pt idx="42" formatCode="0.0">
                  <c:v>10.403330296332603</c:v>
                </c:pt>
                <c:pt idx="43" formatCode="0.0">
                  <c:v>13.720372627576337</c:v>
                </c:pt>
                <c:pt idx="44" formatCode="0.0">
                  <c:v>18.091666669839835</c:v>
                </c:pt>
                <c:pt idx="45" formatCode="0.0">
                  <c:v>23.849799231942143</c:v>
                </c:pt>
                <c:pt idx="46" formatCode="0.0">
                  <c:v>31.430450172582489</c:v>
                </c:pt>
                <c:pt idx="47" formatCode="0.0">
                  <c:v>41.403005580593657</c:v>
                </c:pt>
                <c:pt idx="48" formatCode="0.0">
                  <c:v>54.509274514490357</c:v>
                </c:pt>
                <c:pt idx="49" formatCode="0.0">
                  <c:v>71.711718528157149</c:v>
                </c:pt>
                <c:pt idx="50" formatCode="0.0">
                  <c:v>94.25225973260568</c:v>
                </c:pt>
                <c:pt idx="51" formatCode="0.0">
                  <c:v>123.72179064184844</c:v>
                </c:pt>
                <c:pt idx="52" formatCode="0.0">
                  <c:v>162.13852981714359</c:v>
                </c:pt>
                <c:pt idx="53" formatCode="0.0">
                  <c:v>212.02971913794752</c:v>
                </c:pt>
                <c:pt idx="54" formatCode="0.0">
                  <c:v>276.50503664219457</c:v>
                </c:pt>
                <c:pt idx="55" formatCode="0.0">
                  <c:v>359.30071026364072</c:v>
                </c:pt>
                <c:pt idx="56" formatCode="0.0">
                  <c:v>464.76041307748113</c:v>
                </c:pt>
                <c:pt idx="57" formatCode="0.0">
                  <c:v>597.70402136451548</c:v>
                </c:pt>
                <c:pt idx="58" formatCode="0.0">
                  <c:v>763.12317401877999</c:v>
                </c:pt>
                <c:pt idx="59" formatCode="0.0">
                  <c:v>965.64387444397209</c:v>
                </c:pt>
                <c:pt idx="60" formatCode="0.0">
                  <c:v>1208.7277054029225</c:v>
                </c:pt>
                <c:pt idx="61" formatCode="0.0">
                  <c:v>1493.6616006387142</c:v>
                </c:pt>
                <c:pt idx="62" formatCode="0.0">
                  <c:v>1818.5131123607787</c:v>
                </c:pt>
                <c:pt idx="63" formatCode="0.0">
                  <c:v>2177.3664792888003</c:v>
                </c:pt>
                <c:pt idx="64" formatCode="0.0">
                  <c:v>2560.2179744849482</c:v>
                </c:pt>
                <c:pt idx="65" formatCode="0.0">
                  <c:v>2953.7973457075614</c:v>
                </c:pt>
                <c:pt idx="66" formatCode="0.0">
                  <c:v>3343.2727233804826</c:v>
                </c:pt>
                <c:pt idx="67" formatCode="0.0">
                  <c:v>3714.4170176554244</c:v>
                </c:pt>
                <c:pt idx="68" formatCode="0.0">
                  <c:v>4055.592754843623</c:v>
                </c:pt>
                <c:pt idx="69" formatCode="0.0">
                  <c:v>4359.0009136722329</c:v>
                </c:pt>
                <c:pt idx="70" formatCode="0.0">
                  <c:v>4620.9756508952923</c:v>
                </c:pt>
                <c:pt idx="71" formatCode="0.0">
                  <c:v>5508.0689516976345</c:v>
                </c:pt>
                <c:pt idx="72" formatCode="0.0">
                  <c:v>5664.1093188838377</c:v>
                </c:pt>
                <c:pt idx="73" formatCode="0.0">
                  <c:v>5687.2303998974139</c:v>
                </c:pt>
                <c:pt idx="74" formatCode="0.0">
                  <c:v>5690.5639081233212</c:v>
                </c:pt>
                <c:pt idx="75" formatCode="0.0">
                  <c:v>5691.0426068397092</c:v>
                </c:pt>
                <c:pt idx="76" formatCode="0.0">
                  <c:v>5691.1113095318096</c:v>
                </c:pt>
                <c:pt idx="77" formatCode="0.0">
                  <c:v>5691.1211689086804</c:v>
                </c:pt>
                <c:pt idx="78" formatCode="0.0">
                  <c:v>5691.1225837901075</c:v>
                </c:pt>
                <c:pt idx="79" formatCode="0.0">
                  <c:v>5691.1227868339802</c:v>
                </c:pt>
                <c:pt idx="80" formatCode="0.0">
                  <c:v>5691.1228159719712</c:v>
                </c:pt>
                <c:pt idx="81" formatCode="0.0">
                  <c:v>5691.122820153445</c:v>
                </c:pt>
                <c:pt idx="82" formatCode="0.0">
                  <c:v>5691.1228207535114</c:v>
                </c:pt>
                <c:pt idx="83" formatCode="0.0">
                  <c:v>5691.1228208396251</c:v>
                </c:pt>
                <c:pt idx="84" formatCode="0.0">
                  <c:v>5691.1228208519824</c:v>
                </c:pt>
                <c:pt idx="85" formatCode="0.0">
                  <c:v>5691.1228208537559</c:v>
                </c:pt>
                <c:pt idx="86" formatCode="0.0">
                  <c:v>5691.1228208540097</c:v>
                </c:pt>
                <c:pt idx="87" formatCode="0.0">
                  <c:v>5691.1228208540451</c:v>
                </c:pt>
                <c:pt idx="88" formatCode="0.0">
                  <c:v>5691.1228208540515</c:v>
                </c:pt>
                <c:pt idx="89" formatCode="0.0">
                  <c:v>5691.1228208540524</c:v>
                </c:pt>
                <c:pt idx="90" formatCode="0.0">
                  <c:v>5691.1228208540524</c:v>
                </c:pt>
                <c:pt idx="91" formatCode="0.0">
                  <c:v>5691.1228208540524</c:v>
                </c:pt>
                <c:pt idx="92" formatCode="0.0">
                  <c:v>5691.1228208540524</c:v>
                </c:pt>
                <c:pt idx="93" formatCode="0.0">
                  <c:v>5691.1228208540524</c:v>
                </c:pt>
                <c:pt idx="94" formatCode="0.0">
                  <c:v>5691.1228208540524</c:v>
                </c:pt>
                <c:pt idx="95" formatCode="0.0">
                  <c:v>5691.1228208540524</c:v>
                </c:pt>
                <c:pt idx="96" formatCode="0.0">
                  <c:v>5691.1228208540524</c:v>
                </c:pt>
                <c:pt idx="97" formatCode="0.0">
                  <c:v>5691.1228208540524</c:v>
                </c:pt>
                <c:pt idx="98" formatCode="0.0">
                  <c:v>5691.1228208540524</c:v>
                </c:pt>
                <c:pt idx="99" formatCode="0.0">
                  <c:v>5691.1228208540524</c:v>
                </c:pt>
                <c:pt idx="100" formatCode="0.0">
                  <c:v>5691.1228208540524</c:v>
                </c:pt>
                <c:pt idx="101" formatCode="0.0">
                  <c:v>5691.1228208540524</c:v>
                </c:pt>
                <c:pt idx="102" formatCode="0.0">
                  <c:v>5691.1228208540524</c:v>
                </c:pt>
                <c:pt idx="103" formatCode="0.0">
                  <c:v>5691.1228208540524</c:v>
                </c:pt>
                <c:pt idx="104" formatCode="0.0">
                  <c:v>5691.1228208540524</c:v>
                </c:pt>
                <c:pt idx="105" formatCode="0.0">
                  <c:v>5691.1228208540524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90312"/>
        <c:axId val="782391096"/>
      </c:scatterChart>
      <c:valAx>
        <c:axId val="782390312"/>
        <c:scaling>
          <c:orientation val="minMax"/>
          <c:max val="43972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91096"/>
        <c:crosses val="autoZero"/>
        <c:crossBetween val="midCat"/>
        <c:majorUnit val="7"/>
        <c:minorUnit val="3.5"/>
      </c:valAx>
      <c:valAx>
        <c:axId val="782391096"/>
        <c:scaling>
          <c:logBase val="10"/>
          <c:orientation val="minMax"/>
          <c:max val="1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#0.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90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994450224267637"/>
          <c:y val="0.68066692150958596"/>
          <c:w val="0.15510721118614859"/>
          <c:h val="0.12119309215726942"/>
        </c:manualLayout>
      </c:layout>
      <c:overlay val="0"/>
      <c:spPr>
        <a:solidFill>
          <a:schemeClr val="bg1">
            <a:alpha val="7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myData!$CX$15</c:f>
          <c:strCache>
            <c:ptCount val="1"/>
            <c:pt idx="0">
              <c:v>COVID19 China P(t) = b / {d+[( b/Po - d ) ]* exp(-b*t)}
b=0.222, d=2.74E-06, P0=1537.649 Limit=563  =&gt;81.0 k cases 
 25-Mar, Cases per 10 M population</c:v>
            </c:pt>
          </c:strCache>
        </c:strRef>
      </c:tx>
      <c:layout>
        <c:manualLayout>
          <c:xMode val="edge"/>
          <c:yMode val="edge"/>
          <c:x val="0.33870089262443082"/>
          <c:y val="3.3394721333211939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36011458196639E-2"/>
          <c:y val="0.16483581859961077"/>
          <c:w val="0.88715308130366799"/>
          <c:h val="0.67768374738733961"/>
        </c:manualLayout>
      </c:layout>
      <c:scatterChart>
        <c:scatterStyle val="lineMarker"/>
        <c:varyColors val="0"/>
        <c:ser>
          <c:idx val="0"/>
          <c:order val="0"/>
          <c:tx>
            <c:v>China Logi Prediction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43930</c:v>
                </c:pt>
                <c:pt idx="73">
                  <c:v>43937</c:v>
                </c:pt>
                <c:pt idx="74">
                  <c:v>43944</c:v>
                </c:pt>
                <c:pt idx="75">
                  <c:v>43951</c:v>
                </c:pt>
                <c:pt idx="76">
                  <c:v>43958</c:v>
                </c:pt>
                <c:pt idx="77">
                  <c:v>43965</c:v>
                </c:pt>
                <c:pt idx="78">
                  <c:v>43972</c:v>
                </c:pt>
                <c:pt idx="79">
                  <c:v>43979</c:v>
                </c:pt>
                <c:pt idx="80">
                  <c:v>43986</c:v>
                </c:pt>
                <c:pt idx="81">
                  <c:v>43993</c:v>
                </c:pt>
                <c:pt idx="82">
                  <c:v>44000</c:v>
                </c:pt>
                <c:pt idx="83">
                  <c:v>44007</c:v>
                </c:pt>
                <c:pt idx="84">
                  <c:v>44014</c:v>
                </c:pt>
                <c:pt idx="85">
                  <c:v>44021</c:v>
                </c:pt>
                <c:pt idx="86">
                  <c:v>44028</c:v>
                </c:pt>
                <c:pt idx="87">
                  <c:v>44035</c:v>
                </c:pt>
                <c:pt idx="88">
                  <c:v>44042</c:v>
                </c:pt>
                <c:pt idx="89">
                  <c:v>44049</c:v>
                </c:pt>
                <c:pt idx="90">
                  <c:v>44056</c:v>
                </c:pt>
                <c:pt idx="91">
                  <c:v>44063</c:v>
                </c:pt>
                <c:pt idx="92">
                  <c:v>44070</c:v>
                </c:pt>
                <c:pt idx="93">
                  <c:v>44077</c:v>
                </c:pt>
                <c:pt idx="94">
                  <c:v>44084</c:v>
                </c:pt>
                <c:pt idx="95">
                  <c:v>44091</c:v>
                </c:pt>
                <c:pt idx="96">
                  <c:v>44098</c:v>
                </c:pt>
                <c:pt idx="97">
                  <c:v>44105</c:v>
                </c:pt>
                <c:pt idx="98">
                  <c:v>44112</c:v>
                </c:pt>
                <c:pt idx="99">
                  <c:v>44119</c:v>
                </c:pt>
                <c:pt idx="100">
                  <c:v>44126</c:v>
                </c:pt>
                <c:pt idx="101">
                  <c:v>44133</c:v>
                </c:pt>
                <c:pt idx="102">
                  <c:v>44140</c:v>
                </c:pt>
                <c:pt idx="103">
                  <c:v>44147</c:v>
                </c:pt>
                <c:pt idx="104">
                  <c:v>44154</c:v>
                </c:pt>
                <c:pt idx="105">
                  <c:v>44161</c:v>
                </c:pt>
                <c:pt idx="106">
                  <c:v>44168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13.277879447066788</c:v>
                </c:pt>
                <c:pt idx="2">
                  <c:v>16.484025158498682</c:v>
                </c:pt>
                <c:pt idx="3">
                  <c:v>20.435557567426564</c:v>
                </c:pt>
                <c:pt idx="4">
                  <c:v>25.290501829557009</c:v>
                </c:pt>
                <c:pt idx="5">
                  <c:v>31.232441089395362</c:v>
                </c:pt>
                <c:pt idx="6">
                  <c:v>38.470520532809786</c:v>
                </c:pt>
                <c:pt idx="7">
                  <c:v>47.236975856005962</c:v>
                </c:pt>
                <c:pt idx="8">
                  <c:v>57.780974610663726</c:v>
                </c:pt>
                <c:pt idx="9">
                  <c:v>70.357412171750113</c:v>
                </c:pt>
                <c:pt idx="10">
                  <c:v>85.209409130504824</c:v>
                </c:pt>
                <c:pt idx="11">
                  <c:v>102.54381624813004</c:v>
                </c:pt>
                <c:pt idx="12">
                  <c:v>122.50025002999644</c:v>
                </c:pt>
                <c:pt idx="13">
                  <c:v>145.11614101891283</c:v>
                </c:pt>
                <c:pt idx="14">
                  <c:v>170.29276175115768</c:v>
                </c:pt>
                <c:pt idx="15">
                  <c:v>197.76952773596358</c:v>
                </c:pt>
                <c:pt idx="16">
                  <c:v>227.11489628142812</c:v>
                </c:pt>
                <c:pt idx="17">
                  <c:v>257.74071779720998</c:v>
                </c:pt>
                <c:pt idx="18">
                  <c:v>288.9423931902565</c:v>
                </c:pt>
                <c:pt idx="19">
                  <c:v>319.96053813308185</c:v>
                </c:pt>
                <c:pt idx="20">
                  <c:v>350.05339135025753</c:v>
                </c:pt>
                <c:pt idx="21">
                  <c:v>378.5657247416421</c:v>
                </c:pt>
                <c:pt idx="22">
                  <c:v>404.98116271540044</c:v>
                </c:pt>
                <c:pt idx="23">
                  <c:v>428.9500439666773</c:v>
                </c:pt>
                <c:pt idx="24">
                  <c:v>450.29186964358246</c:v>
                </c:pt>
                <c:pt idx="25">
                  <c:v>468.97721443524625</c:v>
                </c:pt>
                <c:pt idx="26">
                  <c:v>485.09703305386586</c:v>
                </c:pt>
                <c:pt idx="27">
                  <c:v>498.82743532617133</c:v>
                </c:pt>
                <c:pt idx="28">
                  <c:v>510.39618937343494</c:v>
                </c:pt>
                <c:pt idx="29">
                  <c:v>520.05469188858694</c:v>
                </c:pt>
                <c:pt idx="30">
                  <c:v>528.05685838737736</c:v>
                </c:pt>
                <c:pt idx="31">
                  <c:v>534.64477991143008</c:v>
                </c:pt>
                <c:pt idx="32">
                  <c:v>540.04011311565966</c:v>
                </c:pt>
                <c:pt idx="33">
                  <c:v>544.43985676337707</c:v>
                </c:pt>
                <c:pt idx="34">
                  <c:v>548.01520612193474</c:v>
                </c:pt>
                <c:pt idx="35">
                  <c:v>550.91238715096574</c:v>
                </c:pt>
                <c:pt idx="36">
                  <c:v>553.254633686425</c:v>
                </c:pt>
                <c:pt idx="37">
                  <c:v>555.14471635709356</c:v>
                </c:pt>
                <c:pt idx="38">
                  <c:v>556.66763335036103</c:v>
                </c:pt>
                <c:pt idx="39">
                  <c:v>557.89322454156468</c:v>
                </c:pt>
                <c:pt idx="40">
                  <c:v>558.87857709112427</c:v>
                </c:pt>
                <c:pt idx="41">
                  <c:v>559.67016150191012</c:v>
                </c:pt>
                <c:pt idx="42">
                  <c:v>560.30568164218823</c:v>
                </c:pt>
                <c:pt idx="43">
                  <c:v>560.81564833239645</c:v>
                </c:pt>
                <c:pt idx="44">
                  <c:v>561.22469991929427</c:v>
                </c:pt>
                <c:pt idx="45">
                  <c:v>561.55269928180894</c:v>
                </c:pt>
                <c:pt idx="46">
                  <c:v>561.81563801642449</c:v>
                </c:pt>
                <c:pt idx="47">
                  <c:v>562.02637718859285</c:v>
                </c:pt>
                <c:pt idx="48">
                  <c:v>562.19525132492754</c:v>
                </c:pt>
                <c:pt idx="49">
                  <c:v>562.33055906783136</c:v>
                </c:pt>
                <c:pt idx="50">
                  <c:v>562.43896059369558</c:v>
                </c:pt>
                <c:pt idx="51">
                  <c:v>562.52579876654454</c:v>
                </c:pt>
                <c:pt idx="52">
                  <c:v>562.5953581856262</c:v>
                </c:pt>
                <c:pt idx="53">
                  <c:v>562.65107383225461</c:v>
                </c:pt>
                <c:pt idx="54">
                  <c:v>562.69569892667312</c:v>
                </c:pt>
                <c:pt idx="55">
                  <c:v>562.7314398442245</c:v>
                </c:pt>
                <c:pt idx="56">
                  <c:v>562.76006447507518</c:v>
                </c:pt>
                <c:pt idx="57">
                  <c:v>562.78298920344093</c:v>
                </c:pt>
                <c:pt idx="58">
                  <c:v>562.8013486920064</c:v>
                </c:pt>
                <c:pt idx="59">
                  <c:v>562.81605184966952</c:v>
                </c:pt>
                <c:pt idx="60">
                  <c:v>562.82782670466872</c:v>
                </c:pt>
                <c:pt idx="61">
                  <c:v>562.83725637373834</c:v>
                </c:pt>
                <c:pt idx="62">
                  <c:v>562.84480788851272</c:v>
                </c:pt>
                <c:pt idx="63">
                  <c:v>562.85085529402204</c:v>
                </c:pt>
                <c:pt idx="64">
                  <c:v>562.85569815515476</c:v>
                </c:pt>
                <c:pt idx="65">
                  <c:v>562.85957638252387</c:v>
                </c:pt>
                <c:pt idx="66">
                  <c:v>562.86268210880723</c:v>
                </c:pt>
                <c:pt idx="67">
                  <c:v>562.86516920174654</c:v>
                </c:pt>
                <c:pt idx="68">
                  <c:v>562.8671608837177</c:v>
                </c:pt>
                <c:pt idx="69">
                  <c:v>562.86875583448295</c:v>
                </c:pt>
                <c:pt idx="70">
                  <c:v>562.87003307891825</c:v>
                </c:pt>
                <c:pt idx="71">
                  <c:v>562.87105590151873</c:v>
                </c:pt>
                <c:pt idx="72">
                  <c:v>562.87429939848346</c:v>
                </c:pt>
                <c:pt idx="73">
                  <c:v>562.87498439471096</c:v>
                </c:pt>
                <c:pt idx="74">
                  <c:v>562.87512905871199</c:v>
                </c:pt>
                <c:pt idx="75">
                  <c:v>562.87515961019244</c:v>
                </c:pt>
                <c:pt idx="76">
                  <c:v>562.87516606233476</c:v>
                </c:pt>
                <c:pt idx="77">
                  <c:v>562.87516742495757</c:v>
                </c:pt>
                <c:pt idx="78">
                  <c:v>562.87516771272851</c:v>
                </c:pt>
                <c:pt idx="79">
                  <c:v>562.87516777350288</c:v>
                </c:pt>
                <c:pt idx="80">
                  <c:v>562.87516778633756</c:v>
                </c:pt>
                <c:pt idx="81">
                  <c:v>562.87516778904819</c:v>
                </c:pt>
                <c:pt idx="82">
                  <c:v>562.8751677896206</c:v>
                </c:pt>
                <c:pt idx="83">
                  <c:v>562.87516778974145</c:v>
                </c:pt>
                <c:pt idx="84">
                  <c:v>562.87516778976703</c:v>
                </c:pt>
                <c:pt idx="85">
                  <c:v>562.87516778977249</c:v>
                </c:pt>
                <c:pt idx="86">
                  <c:v>562.87516778977351</c:v>
                </c:pt>
                <c:pt idx="87">
                  <c:v>562.87516778977385</c:v>
                </c:pt>
                <c:pt idx="88">
                  <c:v>562.87516778977385</c:v>
                </c:pt>
                <c:pt idx="89">
                  <c:v>562.87516778977385</c:v>
                </c:pt>
                <c:pt idx="90">
                  <c:v>562.87516778977385</c:v>
                </c:pt>
                <c:pt idx="91">
                  <c:v>562.87516778977385</c:v>
                </c:pt>
                <c:pt idx="92">
                  <c:v>562.87516778977385</c:v>
                </c:pt>
                <c:pt idx="93">
                  <c:v>562.87516778977385</c:v>
                </c:pt>
                <c:pt idx="94">
                  <c:v>562.87516778977385</c:v>
                </c:pt>
                <c:pt idx="95">
                  <c:v>562.87516778977385</c:v>
                </c:pt>
                <c:pt idx="96">
                  <c:v>562.87516778977385</c:v>
                </c:pt>
                <c:pt idx="97">
                  <c:v>562.87516778977385</c:v>
                </c:pt>
                <c:pt idx="98">
                  <c:v>562.87516778977385</c:v>
                </c:pt>
                <c:pt idx="99">
                  <c:v>562.87516778977385</c:v>
                </c:pt>
                <c:pt idx="100">
                  <c:v>562.87516778977385</c:v>
                </c:pt>
                <c:pt idx="101">
                  <c:v>562.87516778977385</c:v>
                </c:pt>
                <c:pt idx="102">
                  <c:v>562.87516778977385</c:v>
                </c:pt>
                <c:pt idx="103">
                  <c:v>562.87516778977385</c:v>
                </c:pt>
                <c:pt idx="104">
                  <c:v>562.87516778977385</c:v>
                </c:pt>
                <c:pt idx="105">
                  <c:v>562.87516778977385</c:v>
                </c:pt>
                <c:pt idx="106">
                  <c:v>562.87516778977385</c:v>
                </c:pt>
              </c:numCache>
            </c:numRef>
          </c:yVal>
          <c:smooth val="0"/>
        </c:ser>
        <c:ser>
          <c:idx val="1"/>
          <c:order val="1"/>
          <c:tx>
            <c:v>China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0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 formatCode="##0.0E+00">
                  <c:v>536.64784316048156</c:v>
                </c:pt>
                <c:pt idx="34" formatCode="##0.0E+00">
                  <c:v>540.21201689646796</c:v>
                </c:pt>
                <c:pt idx="35" formatCode="##0.0E+00">
                  <c:v>543.07447221659743</c:v>
                </c:pt>
                <c:pt idx="36" formatCode="##0.0E+00">
                  <c:v>546.08977709265605</c:v>
                </c:pt>
                <c:pt idx="37" formatCode="##0.0E+00">
                  <c:v>548.36862501741928</c:v>
                </c:pt>
                <c:pt idx="38" formatCode="##0.0E+00">
                  <c:v>551.34224365095179</c:v>
                </c:pt>
                <c:pt idx="39" formatCode="##0.0E+00">
                  <c:v>555.34412293346293</c:v>
                </c:pt>
                <c:pt idx="40" formatCode="##0.0E+00">
                  <c:v>556.7614551793522</c:v>
                </c:pt>
                <c:pt idx="41" formatCode="##0.0E+00">
                  <c:v>557.6299185653138</c:v>
                </c:pt>
                <c:pt idx="42" formatCode="##0.0E+00">
                  <c:v>558.49838195127541</c:v>
                </c:pt>
                <c:pt idx="43" formatCode="##0.0E+00">
                  <c:v>559.54748572151709</c:v>
                </c:pt>
                <c:pt idx="44" formatCode="##0.0E+00">
                  <c:v>560.61048490593407</c:v>
                </c:pt>
                <c:pt idx="45" formatCode="##0.0E+00">
                  <c:v>561.1663014729495</c:v>
                </c:pt>
                <c:pt idx="46" formatCode="##0.0E+00">
                  <c:v>561.5345299485972</c:v>
                </c:pt>
                <c:pt idx="47" formatCode="##0.0E+00">
                  <c:v>561.79159511084185</c:v>
                </c:pt>
                <c:pt idx="48" formatCode="##0.0E+00">
                  <c:v>561.97918320220958</c:v>
                </c:pt>
                <c:pt idx="49" formatCode="##0.0E+00">
                  <c:v>562.21540524319107</c:v>
                </c:pt>
                <c:pt idx="50" formatCode="##0.0E+00">
                  <c:v>562.29183002115576</c:v>
                </c:pt>
                <c:pt idx="51" formatCode="##0.0E+00">
                  <c:v>562.38215021329574</c:v>
                </c:pt>
                <c:pt idx="52" formatCode="##0.0E+00">
                  <c:v>562.60447684010194</c:v>
                </c:pt>
                <c:pt idx="53" formatCode="##0.0E+00">
                  <c:v>562.78511722438191</c:v>
                </c:pt>
                <c:pt idx="54" formatCode="##0.0E+00">
                  <c:v>562.99354843701269</c:v>
                </c:pt>
                <c:pt idx="55" formatCode="##0.0E+00">
                  <c:v>563.16724111420501</c:v>
                </c:pt>
                <c:pt idx="56" formatCode="##0.0E+00">
                  <c:v>563.47294022606354</c:v>
                </c:pt>
                <c:pt idx="57" formatCode="##0.0E+00">
                  <c:v>563.84811640879889</c:v>
                </c:pt>
                <c:pt idx="58" formatCode="##0.0E+00">
                  <c:v>564.50120087504206</c:v>
                </c:pt>
                <c:pt idx="59" formatCode="##0.0E+00">
                  <c:v>564.88332476486516</c:v>
                </c:pt>
                <c:pt idx="60" formatCode="##0.0E+00">
                  <c:v>565.78652668626523</c:v>
                </c:pt>
                <c:pt idx="61" formatCode="##0.0E+00">
                  <c:v>566.22423223278986</c:v>
                </c:pt>
                <c:pt idx="62">
                  <c:v>566.87036899194527</c:v>
                </c:pt>
                <c:pt idx="63">
                  <c:v>567.35670848808377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94232"/>
        <c:axId val="782397368"/>
      </c:scatterChart>
      <c:valAx>
        <c:axId val="782394232"/>
        <c:scaling>
          <c:orientation val="minMax"/>
          <c:max val="43920"/>
          <c:min val="438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97368"/>
        <c:crosses val="autoZero"/>
        <c:crossBetween val="midCat"/>
        <c:majorUnit val="14"/>
        <c:minorUnit val="7"/>
      </c:valAx>
      <c:valAx>
        <c:axId val="7823973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94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90512430477899"/>
          <c:y val="0.33565589895072867"/>
          <c:w val="0.12872628493749097"/>
          <c:h val="0.18523683792746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myData!$CX$11</c:f>
          <c:strCache>
            <c:ptCount val="1"/>
            <c:pt idx="0">
              <c:v>COVID19 Australia P(t) = b / {d+[( b/Po - d ) ]* exp(-b*t)}
b=0.252, d=3.58E-05, P0=.001 Limit=2.77 k=&gt;7.04 k cases 
 26-Mar,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1"/>
          <c:order val="0"/>
          <c:tx>
            <c:v>Au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61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61"/>
                <c:pt idx="0">
                  <c:v>1.5770383220312254</c:v>
                </c:pt>
                <c:pt idx="1">
                  <c:v>1.9712979025390318</c:v>
                </c:pt>
                <c:pt idx="2">
                  <c:v>1.9712979025390318</c:v>
                </c:pt>
                <c:pt idx="3">
                  <c:v>2.365557483046838</c:v>
                </c:pt>
                <c:pt idx="4">
                  <c:v>3.548336224570257</c:v>
                </c:pt>
                <c:pt idx="5">
                  <c:v>3.548336224570257</c:v>
                </c:pt>
                <c:pt idx="6">
                  <c:v>4.731114966093676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5.1253745466014822</c:v>
                </c:pt>
                <c:pt idx="10">
                  <c:v>5.1253745466014822</c:v>
                </c:pt>
                <c:pt idx="11">
                  <c:v>5.5196341271092884</c:v>
                </c:pt>
                <c:pt idx="12">
                  <c:v>5.9138937076170954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9.856489512695159</c:v>
                </c:pt>
                <c:pt idx="35">
                  <c:v>10.645008673710771</c:v>
                </c:pt>
                <c:pt idx="36">
                  <c:v>11.827787415234191</c:v>
                </c:pt>
                <c:pt idx="37">
                  <c:v>15.376123639804447</c:v>
                </c:pt>
                <c:pt idx="38">
                  <c:v>20.501498186405929</c:v>
                </c:pt>
                <c:pt idx="39">
                  <c:v>21.68427692792935</c:v>
                </c:pt>
                <c:pt idx="40">
                  <c:v>23.655574830468382</c:v>
                </c:pt>
                <c:pt idx="41">
                  <c:v>24.838353571991799</c:v>
                </c:pt>
                <c:pt idx="42">
                  <c:v>29.963728118593281</c:v>
                </c:pt>
                <c:pt idx="43">
                  <c:v>35.87762182621038</c:v>
                </c:pt>
                <c:pt idx="44">
                  <c:v>42.185775114335279</c:v>
                </c:pt>
                <c:pt idx="45">
                  <c:v>50.465226304999213</c:v>
                </c:pt>
                <c:pt idx="46">
                  <c:v>50.465226304999213</c:v>
                </c:pt>
                <c:pt idx="47">
                  <c:v>78.851916101561272</c:v>
                </c:pt>
                <c:pt idx="48">
                  <c:v>98.564895126951583</c:v>
                </c:pt>
                <c:pt idx="49">
                  <c:v>117.09509541081849</c:v>
                </c:pt>
                <c:pt idx="50">
                  <c:v>148.635861851443</c:v>
                </c:pt>
                <c:pt idx="51">
                  <c:v>178.20533038952846</c:v>
                </c:pt>
                <c:pt idx="52">
                  <c:v>223.93944172843399</c:v>
                </c:pt>
                <c:pt idx="53">
                  <c:v>268.49077432581612</c:v>
                </c:pt>
                <c:pt idx="54">
                  <c:v>311.85932818167481</c:v>
                </c:pt>
                <c:pt idx="55">
                  <c:v>422.25201072386056</c:v>
                </c:pt>
                <c:pt idx="56">
                  <c:v>610.70809020659203</c:v>
                </c:pt>
                <c:pt idx="57">
                  <c:v>663.14461441413027</c:v>
                </c:pt>
                <c:pt idx="58">
                  <c:v>805.86658255795612</c:v>
                </c:pt>
                <c:pt idx="59">
                  <c:v>958.44504021447722</c:v>
                </c:pt>
                <c:pt idx="60">
                  <c:v>1106.2923829049046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myData!AuSeries</c:f>
              <c:strCache>
                <c:ptCount val="1"/>
                <c:pt idx="0">
                  <c:v>Australia Limit 2.77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43922</c:v>
                </c:pt>
                <c:pt idx="67">
                  <c:v>43923</c:v>
                </c:pt>
                <c:pt idx="68">
                  <c:v>43930</c:v>
                </c:pt>
                <c:pt idx="69">
                  <c:v>43937</c:v>
                </c:pt>
                <c:pt idx="70">
                  <c:v>43944</c:v>
                </c:pt>
                <c:pt idx="71">
                  <c:v>43951</c:v>
                </c:pt>
                <c:pt idx="72">
                  <c:v>43958</c:v>
                </c:pt>
                <c:pt idx="73">
                  <c:v>43965</c:v>
                </c:pt>
                <c:pt idx="74">
                  <c:v>43972</c:v>
                </c:pt>
                <c:pt idx="75">
                  <c:v>43979</c:v>
                </c:pt>
                <c:pt idx="76">
                  <c:v>43986</c:v>
                </c:pt>
                <c:pt idx="77">
                  <c:v>43993</c:v>
                </c:pt>
                <c:pt idx="78">
                  <c:v>44000</c:v>
                </c:pt>
                <c:pt idx="79">
                  <c:v>44007</c:v>
                </c:pt>
                <c:pt idx="80">
                  <c:v>44014</c:v>
                </c:pt>
                <c:pt idx="81">
                  <c:v>44021</c:v>
                </c:pt>
                <c:pt idx="82">
                  <c:v>44028</c:v>
                </c:pt>
                <c:pt idx="83">
                  <c:v>44035</c:v>
                </c:pt>
                <c:pt idx="84">
                  <c:v>44042</c:v>
                </c:pt>
                <c:pt idx="85">
                  <c:v>44049</c:v>
                </c:pt>
                <c:pt idx="86">
                  <c:v>44056</c:v>
                </c:pt>
                <c:pt idx="87">
                  <c:v>44063</c:v>
                </c:pt>
                <c:pt idx="88">
                  <c:v>44070</c:v>
                </c:pt>
                <c:pt idx="89">
                  <c:v>44077</c:v>
                </c:pt>
                <c:pt idx="90">
                  <c:v>44084</c:v>
                </c:pt>
                <c:pt idx="91">
                  <c:v>44091</c:v>
                </c:pt>
                <c:pt idx="92">
                  <c:v>44098</c:v>
                </c:pt>
                <c:pt idx="93">
                  <c:v>44105</c:v>
                </c:pt>
                <c:pt idx="94">
                  <c:v>44112</c:v>
                </c:pt>
                <c:pt idx="95">
                  <c:v>44119</c:v>
                </c:pt>
                <c:pt idx="96">
                  <c:v>44126</c:v>
                </c:pt>
                <c:pt idx="97">
                  <c:v>44133</c:v>
                </c:pt>
                <c:pt idx="98">
                  <c:v>44140</c:v>
                </c:pt>
                <c:pt idx="99">
                  <c:v>44147</c:v>
                </c:pt>
                <c:pt idx="100">
                  <c:v>44154</c:v>
                </c:pt>
                <c:pt idx="101">
                  <c:v>44161</c:v>
                </c:pt>
                <c:pt idx="102">
                  <c:v>44168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3"/>
                <c:pt idx="0">
                  <c:v>5.0724640332058433E-4</c:v>
                </c:pt>
                <c:pt idx="1">
                  <c:v>6.5261295704497984E-4</c:v>
                </c:pt>
                <c:pt idx="2">
                  <c:v>8.3963861058294887E-4</c:v>
                </c:pt>
                <c:pt idx="3">
                  <c:v>1.0802620069837428E-3</c:v>
                </c:pt>
                <c:pt idx="4">
                  <c:v>1.3898431539671296E-3</c:v>
                </c:pt>
                <c:pt idx="5">
                  <c:v>1.7881439117228826E-3</c:v>
                </c:pt>
                <c:pt idx="6">
                  <c:v>2.3005894646051027E-3</c:v>
                </c:pt>
                <c:pt idx="7">
                  <c:v>2.9598912983305908E-3</c:v>
                </c:pt>
                <c:pt idx="8">
                  <c:v>3.8081352783853602E-3</c:v>
                </c:pt>
                <c:pt idx="9">
                  <c:v>4.8994681108457941E-3</c:v>
                </c:pt>
                <c:pt idx="10">
                  <c:v>6.3035536576652668E-3</c:v>
                </c:pt>
                <c:pt idx="11">
                  <c:v>8.1100197108614873E-3</c:v>
                </c:pt>
                <c:pt idx="12">
                  <c:v>1.0434179037502116E-2</c:v>
                </c:pt>
                <c:pt idx="13">
                  <c:v>1.3424389820104337E-2</c:v>
                </c:pt>
                <c:pt idx="14">
                  <c:v>1.7271525217921E-2</c:v>
                </c:pt>
                <c:pt idx="15">
                  <c:v>2.2221156328026292E-2</c:v>
                </c:pt>
                <c:pt idx="16">
                  <c:v>2.8589225899276274E-2</c:v>
                </c:pt>
                <c:pt idx="17">
                  <c:v>3.6782212760433794E-2</c:v>
                </c:pt>
                <c:pt idx="18">
                  <c:v>4.7323073218550608E-2</c:v>
                </c:pt>
                <c:pt idx="19">
                  <c:v>6.0884613845345402E-2</c:v>
                </c:pt>
                <c:pt idx="20">
                  <c:v>7.8332423441616839E-2</c:v>
                </c:pt>
                <c:pt idx="21">
                  <c:v>0.10078010050936008</c:v>
                </c:pt>
                <c:pt idx="22">
                  <c:v>0.12966029468244686</c:v>
                </c:pt>
                <c:pt idx="23">
                  <c:v>0.16681608548162749</c:v>
                </c:pt>
                <c:pt idx="24">
                  <c:v>0.21461851243481017</c:v>
                </c:pt>
                <c:pt idx="25">
                  <c:v>0.2761177274736949</c:v>
                </c:pt>
                <c:pt idx="26">
                  <c:v>0.35523736611443679</c:v>
                </c:pt>
                <c:pt idx="27">
                  <c:v>0.45702445859083923</c:v>
                </c:pt>
                <c:pt idx="28">
                  <c:v>0.58797069091678611</c:v>
                </c:pt>
                <c:pt idx="29">
                  <c:v>0.75642528689674537</c:v>
                </c:pt>
                <c:pt idx="30">
                  <c:v>0.97312547598958987</c:v>
                </c:pt>
                <c:pt idx="31">
                  <c:v>1.2518777622291846</c:v>
                </c:pt>
                <c:pt idx="32">
                  <c:v>1.610432413079818</c:v>
                </c:pt>
                <c:pt idx="33">
                  <c:v>2.0716052230629085</c:v>
                </c:pt>
                <c:pt idx="34">
                  <c:v>2.6647152390934514</c:v>
                </c:pt>
                <c:pt idx="35">
                  <c:v>3.4274254024044599</c:v>
                </c:pt>
                <c:pt idx="36">
                  <c:v>4.4080956484798808</c:v>
                </c:pt>
                <c:pt idx="37">
                  <c:v>5.6687855614291793</c:v>
                </c:pt>
                <c:pt idx="38">
                  <c:v>7.2890766680813721</c:v>
                </c:pt>
                <c:pt idx="39">
                  <c:v>9.3709228807780303</c:v>
                </c:pt>
                <c:pt idx="40">
                  <c:v>12.04478050193581</c:v>
                </c:pt>
                <c:pt idx="41">
                  <c:v>15.477313848034909</c:v>
                </c:pt>
                <c:pt idx="42">
                  <c:v>19.881013054070113</c:v>
                </c:pt>
                <c:pt idx="43">
                  <c:v>25.52608581506642</c:v>
                </c:pt>
                <c:pt idx="44">
                  <c:v>32.75497500137277</c:v>
                </c:pt>
                <c:pt idx="45">
                  <c:v>41.999776300252975</c:v>
                </c:pt>
                <c:pt idx="46">
                  <c:v>53.802631808571974</c:v>
                </c:pt>
                <c:pt idx="47">
                  <c:v>68.838777443638222</c:v>
                </c:pt>
                <c:pt idx="48">
                  <c:v>87.941211500002069</c:v>
                </c:pt>
                <c:pt idx="49">
                  <c:v>112.12478287547087</c:v>
                </c:pt>
                <c:pt idx="50">
                  <c:v>142.60570970733662</c:v>
                </c:pt>
                <c:pt idx="51">
                  <c:v>180.81001390718257</c:v>
                </c:pt>
                <c:pt idx="52">
                  <c:v>228.36114522065824</c:v>
                </c:pt>
                <c:pt idx="53">
                  <c:v>287.03361950973061</c:v>
                </c:pt>
                <c:pt idx="54">
                  <c:v>358.65698947902229</c:v>
                </c:pt>
                <c:pt idx="55">
                  <c:v>444.95513627475549</c:v>
                </c:pt>
                <c:pt idx="56">
                  <c:v>547.31299502011814</c:v>
                </c:pt>
                <c:pt idx="57">
                  <c:v>666.4797749259418</c:v>
                </c:pt>
                <c:pt idx="58">
                  <c:v>802.24544434231291</c:v>
                </c:pt>
                <c:pt idx="59">
                  <c:v>953.16038448109271</c:v>
                </c:pt>
                <c:pt idx="60">
                  <c:v>1116.3922969296002</c:v>
                </c:pt>
                <c:pt idx="61">
                  <c:v>1287.8093026075937</c:v>
                </c:pt>
                <c:pt idx="62">
                  <c:v>1462.3294454877762</c:v>
                </c:pt>
                <c:pt idx="63">
                  <c:v>1634.4926046839259</c:v>
                </c:pt>
                <c:pt idx="64">
                  <c:v>1799.1267947492811</c:v>
                </c:pt>
                <c:pt idx="65">
                  <c:v>1951.9422568517759</c:v>
                </c:pt>
                <c:pt idx="66">
                  <c:v>2089.9163990481611</c:v>
                </c:pt>
                <c:pt idx="67">
                  <c:v>2211.4129195882319</c:v>
                </c:pt>
                <c:pt idx="68">
                  <c:v>2658.243710571182</c:v>
                </c:pt>
                <c:pt idx="69" formatCode="0.00E+00">
                  <c:v>2753.5926289641416</c:v>
                </c:pt>
                <c:pt idx="70" formatCode="0.00E+00">
                  <c:v>2770.6236759629255</c:v>
                </c:pt>
                <c:pt idx="71" formatCode="0.00E+00">
                  <c:v>2773.5635085671247</c:v>
                </c:pt>
                <c:pt idx="72" formatCode="0.00E+00">
                  <c:v>2774.0679433033524</c:v>
                </c:pt>
                <c:pt idx="73" formatCode="0.00E+00">
                  <c:v>2774.1544083003901</c:v>
                </c:pt>
                <c:pt idx="74" formatCode="0.00E+00">
                  <c:v>2774.1692266220412</c:v>
                </c:pt>
                <c:pt idx="75" formatCode="0.00E+00">
                  <c:v>2774.1717661006874</c:v>
                </c:pt>
                <c:pt idx="76" formatCode="0.00E+00">
                  <c:v>2774.1722012996597</c:v>
                </c:pt>
                <c:pt idx="77" formatCode="0.00E+00">
                  <c:v>2774.1722758811011</c:v>
                </c:pt>
                <c:pt idx="78" formatCode="0.00E+00">
                  <c:v>2774.1722886623593</c:v>
                </c:pt>
                <c:pt idx="79" formatCode="0.00E+00">
                  <c:v>2774.172290852724</c:v>
                </c:pt>
                <c:pt idx="80" formatCode="0.00E+00">
                  <c:v>2774.1722912280939</c:v>
                </c:pt>
                <c:pt idx="81" formatCode="0.00E+00">
                  <c:v>2774.172291292422</c:v>
                </c:pt>
                <c:pt idx="82" formatCode="0.00E+00">
                  <c:v>2774.1722913034464</c:v>
                </c:pt>
                <c:pt idx="83" formatCode="0.00E+00">
                  <c:v>2774.1722913053354</c:v>
                </c:pt>
                <c:pt idx="84" formatCode="0.00E+00">
                  <c:v>2774.1722913056592</c:v>
                </c:pt>
                <c:pt idx="85" formatCode="0.00E+00">
                  <c:v>2774.1722913057147</c:v>
                </c:pt>
                <c:pt idx="86" formatCode="0.00E+00">
                  <c:v>2774.1722913057238</c:v>
                </c:pt>
                <c:pt idx="87" formatCode="0.00E+00">
                  <c:v>2774.1722913057256</c:v>
                </c:pt>
                <c:pt idx="88" formatCode="0.00E+00">
                  <c:v>2774.172291305726</c:v>
                </c:pt>
                <c:pt idx="89" formatCode="0.00E+00">
                  <c:v>2774.172291305726</c:v>
                </c:pt>
                <c:pt idx="90" formatCode="0.00E+00">
                  <c:v>2774.172291305726</c:v>
                </c:pt>
                <c:pt idx="91" formatCode="0.00E+00">
                  <c:v>2774.172291305726</c:v>
                </c:pt>
                <c:pt idx="92" formatCode="0.00E+00">
                  <c:v>2774.172291305726</c:v>
                </c:pt>
                <c:pt idx="93" formatCode="0.00E+00">
                  <c:v>2774.172291305726</c:v>
                </c:pt>
                <c:pt idx="94" formatCode="0.00E+00">
                  <c:v>2774.172291305726</c:v>
                </c:pt>
                <c:pt idx="95" formatCode="0.00E+00">
                  <c:v>2774.172291305726</c:v>
                </c:pt>
                <c:pt idx="96" formatCode="0.00E+00">
                  <c:v>2774.172291305726</c:v>
                </c:pt>
                <c:pt idx="97" formatCode="0.00E+00">
                  <c:v>2774.172291305726</c:v>
                </c:pt>
                <c:pt idx="98" formatCode="0.00E+00">
                  <c:v>2774.172291305726</c:v>
                </c:pt>
                <c:pt idx="99" formatCode="0.00E+00">
                  <c:v>2774.172291305726</c:v>
                </c:pt>
                <c:pt idx="100" formatCode="0.00E+00">
                  <c:v>2774.172291305726</c:v>
                </c:pt>
                <c:pt idx="101" formatCode="0.00E+00">
                  <c:v>2774.172291305726</c:v>
                </c:pt>
                <c:pt idx="102" formatCode="0.00E+00">
                  <c:v>2774.172291305726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myData!$DS$11:$DS$12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myData!$DT$11:$DT$12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98152"/>
        <c:axId val="782391880"/>
      </c:scatterChart>
      <c:valAx>
        <c:axId val="782398152"/>
        <c:scaling>
          <c:orientation val="minMax"/>
          <c:max val="43967"/>
          <c:min val="4385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91880"/>
        <c:crosses val="autoZero"/>
        <c:crossBetween val="midCat"/>
        <c:majorUnit val="14"/>
        <c:minorUnit val="7"/>
      </c:valAx>
      <c:valAx>
        <c:axId val="782391880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98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73269840233468"/>
          <c:y val="0.69945145225951777"/>
          <c:w val="0.19566127381957732"/>
          <c:h val="0.138030967030272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myData!$CX$12</c:f>
          <c:strCache>
            <c:ptCount val="1"/>
            <c:pt idx="0">
              <c:v>COVID19 NSW P(t) = b / {d+[( b/Po - d ) ]* exp(-b*t)}
b=0.209, d=2.17E-05, P0=.004 Limit=11.9 k=&gt;9.60 k cases 
 26-Mar,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012874199786517E-2"/>
          <c:y val="0.21199674298138474"/>
          <c:w val="0.45877135106010902"/>
          <c:h val="0.70994083660334528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61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61"/>
                <c:pt idx="0">
                  <c:v>3.7128712871287126</c:v>
                </c:pt>
                <c:pt idx="1">
                  <c:v>4.9504950495049505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7.4257425742574252</c:v>
                </c:pt>
                <c:pt idx="36">
                  <c:v>7.4257425742574252</c:v>
                </c:pt>
                <c:pt idx="37">
                  <c:v>16.089108910891088</c:v>
                </c:pt>
                <c:pt idx="38">
                  <c:v>27.227722772277225</c:v>
                </c:pt>
                <c:pt idx="39">
                  <c:v>27.227722772277225</c:v>
                </c:pt>
                <c:pt idx="40">
                  <c:v>32.178217821782177</c:v>
                </c:pt>
                <c:pt idx="41">
                  <c:v>34.653465346534652</c:v>
                </c:pt>
                <c:pt idx="42">
                  <c:v>47.029702970297024</c:v>
                </c:pt>
                <c:pt idx="43">
                  <c:v>59.405940594059402</c:v>
                </c:pt>
                <c:pt idx="44">
                  <c:v>68.06930693069306</c:v>
                </c:pt>
                <c:pt idx="45">
                  <c:v>80.445544554455438</c:v>
                </c:pt>
                <c:pt idx="46">
                  <c:v>80.445544554455438</c:v>
                </c:pt>
                <c:pt idx="47">
                  <c:v>113.86138613861385</c:v>
                </c:pt>
                <c:pt idx="48">
                  <c:v>138.61386138613861</c:v>
                </c:pt>
                <c:pt idx="49">
                  <c:v>165.84158415841583</c:v>
                </c:pt>
                <c:pt idx="50">
                  <c:v>211.63366336633663</c:v>
                </c:pt>
                <c:pt idx="51">
                  <c:v>259.9009900990099</c:v>
                </c:pt>
                <c:pt idx="52">
                  <c:v>330.44554455445541</c:v>
                </c:pt>
                <c:pt idx="53">
                  <c:v>379.95049504950492</c:v>
                </c:pt>
                <c:pt idx="54">
                  <c:v>436.88118811881185</c:v>
                </c:pt>
                <c:pt idx="55">
                  <c:v>539.60396039603961</c:v>
                </c:pt>
                <c:pt idx="56">
                  <c:v>827.97029702970292</c:v>
                </c:pt>
                <c:pt idx="57">
                  <c:v>827.97029702970292</c:v>
                </c:pt>
                <c:pt idx="58">
                  <c:v>1012.3762376237623</c:v>
                </c:pt>
                <c:pt idx="59">
                  <c:v>1273.5148514851485</c:v>
                </c:pt>
                <c:pt idx="60">
                  <c:v>1508.6633663366335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11.9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43922</c:v>
                </c:pt>
                <c:pt idx="67">
                  <c:v>43923</c:v>
                </c:pt>
                <c:pt idx="68">
                  <c:v>43930</c:v>
                </c:pt>
                <c:pt idx="69">
                  <c:v>43937</c:v>
                </c:pt>
                <c:pt idx="70">
                  <c:v>43944</c:v>
                </c:pt>
                <c:pt idx="71">
                  <c:v>43951</c:v>
                </c:pt>
                <c:pt idx="72">
                  <c:v>43958</c:v>
                </c:pt>
                <c:pt idx="73">
                  <c:v>43965</c:v>
                </c:pt>
                <c:pt idx="74">
                  <c:v>43972</c:v>
                </c:pt>
                <c:pt idx="75">
                  <c:v>43979</c:v>
                </c:pt>
                <c:pt idx="76">
                  <c:v>43986</c:v>
                </c:pt>
                <c:pt idx="77">
                  <c:v>43993</c:v>
                </c:pt>
                <c:pt idx="78">
                  <c:v>44000</c:v>
                </c:pt>
                <c:pt idx="79">
                  <c:v>44007</c:v>
                </c:pt>
                <c:pt idx="80">
                  <c:v>44014</c:v>
                </c:pt>
                <c:pt idx="81">
                  <c:v>44021</c:v>
                </c:pt>
                <c:pt idx="82">
                  <c:v>44028</c:v>
                </c:pt>
                <c:pt idx="83">
                  <c:v>44035</c:v>
                </c:pt>
                <c:pt idx="84">
                  <c:v>44042</c:v>
                </c:pt>
                <c:pt idx="85">
                  <c:v>44049</c:v>
                </c:pt>
                <c:pt idx="86">
                  <c:v>44056</c:v>
                </c:pt>
                <c:pt idx="87">
                  <c:v>44063</c:v>
                </c:pt>
                <c:pt idx="88">
                  <c:v>44070</c:v>
                </c:pt>
                <c:pt idx="89">
                  <c:v>44077</c:v>
                </c:pt>
                <c:pt idx="90">
                  <c:v>44084</c:v>
                </c:pt>
                <c:pt idx="91">
                  <c:v>44091</c:v>
                </c:pt>
                <c:pt idx="92">
                  <c:v>44098</c:v>
                </c:pt>
                <c:pt idx="93">
                  <c:v>44105</c:v>
                </c:pt>
                <c:pt idx="94">
                  <c:v>44112</c:v>
                </c:pt>
                <c:pt idx="95">
                  <c:v>44119</c:v>
                </c:pt>
                <c:pt idx="96">
                  <c:v>44126</c:v>
                </c:pt>
                <c:pt idx="97">
                  <c:v>44133</c:v>
                </c:pt>
                <c:pt idx="98">
                  <c:v>44140</c:v>
                </c:pt>
                <c:pt idx="99">
                  <c:v>44147</c:v>
                </c:pt>
                <c:pt idx="100">
                  <c:v>44154</c:v>
                </c:pt>
                <c:pt idx="101">
                  <c:v>44161</c:v>
                </c:pt>
                <c:pt idx="102">
                  <c:v>44168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3"/>
                <c:pt idx="0">
                  <c:v>6.3712984807301754E-3</c:v>
                </c:pt>
                <c:pt idx="1">
                  <c:v>7.8487840642898453E-3</c:v>
                </c:pt>
                <c:pt idx="2">
                  <c:v>9.6688939778353522E-3</c:v>
                </c:pt>
                <c:pt idx="3">
                  <c:v>1.1911081597819484E-2</c:v>
                </c:pt>
                <c:pt idx="4">
                  <c:v>1.4673225184410197E-2</c:v>
                </c:pt>
                <c:pt idx="5">
                  <c:v>1.807590049120817E-2</c:v>
                </c:pt>
                <c:pt idx="6">
                  <c:v>2.226764414513269E-2</c:v>
                </c:pt>
                <c:pt idx="7">
                  <c:v>2.743143753458533E-2</c:v>
                </c:pt>
                <c:pt idx="8">
                  <c:v>3.3792694209925055E-2</c:v>
                </c:pt>
                <c:pt idx="9">
                  <c:v>4.1629099413407263E-2</c:v>
                </c:pt>
                <c:pt idx="10">
                  <c:v>5.1282731176733508E-2</c:v>
                </c:pt>
                <c:pt idx="11">
                  <c:v>6.3174991975944172E-2</c:v>
                </c:pt>
                <c:pt idx="12">
                  <c:v>7.7825002553146866E-2</c:v>
                </c:pt>
                <c:pt idx="13">
                  <c:v>9.5872260542864726E-2</c:v>
                </c:pt>
                <c:pt idx="14">
                  <c:v>0.11810455255167786</c:v>
                </c:pt>
                <c:pt idx="15">
                  <c:v>0.14549233742475587</c:v>
                </c:pt>
                <c:pt idx="16">
                  <c:v>0.17923110054882554</c:v>
                </c:pt>
                <c:pt idx="17">
                  <c:v>0.22079352643764122</c:v>
                </c:pt>
                <c:pt idx="18">
                  <c:v>0.27199376458837904</c:v>
                </c:pt>
                <c:pt idx="19">
                  <c:v>0.3350665902065712</c:v>
                </c:pt>
                <c:pt idx="20">
                  <c:v>0.41276490963182538</c:v>
                </c:pt>
                <c:pt idx="21">
                  <c:v>0.508479858105782</c:v>
                </c:pt>
                <c:pt idx="22">
                  <c:v>0.62638871920597339</c:v>
                </c:pt>
                <c:pt idx="23">
                  <c:v>0.77163710287616338</c:v>
                </c:pt>
                <c:pt idx="24">
                  <c:v>0.95056330401493339</c:v>
                </c:pt>
                <c:pt idx="25">
                  <c:v>1.1709745890210341</c:v>
                </c:pt>
                <c:pt idx="26">
                  <c:v>1.4424874004241792</c:v>
                </c:pt>
                <c:pt idx="27">
                  <c:v>1.7769462234123128</c:v>
                </c:pt>
                <c:pt idx="28">
                  <c:v>2.1889392364740052</c:v>
                </c:pt>
                <c:pt idx="29">
                  <c:v>2.6964330092326785</c:v>
                </c:pt>
                <c:pt idx="30">
                  <c:v>3.3215535798391</c:v>
                </c:pt>
                <c:pt idx="31">
                  <c:v>4.0915474409086281</c:v>
                </c:pt>
                <c:pt idx="32">
                  <c:v>5.0399635235325233</c:v>
                </c:pt>
                <c:pt idx="33">
                  <c:v>6.208106472073557</c:v>
                </c:pt>
                <c:pt idx="34">
                  <c:v>7.6468226723816715</c:v>
                </c:pt>
                <c:pt idx="35">
                  <c:v>9.4186940029785617</c:v>
                </c:pt>
                <c:pt idx="36">
                  <c:v>11.600730535048687</c:v>
                </c:pt>
                <c:pt idx="37">
                  <c:v>14.287672855037508</c:v>
                </c:pt>
                <c:pt idx="38">
                  <c:v>17.596037769575929</c:v>
                </c:pt>
                <c:pt idx="39">
                  <c:v>21.669068278614812</c:v>
                </c:pt>
                <c:pt idx="40">
                  <c:v>26.682780144797977</c:v>
                </c:pt>
                <c:pt idx="41">
                  <c:v>32.853333158594644</c:v>
                </c:pt>
                <c:pt idx="42">
                  <c:v>40.445994834390724</c:v>
                </c:pt>
                <c:pt idx="43">
                  <c:v>49.786006493631319</c:v>
                </c:pt>
                <c:pt idx="44">
                  <c:v>61.271703896265599</c:v>
                </c:pt>
                <c:pt idx="45">
                  <c:v>75.390282094892427</c:v>
                </c:pt>
                <c:pt idx="46">
                  <c:v>92.736619165176265</c:v>
                </c:pt>
                <c:pt idx="47">
                  <c:v>114.03557336852663</c:v>
                </c:pt>
                <c:pt idx="48">
                  <c:v>140.16812379875256</c:v>
                </c:pt>
                <c:pt idx="49">
                  <c:v>172.20160683402094</c:v>
                </c:pt>
                <c:pt idx="50">
                  <c:v>211.42406819814897</c:v>
                </c:pt>
                <c:pt idx="51">
                  <c:v>259.38234538965673</c:v>
                </c:pt>
                <c:pt idx="52">
                  <c:v>317.92284106745399</c:v>
                </c:pt>
                <c:pt idx="53">
                  <c:v>389.23294933643001</c:v>
                </c:pt>
                <c:pt idx="54">
                  <c:v>475.87964623656359</c:v>
                </c:pt>
                <c:pt idx="55">
                  <c:v>580.83975269771838</c:v>
                </c:pt>
                <c:pt idx="56">
                  <c:v>707.51377059479773</c:v>
                </c:pt>
                <c:pt idx="57">
                  <c:v>859.71205066950142</c:v>
                </c:pt>
                <c:pt idx="58">
                  <c:v>1041.5986850414913</c:v>
                </c:pt>
                <c:pt idx="59">
                  <c:v>1257.5756347546417</c:v>
                </c:pt>
                <c:pt idx="60">
                  <c:v>1512.0884766621496</c:v>
                </c:pt>
                <c:pt idx="61">
                  <c:v>1809.3377049792223</c:v>
                </c:pt>
                <c:pt idx="62">
                  <c:v>2152.8881502544336</c:v>
                </c:pt>
                <c:pt idx="63">
                  <c:v>2545.1859962546355</c:v>
                </c:pt>
                <c:pt idx="64">
                  <c:v>2987.0187662352032</c:v>
                </c:pt>
                <c:pt idx="65">
                  <c:v>3476.9857623387938</c:v>
                </c:pt>
                <c:pt idx="66">
                  <c:v>4011.0769128489947</c:v>
                </c:pt>
                <c:pt idx="67">
                  <c:v>4582.4739601766814</c:v>
                </c:pt>
                <c:pt idx="68">
                  <c:v>8672.7236910020129</c:v>
                </c:pt>
                <c:pt idx="69" formatCode="0.00E+00">
                  <c:v>10940.930780631754</c:v>
                </c:pt>
                <c:pt idx="70" formatCode="0.00E+00">
                  <c:v>11648.511933451053</c:v>
                </c:pt>
                <c:pt idx="71" formatCode="0.00E+00">
                  <c:v>11826.153299668858</c:v>
                </c:pt>
                <c:pt idx="72" formatCode="0.00E+00">
                  <c:v>11868.190790849338</c:v>
                </c:pt>
                <c:pt idx="73" formatCode="0.00E+00">
                  <c:v>11877.99731544269</c:v>
                </c:pt>
                <c:pt idx="74" formatCode="0.00E+00">
                  <c:v>11880.277320420282</c:v>
                </c:pt>
                <c:pt idx="75" formatCode="0.00E+00">
                  <c:v>11880.807004753402</c:v>
                </c:pt>
                <c:pt idx="76" formatCode="0.00E+00">
                  <c:v>11880.930037183418</c:v>
                </c:pt>
                <c:pt idx="77" formatCode="0.00E+00">
                  <c:v>11880.958613336119</c:v>
                </c:pt>
                <c:pt idx="78" formatCode="0.00E+00">
                  <c:v>11880.965250517091</c:v>
                </c:pt>
                <c:pt idx="79" formatCode="0.00E+00">
                  <c:v>11880.966792084682</c:v>
                </c:pt>
                <c:pt idx="80" formatCode="0.00E+00">
                  <c:v>11880.967150132688</c:v>
                </c:pt>
                <c:pt idx="81" formatCode="0.00E+00">
                  <c:v>11880.967233293723</c:v>
                </c:pt>
                <c:pt idx="82" formatCode="0.00E+00">
                  <c:v>11880.967252608893</c:v>
                </c:pt>
                <c:pt idx="83" formatCode="0.00E+00">
                  <c:v>11880.967257095075</c:v>
                </c:pt>
                <c:pt idx="84" formatCode="0.00E+00">
                  <c:v>11880.967258137045</c:v>
                </c:pt>
                <c:pt idx="85" formatCode="0.00E+00">
                  <c:v>11880.967258379056</c:v>
                </c:pt>
                <c:pt idx="86" formatCode="0.00E+00">
                  <c:v>11880.967258435265</c:v>
                </c:pt>
                <c:pt idx="87" formatCode="0.00E+00">
                  <c:v>11880.96725844832</c:v>
                </c:pt>
                <c:pt idx="88" formatCode="0.00E+00">
                  <c:v>11880.967258451356</c:v>
                </c:pt>
                <c:pt idx="89" formatCode="0.00E+00">
                  <c:v>11880.967258452059</c:v>
                </c:pt>
                <c:pt idx="90" formatCode="0.00E+00">
                  <c:v>11880.967258452221</c:v>
                </c:pt>
                <c:pt idx="91" formatCode="0.00E+00">
                  <c:v>11880.96725845226</c:v>
                </c:pt>
                <c:pt idx="92" formatCode="0.00E+00">
                  <c:v>11880.967258452269</c:v>
                </c:pt>
                <c:pt idx="93" formatCode="0.00E+00">
                  <c:v>11880.96725845227</c:v>
                </c:pt>
                <c:pt idx="94" formatCode="0.00E+00">
                  <c:v>11880.96725845227</c:v>
                </c:pt>
                <c:pt idx="95" formatCode="0.00E+00">
                  <c:v>11880.96725845227</c:v>
                </c:pt>
                <c:pt idx="96" formatCode="0.00E+00">
                  <c:v>11880.96725845227</c:v>
                </c:pt>
                <c:pt idx="97" formatCode="0.00E+00">
                  <c:v>11880.96725845227</c:v>
                </c:pt>
                <c:pt idx="98" formatCode="0.00E+00">
                  <c:v>11880.96725845227</c:v>
                </c:pt>
                <c:pt idx="99" formatCode="0.00E+00">
                  <c:v>11880.96725845227</c:v>
                </c:pt>
                <c:pt idx="100" formatCode="0.00E+00">
                  <c:v>11880.96725845227</c:v>
                </c:pt>
                <c:pt idx="101" formatCode="0.00E+00">
                  <c:v>11880.96725845227</c:v>
                </c:pt>
                <c:pt idx="102" formatCode="0.00E+00">
                  <c:v>11880.96725845227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4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5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6"/>
                <c:pt idx="0">
                  <c:v>0.33066049433743905</c:v>
                </c:pt>
                <c:pt idx="1">
                  <c:v>0.33066049433743905</c:v>
                </c:pt>
                <c:pt idx="2">
                  <c:v>0.33066049433743905</c:v>
                </c:pt>
                <c:pt idx="3">
                  <c:v>0.33066049433743905</c:v>
                </c:pt>
                <c:pt idx="4">
                  <c:v>0.33066049433743905</c:v>
                </c:pt>
                <c:pt idx="5">
                  <c:v>0.33066049433743905</c:v>
                </c:pt>
                <c:pt idx="6">
                  <c:v>0.33066049433743905</c:v>
                </c:pt>
                <c:pt idx="7">
                  <c:v>0.49599074150615857</c:v>
                </c:pt>
                <c:pt idx="8">
                  <c:v>0.49599074150615857</c:v>
                </c:pt>
                <c:pt idx="9">
                  <c:v>0.49599074150615857</c:v>
                </c:pt>
                <c:pt idx="10">
                  <c:v>0.49599074150615857</c:v>
                </c:pt>
                <c:pt idx="11">
                  <c:v>0.49599074150615857</c:v>
                </c:pt>
                <c:pt idx="12">
                  <c:v>0.49599074150615857</c:v>
                </c:pt>
                <c:pt idx="13">
                  <c:v>0.49599074150615857</c:v>
                </c:pt>
                <c:pt idx="14">
                  <c:v>0.49599074150615857</c:v>
                </c:pt>
                <c:pt idx="15">
                  <c:v>0.49599074150615857</c:v>
                </c:pt>
                <c:pt idx="16">
                  <c:v>0.49599074150615857</c:v>
                </c:pt>
                <c:pt idx="17">
                  <c:v>0.49599074150615857</c:v>
                </c:pt>
                <c:pt idx="18">
                  <c:v>0.49599074150615857</c:v>
                </c:pt>
                <c:pt idx="19">
                  <c:v>0.49599074150615857</c:v>
                </c:pt>
                <c:pt idx="20">
                  <c:v>0.49599074150615857</c:v>
                </c:pt>
                <c:pt idx="21">
                  <c:v>3.3066049433743903</c:v>
                </c:pt>
                <c:pt idx="22" formatCode="##0.0E+00">
                  <c:v>10.250475324460611</c:v>
                </c:pt>
                <c:pt idx="23" formatCode="##0.0E+00">
                  <c:v>25.626188311151527</c:v>
                </c:pt>
                <c:pt idx="24" formatCode="##0.0E+00">
                  <c:v>37.860626601636774</c:v>
                </c:pt>
                <c:pt idx="25" formatCode="##0.0E+00">
                  <c:v>53.236339588327688</c:v>
                </c:pt>
                <c:pt idx="26" formatCode="##0.0E+00">
                  <c:v>74.894601967429949</c:v>
                </c:pt>
                <c:pt idx="27" formatCode="##0.0E+00">
                  <c:v>108.29131189551129</c:v>
                </c:pt>
                <c:pt idx="28" formatCode="##0.0E+00">
                  <c:v>146.81325948582293</c:v>
                </c:pt>
                <c:pt idx="29" formatCode="##0.0E+00">
                  <c:v>186.49251880631562</c:v>
                </c:pt>
                <c:pt idx="30" formatCode="##0.0E+00">
                  <c:v>280.06943870381087</c:v>
                </c:pt>
                <c:pt idx="31" formatCode="##0.0E+00">
                  <c:v>336.61238323551294</c:v>
                </c:pt>
                <c:pt idx="32" formatCode="##0.0E+00">
                  <c:v>413.65627841613627</c:v>
                </c:pt>
                <c:pt idx="33" formatCode="##0.0E+00">
                  <c:v>510.70513350417463</c:v>
                </c:pt>
                <c:pt idx="34" formatCode="##0.0E+00">
                  <c:v>637.84409357691993</c:v>
                </c:pt>
                <c:pt idx="35" formatCode="##0.0E+00">
                  <c:v>766.47102587418374</c:v>
                </c:pt>
                <c:pt idx="36" formatCode="##0.0E+00">
                  <c:v>972.63784409357697</c:v>
                </c:pt>
                <c:pt idx="37" formatCode="##0.0E+00">
                  <c:v>1219.3105728693065</c:v>
                </c:pt>
                <c:pt idx="38" formatCode="##0.0E+00">
                  <c:v>1516.4090270314955</c:v>
                </c:pt>
                <c:pt idx="39" formatCode="##0.0E+00">
                  <c:v>1677.9366785153345</c:v>
                </c:pt>
                <c:pt idx="40" formatCode="##0.0E+00">
                  <c:v>2060.3455402165828</c:v>
                </c:pt>
                <c:pt idx="41" formatCode="##0.0E+00">
                  <c:v>2490.0388526080847</c:v>
                </c:pt>
                <c:pt idx="42" formatCode="##0.0E+00">
                  <c:v>2919.732164999587</c:v>
                </c:pt>
                <c:pt idx="43" formatCode="##0.0E+00">
                  <c:v>3497.8920393485992</c:v>
                </c:pt>
                <c:pt idx="44" formatCode="##0.0E+00">
                  <c:v>4091.4276266843021</c:v>
                </c:pt>
                <c:pt idx="45" formatCode="##0.0E+00">
                  <c:v>4625.9403157807719</c:v>
                </c:pt>
                <c:pt idx="46" formatCode="##0.0E+00">
                  <c:v>5208.8947672976774</c:v>
                </c:pt>
                <c:pt idx="47" formatCode="##0.0E+00">
                  <c:v>5904.4391171364805</c:v>
                </c:pt>
                <c:pt idx="48" formatCode="##0.0E+00">
                  <c:v>6784.3266925684056</c:v>
                </c:pt>
                <c:pt idx="49" formatCode="##0.0E+00">
                  <c:v>7773.9935521203606</c:v>
                </c:pt>
                <c:pt idx="50" formatCode="##0.0E+00">
                  <c:v>8858.0639828056555</c:v>
                </c:pt>
                <c:pt idx="51" formatCode="##0.0E+00">
                  <c:v>9777.3001570637352</c:v>
                </c:pt>
                <c:pt idx="52" formatCode="##0.0E+00">
                  <c:v>10569.066710754732</c:v>
                </c:pt>
                <c:pt idx="53" formatCode="##0.0E+00">
                  <c:v>11436.885178143342</c:v>
                </c:pt>
                <c:pt idx="54">
                  <c:v>12298.255765892371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12.6 k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8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  <c:pt idx="55">
                  <c:v>43916</c:v>
                </c:pt>
                <c:pt idx="56">
                  <c:v>43917</c:v>
                </c:pt>
                <c:pt idx="57">
                  <c:v>43918</c:v>
                </c:pt>
                <c:pt idx="58">
                  <c:v>43919</c:v>
                </c:pt>
                <c:pt idx="59">
                  <c:v>43920</c:v>
                </c:pt>
                <c:pt idx="60">
                  <c:v>43921</c:v>
                </c:pt>
                <c:pt idx="61">
                  <c:v>43922</c:v>
                </c:pt>
                <c:pt idx="62">
                  <c:v>43923</c:v>
                </c:pt>
                <c:pt idx="63">
                  <c:v>43930</c:v>
                </c:pt>
                <c:pt idx="64">
                  <c:v>43937</c:v>
                </c:pt>
                <c:pt idx="65">
                  <c:v>43944</c:v>
                </c:pt>
                <c:pt idx="66">
                  <c:v>43951</c:v>
                </c:pt>
                <c:pt idx="67">
                  <c:v>43958</c:v>
                </c:pt>
                <c:pt idx="68">
                  <c:v>43965</c:v>
                </c:pt>
                <c:pt idx="69">
                  <c:v>43972</c:v>
                </c:pt>
                <c:pt idx="70">
                  <c:v>43979</c:v>
                </c:pt>
                <c:pt idx="71">
                  <c:v>43986</c:v>
                </c:pt>
                <c:pt idx="72">
                  <c:v>43993</c:v>
                </c:pt>
                <c:pt idx="73">
                  <c:v>44000</c:v>
                </c:pt>
                <c:pt idx="74">
                  <c:v>44007</c:v>
                </c:pt>
                <c:pt idx="75">
                  <c:v>44014</c:v>
                </c:pt>
                <c:pt idx="76">
                  <c:v>44021</c:v>
                </c:pt>
                <c:pt idx="77">
                  <c:v>44028</c:v>
                </c:pt>
                <c:pt idx="78">
                  <c:v>44035</c:v>
                </c:pt>
                <c:pt idx="79">
                  <c:v>44042</c:v>
                </c:pt>
                <c:pt idx="80">
                  <c:v>44049</c:v>
                </c:pt>
                <c:pt idx="81">
                  <c:v>44056</c:v>
                </c:pt>
                <c:pt idx="82">
                  <c:v>44063</c:v>
                </c:pt>
                <c:pt idx="83">
                  <c:v>44070</c:v>
                </c:pt>
                <c:pt idx="84">
                  <c:v>44077</c:v>
                </c:pt>
                <c:pt idx="85">
                  <c:v>44084</c:v>
                </c:pt>
                <c:pt idx="86">
                  <c:v>44091</c:v>
                </c:pt>
                <c:pt idx="87">
                  <c:v>44098</c:v>
                </c:pt>
                <c:pt idx="88">
                  <c:v>44105</c:v>
                </c:pt>
                <c:pt idx="89">
                  <c:v>44112</c:v>
                </c:pt>
                <c:pt idx="90">
                  <c:v>44119</c:v>
                </c:pt>
                <c:pt idx="91">
                  <c:v>44126</c:v>
                </c:pt>
                <c:pt idx="92">
                  <c:v>44133</c:v>
                </c:pt>
                <c:pt idx="93">
                  <c:v>44140</c:v>
                </c:pt>
                <c:pt idx="94">
                  <c:v>44147</c:v>
                </c:pt>
                <c:pt idx="95">
                  <c:v>44154</c:v>
                </c:pt>
                <c:pt idx="96">
                  <c:v>44161</c:v>
                </c:pt>
                <c:pt idx="97">
                  <c:v>44168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8"/>
                <c:pt idx="0">
                  <c:v>0.12240853858695699</c:v>
                </c:pt>
                <c:pt idx="1">
                  <c:v>0.1583628730928473</c:v>
                </c:pt>
                <c:pt idx="2">
                  <c:v>0.20487768910249429</c:v>
                </c:pt>
                <c:pt idx="3">
                  <c:v>0.26505468779382163</c:v>
                </c:pt>
                <c:pt idx="4">
                  <c:v>0.34290648765903037</c:v>
                </c:pt>
                <c:pt idx="5">
                  <c:v>0.4436240929393882</c:v>
                </c:pt>
                <c:pt idx="6">
                  <c:v>0.57392286213201427</c:v>
                </c:pt>
                <c:pt idx="7">
                  <c:v>0.74248999189637677</c:v>
                </c:pt>
                <c:pt idx="8">
                  <c:v>0.96056326342689469</c:v>
                </c:pt>
                <c:pt idx="9">
                  <c:v>1.2426794882069432</c:v>
                </c:pt>
                <c:pt idx="10">
                  <c:v>1.6076423002591296</c:v>
                </c:pt>
                <c:pt idx="11">
                  <c:v>2.0797733912641552</c:v>
                </c:pt>
                <c:pt idx="12">
                  <c:v>2.6905298885442641</c:v>
                </c:pt>
                <c:pt idx="13">
                  <c:v>3.480594493832196</c:v>
                </c:pt>
                <c:pt idx="14">
                  <c:v>4.5025756931739878</c:v>
                </c:pt>
                <c:pt idx="15">
                  <c:v>5.824494636894932</c:v>
                </c:pt>
                <c:pt idx="16">
                  <c:v>7.5342854176167791</c:v>
                </c:pt>
                <c:pt idx="17">
                  <c:v>9.7455991603557539</c:v>
                </c:pt>
                <c:pt idx="18">
                  <c:v>12.605282785452665</c:v>
                </c:pt>
                <c:pt idx="19">
                  <c:v>16.303004142168387</c:v>
                </c:pt>
                <c:pt idx="20">
                  <c:v>21.083620282854319</c:v>
                </c:pt>
                <c:pt idx="21">
                  <c:v>27.263038527230602</c:v>
                </c:pt>
                <c:pt idx="22">
                  <c:v>35.248502979906938</c:v>
                </c:pt>
                <c:pt idx="23">
                  <c:v>45.564451586619064</c:v>
                </c:pt>
                <c:pt idx="24">
                  <c:v>58.88532368429447</c:v>
                </c:pt>
                <c:pt idx="25">
                  <c:v>76.076936714109053</c:v>
                </c:pt>
                <c:pt idx="26">
                  <c:v>98.248254218165258</c:v>
                </c:pt>
                <c:pt idx="27">
                  <c:v>126.81546180333602</c:v>
                </c:pt>
                <c:pt idx="28">
                  <c:v>163.58012406414301</c:v>
                </c:pt>
                <c:pt idx="29">
                  <c:v>210.82259811419772</c:v>
                </c:pt>
                <c:pt idx="30">
                  <c:v>271.41048751891657</c:v>
                </c:pt>
                <c:pt idx="31">
                  <c:v>348.91922456337272</c:v>
                </c:pt>
                <c:pt idx="32">
                  <c:v>447.75716243775247</c:v>
                </c:pt>
                <c:pt idx="33">
                  <c:v>573.27996988088182</c:v>
                </c:pt>
                <c:pt idx="34">
                  <c:v>731.86779271537603</c:v>
                </c:pt>
                <c:pt idx="35">
                  <c:v>930.92322448969901</c:v>
                </c:pt>
                <c:pt idx="36">
                  <c:v>1178.7297519187343</c:v>
                </c:pt>
                <c:pt idx="37">
                  <c:v>1484.0932884623826</c:v>
                </c:pt>
                <c:pt idx="38">
                  <c:v>1855.6831480420774</c:v>
                </c:pt>
                <c:pt idx="39">
                  <c:v>2301.0092055315536</c:v>
                </c:pt>
                <c:pt idx="40">
                  <c:v>2825.0387785599746</c:v>
                </c:pt>
                <c:pt idx="41">
                  <c:v>3428.5831866093272</c:v>
                </c:pt>
                <c:pt idx="42">
                  <c:v>4106.7568234858363</c:v>
                </c:pt>
                <c:pt idx="43">
                  <c:v>4847.9702085321342</c:v>
                </c:pt>
                <c:pt idx="44">
                  <c:v>5633.9562535064415</c:v>
                </c:pt>
                <c:pt idx="45">
                  <c:v>6441.1449346171048</c:v>
                </c:pt>
                <c:pt idx="46">
                  <c:v>7243.2934251108209</c:v>
                </c:pt>
                <c:pt idx="47">
                  <c:v>8014.8036482442476</c:v>
                </c:pt>
                <c:pt idx="48">
                  <c:v>8733.8708334931998</c:v>
                </c:pt>
                <c:pt idx="49">
                  <c:v>9384.6791774212252</c:v>
                </c:pt>
                <c:pt idx="50">
                  <c:v>9958.2491881017559</c:v>
                </c:pt>
                <c:pt idx="51">
                  <c:v>10452.018714107591</c:v>
                </c:pt>
                <c:pt idx="52">
                  <c:v>10868.572313677741</c:v>
                </c:pt>
                <c:pt idx="53">
                  <c:v>11214.025621862253</c:v>
                </c:pt>
                <c:pt idx="54">
                  <c:v>11496.473687834947</c:v>
                </c:pt>
                <c:pt idx="55">
                  <c:v>11724.737619230449</c:v>
                </c:pt>
                <c:pt idx="56">
                  <c:v>11907.484411988562</c:v>
                </c:pt>
                <c:pt idx="57">
                  <c:v>12052.691484549587</c:v>
                </c:pt>
                <c:pt idx="58">
                  <c:v>12167.380529921342</c:v>
                </c:pt>
                <c:pt idx="59">
                  <c:v>12257.537274031965</c:v>
                </c:pt>
                <c:pt idx="60">
                  <c:v>12328.145611035123</c:v>
                </c:pt>
                <c:pt idx="61">
                  <c:v>12383.282931289163</c:v>
                </c:pt>
                <c:pt idx="62">
                  <c:v>12542.782363206032</c:v>
                </c:pt>
                <c:pt idx="63">
                  <c:v>12569.471840392351</c:v>
                </c:pt>
                <c:pt idx="64">
                  <c:v>12573.88261914732</c:v>
                </c:pt>
                <c:pt idx="65">
                  <c:v>12574.610051250018</c:v>
                </c:pt>
                <c:pt idx="66">
                  <c:v>12574.729979479438</c:v>
                </c:pt>
                <c:pt idx="67">
                  <c:v>12574.749750356659</c:v>
                </c:pt>
                <c:pt idx="68">
                  <c:v>12574.753009672346</c:v>
                </c:pt>
                <c:pt idx="69">
                  <c:v>12574.753546983988</c:v>
                </c:pt>
                <c:pt idx="70">
                  <c:v>12574.753635562007</c:v>
                </c:pt>
                <c:pt idx="71">
                  <c:v>12574.753650164455</c:v>
                </c:pt>
                <c:pt idx="72">
                  <c:v>12574.75365257173</c:v>
                </c:pt>
                <c:pt idx="73">
                  <c:v>12574.753652968575</c:v>
                </c:pt>
                <c:pt idx="74">
                  <c:v>12574.753653033998</c:v>
                </c:pt>
                <c:pt idx="75">
                  <c:v>12574.753653044783</c:v>
                </c:pt>
                <c:pt idx="76">
                  <c:v>12574.753653046562</c:v>
                </c:pt>
                <c:pt idx="77">
                  <c:v>12574.753653046855</c:v>
                </c:pt>
                <c:pt idx="78">
                  <c:v>12574.753653046902</c:v>
                </c:pt>
                <c:pt idx="79">
                  <c:v>12574.75365304691</c:v>
                </c:pt>
                <c:pt idx="80">
                  <c:v>12574.753653046913</c:v>
                </c:pt>
                <c:pt idx="81">
                  <c:v>12574.753653046913</c:v>
                </c:pt>
                <c:pt idx="82">
                  <c:v>12574.753653046913</c:v>
                </c:pt>
                <c:pt idx="83">
                  <c:v>12574.753653046913</c:v>
                </c:pt>
                <c:pt idx="84">
                  <c:v>12574.753653046913</c:v>
                </c:pt>
                <c:pt idx="85">
                  <c:v>12574.753653046913</c:v>
                </c:pt>
                <c:pt idx="86">
                  <c:v>12574.753653046913</c:v>
                </c:pt>
                <c:pt idx="87">
                  <c:v>12574.753653046913</c:v>
                </c:pt>
                <c:pt idx="88">
                  <c:v>12574.753653046913</c:v>
                </c:pt>
                <c:pt idx="89">
                  <c:v>12574.753653046913</c:v>
                </c:pt>
                <c:pt idx="90">
                  <c:v>12574.753653046913</c:v>
                </c:pt>
                <c:pt idx="91">
                  <c:v>12574.753653046913</c:v>
                </c:pt>
                <c:pt idx="92">
                  <c:v>12574.753653046913</c:v>
                </c:pt>
                <c:pt idx="93">
                  <c:v>12574.753653046913</c:v>
                </c:pt>
                <c:pt idx="94">
                  <c:v>12574.753653046913</c:v>
                </c:pt>
                <c:pt idx="95">
                  <c:v>12574.753653046913</c:v>
                </c:pt>
                <c:pt idx="96">
                  <c:v>12574.753653046913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63"/>
                <c:pt idx="0">
                  <c:v>43853</c:v>
                </c:pt>
                <c:pt idx="1">
                  <c:v>43854</c:v>
                </c:pt>
                <c:pt idx="2">
                  <c:v>43855</c:v>
                </c:pt>
                <c:pt idx="3">
                  <c:v>43856</c:v>
                </c:pt>
                <c:pt idx="4">
                  <c:v>43857</c:v>
                </c:pt>
                <c:pt idx="5">
                  <c:v>43858</c:v>
                </c:pt>
                <c:pt idx="6">
                  <c:v>43859</c:v>
                </c:pt>
                <c:pt idx="7">
                  <c:v>43860</c:v>
                </c:pt>
                <c:pt idx="8">
                  <c:v>43861</c:v>
                </c:pt>
                <c:pt idx="9">
                  <c:v>43862</c:v>
                </c:pt>
                <c:pt idx="10">
                  <c:v>43863</c:v>
                </c:pt>
                <c:pt idx="11">
                  <c:v>43864</c:v>
                </c:pt>
                <c:pt idx="12">
                  <c:v>43865</c:v>
                </c:pt>
                <c:pt idx="13">
                  <c:v>43866</c:v>
                </c:pt>
                <c:pt idx="14">
                  <c:v>43867</c:v>
                </c:pt>
                <c:pt idx="15">
                  <c:v>43868</c:v>
                </c:pt>
                <c:pt idx="16">
                  <c:v>43869</c:v>
                </c:pt>
                <c:pt idx="17">
                  <c:v>43870</c:v>
                </c:pt>
                <c:pt idx="18">
                  <c:v>43871</c:v>
                </c:pt>
                <c:pt idx="19">
                  <c:v>43872</c:v>
                </c:pt>
                <c:pt idx="20">
                  <c:v>43873</c:v>
                </c:pt>
                <c:pt idx="21">
                  <c:v>43874</c:v>
                </c:pt>
                <c:pt idx="22">
                  <c:v>43875</c:v>
                </c:pt>
                <c:pt idx="23">
                  <c:v>43876</c:v>
                </c:pt>
                <c:pt idx="24">
                  <c:v>43877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43883</c:v>
                </c:pt>
                <c:pt idx="31">
                  <c:v>43884</c:v>
                </c:pt>
                <c:pt idx="32">
                  <c:v>43885</c:v>
                </c:pt>
                <c:pt idx="33">
                  <c:v>43886</c:v>
                </c:pt>
                <c:pt idx="34">
                  <c:v>43887</c:v>
                </c:pt>
                <c:pt idx="35">
                  <c:v>43888</c:v>
                </c:pt>
                <c:pt idx="36">
                  <c:v>43889</c:v>
                </c:pt>
                <c:pt idx="37">
                  <c:v>43890</c:v>
                </c:pt>
                <c:pt idx="38">
                  <c:v>43891</c:v>
                </c:pt>
                <c:pt idx="39">
                  <c:v>43892</c:v>
                </c:pt>
                <c:pt idx="40">
                  <c:v>43893</c:v>
                </c:pt>
                <c:pt idx="41">
                  <c:v>43894</c:v>
                </c:pt>
                <c:pt idx="42">
                  <c:v>43895</c:v>
                </c:pt>
                <c:pt idx="43">
                  <c:v>43896</c:v>
                </c:pt>
                <c:pt idx="44">
                  <c:v>43897</c:v>
                </c:pt>
                <c:pt idx="45">
                  <c:v>43898</c:v>
                </c:pt>
                <c:pt idx="46">
                  <c:v>43899</c:v>
                </c:pt>
                <c:pt idx="47">
                  <c:v>43900</c:v>
                </c:pt>
                <c:pt idx="48">
                  <c:v>43901</c:v>
                </c:pt>
                <c:pt idx="49">
                  <c:v>43902</c:v>
                </c:pt>
                <c:pt idx="50">
                  <c:v>43903</c:v>
                </c:pt>
                <c:pt idx="51">
                  <c:v>43904</c:v>
                </c:pt>
                <c:pt idx="52">
                  <c:v>43905</c:v>
                </c:pt>
                <c:pt idx="53">
                  <c:v>43906</c:v>
                </c:pt>
                <c:pt idx="54">
                  <c:v>43907</c:v>
                </c:pt>
                <c:pt idx="55">
                  <c:v>43908</c:v>
                </c:pt>
                <c:pt idx="56">
                  <c:v>43909</c:v>
                </c:pt>
                <c:pt idx="57">
                  <c:v>43910</c:v>
                </c:pt>
                <c:pt idx="58">
                  <c:v>43911</c:v>
                </c:pt>
                <c:pt idx="59">
                  <c:v>43912</c:v>
                </c:pt>
                <c:pt idx="60">
                  <c:v>43913</c:v>
                </c:pt>
                <c:pt idx="61">
                  <c:v>43914</c:v>
                </c:pt>
                <c:pt idx="62">
                  <c:v>43915</c:v>
                </c:pt>
              </c:numCache>
            </c:numRef>
          </c:xVal>
          <c:yVal>
            <c:numRef>
              <c:f>myData!USCases</c:f>
              <c:numCache>
                <c:formatCode>##0.0E+00</c:formatCode>
                <c:ptCount val="63"/>
                <c:pt idx="0">
                  <c:v>3.037411069235945E-2</c:v>
                </c:pt>
                <c:pt idx="1">
                  <c:v>6.0748221384718901E-2</c:v>
                </c:pt>
                <c:pt idx="2">
                  <c:v>6.0748221384718901E-2</c:v>
                </c:pt>
                <c:pt idx="3">
                  <c:v>0.15187055346179726</c:v>
                </c:pt>
                <c:pt idx="4">
                  <c:v>0.15187055346179726</c:v>
                </c:pt>
                <c:pt idx="5">
                  <c:v>0.15187055346179726</c:v>
                </c:pt>
                <c:pt idx="6">
                  <c:v>0.15187055346179726</c:v>
                </c:pt>
                <c:pt idx="7">
                  <c:v>0.15187055346179726</c:v>
                </c:pt>
                <c:pt idx="8">
                  <c:v>0.21261877484651615</c:v>
                </c:pt>
                <c:pt idx="9">
                  <c:v>0.2429928855388756</c:v>
                </c:pt>
                <c:pt idx="10">
                  <c:v>0.2429928855388756</c:v>
                </c:pt>
                <c:pt idx="11">
                  <c:v>0.33411521761595392</c:v>
                </c:pt>
                <c:pt idx="12">
                  <c:v>0.33411521761595392</c:v>
                </c:pt>
                <c:pt idx="13">
                  <c:v>0.33411521761595392</c:v>
                </c:pt>
                <c:pt idx="14">
                  <c:v>0.33411521761595392</c:v>
                </c:pt>
                <c:pt idx="15">
                  <c:v>0.33411521761595392</c:v>
                </c:pt>
                <c:pt idx="16">
                  <c:v>0.33411521761595392</c:v>
                </c:pt>
                <c:pt idx="17">
                  <c:v>0.33411521761595392</c:v>
                </c:pt>
                <c:pt idx="18">
                  <c:v>0.33411521761595392</c:v>
                </c:pt>
                <c:pt idx="19">
                  <c:v>0.36448932830831338</c:v>
                </c:pt>
                <c:pt idx="20">
                  <c:v>0.36448932830831338</c:v>
                </c:pt>
                <c:pt idx="21">
                  <c:v>0.39486343900067283</c:v>
                </c:pt>
                <c:pt idx="22">
                  <c:v>0.39486343900067283</c:v>
                </c:pt>
                <c:pt idx="23">
                  <c:v>0.39486343900067283</c:v>
                </c:pt>
                <c:pt idx="24">
                  <c:v>0.39486343900067283</c:v>
                </c:pt>
                <c:pt idx="25">
                  <c:v>0.39486343900067283</c:v>
                </c:pt>
                <c:pt idx="26">
                  <c:v>0.39486343900067283</c:v>
                </c:pt>
                <c:pt idx="27">
                  <c:v>0.39486343900067283</c:v>
                </c:pt>
                <c:pt idx="28">
                  <c:v>0.39486343900067283</c:v>
                </c:pt>
                <c:pt idx="29">
                  <c:v>0.45561166038539175</c:v>
                </c:pt>
                <c:pt idx="30">
                  <c:v>0.45561166038539175</c:v>
                </c:pt>
                <c:pt idx="31">
                  <c:v>0.45561166038539175</c:v>
                </c:pt>
                <c:pt idx="32">
                  <c:v>1.5490796453103319</c:v>
                </c:pt>
                <c:pt idx="33">
                  <c:v>1.5490796453103319</c:v>
                </c:pt>
                <c:pt idx="34">
                  <c:v>1.7313243094644886</c:v>
                </c:pt>
                <c:pt idx="35">
                  <c:v>1.761698420156848</c:v>
                </c:pt>
                <c:pt idx="36">
                  <c:v>1.822446641541567</c:v>
                </c:pt>
                <c:pt idx="37">
                  <c:v>2.0654395270804424</c:v>
                </c:pt>
                <c:pt idx="38">
                  <c:v>2.2476841912345993</c:v>
                </c:pt>
                <c:pt idx="39">
                  <c:v>2.9766628478512263</c:v>
                </c:pt>
                <c:pt idx="40">
                  <c:v>3.5841450616984152</c:v>
                </c:pt>
                <c:pt idx="41">
                  <c:v>4.525742493161558</c:v>
                </c:pt>
                <c:pt idx="42">
                  <c:v>6.5911820202420008</c:v>
                </c:pt>
                <c:pt idx="43">
                  <c:v>7.9580170013981757</c:v>
                </c:pt>
                <c:pt idx="44">
                  <c:v>12.210392498328499</c:v>
                </c:pt>
                <c:pt idx="45">
                  <c:v>15.733789338642195</c:v>
                </c:pt>
                <c:pt idx="46">
                  <c:v>17.708106533645559</c:v>
                </c:pt>
                <c:pt idx="47">
                  <c:v>29.128772153972712</c:v>
                </c:pt>
                <c:pt idx="48">
                  <c:v>38.909235796912455</c:v>
                </c:pt>
                <c:pt idx="49">
                  <c:v>50.512146081393766</c:v>
                </c:pt>
                <c:pt idx="50">
                  <c:v>66.185187198651235</c:v>
                </c:pt>
                <c:pt idx="51">
                  <c:v>82.830199858064219</c:v>
                </c:pt>
                <c:pt idx="52">
                  <c:v>106.27901331256571</c:v>
                </c:pt>
                <c:pt idx="53">
                  <c:v>140.69288072700897</c:v>
                </c:pt>
                <c:pt idx="54">
                  <c:v>195.03216475564003</c:v>
                </c:pt>
                <c:pt idx="55">
                  <c:v>236.40170351863358</c:v>
                </c:pt>
                <c:pt idx="56">
                  <c:v>415.42671193940021</c:v>
                </c:pt>
                <c:pt idx="57">
                  <c:v>580.14551422406544</c:v>
                </c:pt>
                <c:pt idx="58">
                  <c:v>774.20570743755002</c:v>
                </c:pt>
                <c:pt idx="59">
                  <c:v>1010.7289073989531</c:v>
                </c:pt>
                <c:pt idx="60">
                  <c:v>1331.8136315278848</c:v>
                </c:pt>
                <c:pt idx="61">
                  <c:v>1632.3047086073968</c:v>
                </c:pt>
                <c:pt idx="62">
                  <c:v>1668.0246627816116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5.69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106"/>
                <c:pt idx="0">
                  <c:v>43853</c:v>
                </c:pt>
                <c:pt idx="1">
                  <c:v>43854</c:v>
                </c:pt>
                <c:pt idx="2">
                  <c:v>43855</c:v>
                </c:pt>
                <c:pt idx="3">
                  <c:v>43856</c:v>
                </c:pt>
                <c:pt idx="4">
                  <c:v>43857</c:v>
                </c:pt>
                <c:pt idx="5">
                  <c:v>43858</c:v>
                </c:pt>
                <c:pt idx="6">
                  <c:v>43859</c:v>
                </c:pt>
                <c:pt idx="7">
                  <c:v>43860</c:v>
                </c:pt>
                <c:pt idx="8">
                  <c:v>43861</c:v>
                </c:pt>
                <c:pt idx="9">
                  <c:v>43862</c:v>
                </c:pt>
                <c:pt idx="10">
                  <c:v>43863</c:v>
                </c:pt>
                <c:pt idx="11">
                  <c:v>43864</c:v>
                </c:pt>
                <c:pt idx="12">
                  <c:v>43865</c:v>
                </c:pt>
                <c:pt idx="13">
                  <c:v>43866</c:v>
                </c:pt>
                <c:pt idx="14">
                  <c:v>43867</c:v>
                </c:pt>
                <c:pt idx="15">
                  <c:v>43868</c:v>
                </c:pt>
                <c:pt idx="16">
                  <c:v>43869</c:v>
                </c:pt>
                <c:pt idx="17">
                  <c:v>43870</c:v>
                </c:pt>
                <c:pt idx="18">
                  <c:v>43871</c:v>
                </c:pt>
                <c:pt idx="19">
                  <c:v>43872</c:v>
                </c:pt>
                <c:pt idx="20">
                  <c:v>43873</c:v>
                </c:pt>
                <c:pt idx="21">
                  <c:v>43874</c:v>
                </c:pt>
                <c:pt idx="22">
                  <c:v>43875</c:v>
                </c:pt>
                <c:pt idx="23">
                  <c:v>43876</c:v>
                </c:pt>
                <c:pt idx="24">
                  <c:v>43877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43883</c:v>
                </c:pt>
                <c:pt idx="31">
                  <c:v>43884</c:v>
                </c:pt>
                <c:pt idx="32">
                  <c:v>43885</c:v>
                </c:pt>
                <c:pt idx="33">
                  <c:v>43886</c:v>
                </c:pt>
                <c:pt idx="34">
                  <c:v>43887</c:v>
                </c:pt>
                <c:pt idx="35">
                  <c:v>43888</c:v>
                </c:pt>
                <c:pt idx="36">
                  <c:v>43889</c:v>
                </c:pt>
                <c:pt idx="37">
                  <c:v>43890</c:v>
                </c:pt>
                <c:pt idx="38">
                  <c:v>43891</c:v>
                </c:pt>
                <c:pt idx="39">
                  <c:v>43892</c:v>
                </c:pt>
                <c:pt idx="40">
                  <c:v>43893</c:v>
                </c:pt>
                <c:pt idx="41">
                  <c:v>43894</c:v>
                </c:pt>
                <c:pt idx="42">
                  <c:v>43895</c:v>
                </c:pt>
                <c:pt idx="43">
                  <c:v>43896</c:v>
                </c:pt>
                <c:pt idx="44">
                  <c:v>43897</c:v>
                </c:pt>
                <c:pt idx="45">
                  <c:v>43898</c:v>
                </c:pt>
                <c:pt idx="46">
                  <c:v>43899</c:v>
                </c:pt>
                <c:pt idx="47">
                  <c:v>43900</c:v>
                </c:pt>
                <c:pt idx="48">
                  <c:v>43901</c:v>
                </c:pt>
                <c:pt idx="49">
                  <c:v>43902</c:v>
                </c:pt>
                <c:pt idx="50">
                  <c:v>43903</c:v>
                </c:pt>
                <c:pt idx="51">
                  <c:v>43904</c:v>
                </c:pt>
                <c:pt idx="52">
                  <c:v>43905</c:v>
                </c:pt>
                <c:pt idx="53">
                  <c:v>43906</c:v>
                </c:pt>
                <c:pt idx="54">
                  <c:v>43907</c:v>
                </c:pt>
                <c:pt idx="55">
                  <c:v>43908</c:v>
                </c:pt>
                <c:pt idx="56">
                  <c:v>43909</c:v>
                </c:pt>
                <c:pt idx="57">
                  <c:v>43910</c:v>
                </c:pt>
                <c:pt idx="58">
                  <c:v>43911</c:v>
                </c:pt>
                <c:pt idx="59">
                  <c:v>43912</c:v>
                </c:pt>
                <c:pt idx="60">
                  <c:v>43913</c:v>
                </c:pt>
                <c:pt idx="61">
                  <c:v>43914</c:v>
                </c:pt>
                <c:pt idx="62">
                  <c:v>43915</c:v>
                </c:pt>
                <c:pt idx="63">
                  <c:v>43916</c:v>
                </c:pt>
                <c:pt idx="64">
                  <c:v>43917</c:v>
                </c:pt>
                <c:pt idx="65">
                  <c:v>43918</c:v>
                </c:pt>
                <c:pt idx="66">
                  <c:v>43919</c:v>
                </c:pt>
                <c:pt idx="67">
                  <c:v>43920</c:v>
                </c:pt>
                <c:pt idx="68">
                  <c:v>43921</c:v>
                </c:pt>
                <c:pt idx="69">
                  <c:v>43922</c:v>
                </c:pt>
                <c:pt idx="70">
                  <c:v>43923</c:v>
                </c:pt>
                <c:pt idx="71">
                  <c:v>43930</c:v>
                </c:pt>
                <c:pt idx="72">
                  <c:v>43937</c:v>
                </c:pt>
                <c:pt idx="73">
                  <c:v>43944</c:v>
                </c:pt>
                <c:pt idx="74">
                  <c:v>43951</c:v>
                </c:pt>
                <c:pt idx="75">
                  <c:v>43958</c:v>
                </c:pt>
                <c:pt idx="76">
                  <c:v>43965</c:v>
                </c:pt>
                <c:pt idx="77">
                  <c:v>43972</c:v>
                </c:pt>
                <c:pt idx="78">
                  <c:v>43979</c:v>
                </c:pt>
                <c:pt idx="79">
                  <c:v>43986</c:v>
                </c:pt>
                <c:pt idx="80">
                  <c:v>43993</c:v>
                </c:pt>
                <c:pt idx="81">
                  <c:v>44000</c:v>
                </c:pt>
                <c:pt idx="82">
                  <c:v>44007</c:v>
                </c:pt>
                <c:pt idx="83">
                  <c:v>44014</c:v>
                </c:pt>
                <c:pt idx="84">
                  <c:v>44021</c:v>
                </c:pt>
                <c:pt idx="85">
                  <c:v>44028</c:v>
                </c:pt>
                <c:pt idx="86">
                  <c:v>44035</c:v>
                </c:pt>
                <c:pt idx="87">
                  <c:v>44042</c:v>
                </c:pt>
                <c:pt idx="88">
                  <c:v>44049</c:v>
                </c:pt>
                <c:pt idx="89">
                  <c:v>44056</c:v>
                </c:pt>
                <c:pt idx="90">
                  <c:v>44063</c:v>
                </c:pt>
                <c:pt idx="91">
                  <c:v>44070</c:v>
                </c:pt>
                <c:pt idx="92">
                  <c:v>44077</c:v>
                </c:pt>
                <c:pt idx="93">
                  <c:v>44084</c:v>
                </c:pt>
                <c:pt idx="94">
                  <c:v>44091</c:v>
                </c:pt>
                <c:pt idx="95">
                  <c:v>44098</c:v>
                </c:pt>
                <c:pt idx="96">
                  <c:v>44105</c:v>
                </c:pt>
                <c:pt idx="97">
                  <c:v>44112</c:v>
                </c:pt>
                <c:pt idx="98">
                  <c:v>44119</c:v>
                </c:pt>
                <c:pt idx="99">
                  <c:v>44126</c:v>
                </c:pt>
                <c:pt idx="100">
                  <c:v>44133</c:v>
                </c:pt>
                <c:pt idx="101">
                  <c:v>44140</c:v>
                </c:pt>
                <c:pt idx="102">
                  <c:v>44147</c:v>
                </c:pt>
                <c:pt idx="103">
                  <c:v>44154</c:v>
                </c:pt>
                <c:pt idx="104">
                  <c:v>44161</c:v>
                </c:pt>
                <c:pt idx="105">
                  <c:v>44168</c:v>
                </c:pt>
              </c:numCache>
            </c:numRef>
          </c:xVal>
          <c:yVal>
            <c:numRef>
              <c:f>myData!USLogi</c:f>
              <c:numCache>
                <c:formatCode>0</c:formatCode>
                <c:ptCount val="106"/>
                <c:pt idx="0">
                  <c:v>9.103015837459202E-5</c:v>
                </c:pt>
                <c:pt idx="1">
                  <c:v>1.2012474515609634E-4</c:v>
                </c:pt>
                <c:pt idx="2">
                  <c:v>1.5851839250745242E-4</c:v>
                </c:pt>
                <c:pt idx="3">
                  <c:v>2.0918321763191202E-4</c:v>
                </c:pt>
                <c:pt idx="4">
                  <c:v>2.7604127017801433E-4</c:v>
                </c:pt>
                <c:pt idx="5">
                  <c:v>3.6426814453856309E-4</c:v>
                </c:pt>
                <c:pt idx="6">
                  <c:v>4.8069363100138171E-4</c:v>
                </c:pt>
                <c:pt idx="7">
                  <c:v>6.3433042070470513E-4</c:v>
                </c:pt>
                <c:pt idx="8">
                  <c:v>8.3707179211294197E-4</c:v>
                </c:pt>
                <c:pt idx="9">
                  <c:v>1.1046122877012539E-3</c:v>
                </c:pt>
                <c:pt idx="10">
                  <c:v>1.4576626512851959E-3</c:v>
                </c:pt>
                <c:pt idx="11">
                  <c:v>1.9235530751198636E-3</c:v>
                </c:pt>
                <c:pt idx="12">
                  <c:v>2.538348864691448E-3</c:v>
                </c:pt>
                <c:pt idx="13">
                  <c:v>3.3496422946445118E-3</c:v>
                </c:pt>
                <c:pt idx="14">
                  <c:v>4.4202367715992039E-3</c:v>
                </c:pt>
                <c:pt idx="15">
                  <c:v>5.833008489738699E-3</c:v>
                </c:pt>
                <c:pt idx="16">
                  <c:v>7.6973219082871625E-3</c:v>
                </c:pt>
                <c:pt idx="17">
                  <c:v>1.0157495649229147E-2</c:v>
                </c:pt>
                <c:pt idx="18" formatCode="0.0">
                  <c:v>1.3403974114426778E-2</c:v>
                </c:pt>
                <c:pt idx="19" formatCode="0.0">
                  <c:v>1.7688069530853529E-2</c:v>
                </c:pt>
                <c:pt idx="20" formatCode="0.0">
                  <c:v>2.3341415447598917E-2</c:v>
                </c:pt>
                <c:pt idx="21" formatCode="0.0">
                  <c:v>3.0801637294001431E-2</c:v>
                </c:pt>
                <c:pt idx="22" formatCode="0.0">
                  <c:v>4.0646226645076618E-2</c:v>
                </c:pt>
                <c:pt idx="23" formatCode="0.0">
                  <c:v>5.3637240491567012E-2</c:v>
                </c:pt>
                <c:pt idx="24" formatCode="0.0">
                  <c:v>7.0780284076915723E-2</c:v>
                </c:pt>
                <c:pt idx="25" formatCode="0.0">
                  <c:v>9.3402340330069472E-2</c:v>
                </c:pt>
                <c:pt idx="26" formatCode="0.0">
                  <c:v>0.12325446569586926</c:v>
                </c:pt>
                <c:pt idx="27" formatCode="0.0">
                  <c:v>0.16264729332909872</c:v>
                </c:pt>
                <c:pt idx="28" formatCode="0.0">
                  <c:v>0.21462981770017936</c:v>
                </c:pt>
                <c:pt idx="29" formatCode="0.0">
                  <c:v>0.28322527367069344</c:v>
                </c:pt>
                <c:pt idx="30" formatCode="0.0">
                  <c:v>0.3737423228937814</c:v>
                </c:pt>
                <c:pt idx="31" formatCode="0.0">
                  <c:v>0.49318555527247215</c:v>
                </c:pt>
                <c:pt idx="32" formatCode="0.0">
                  <c:v>0.65079694079267869</c:v>
                </c:pt>
                <c:pt idx="33" formatCode="0.0">
                  <c:v>0.85876989871762466</c:v>
                </c:pt>
                <c:pt idx="34" formatCode="0.0">
                  <c:v>1.1331908302558913</c:v>
                </c:pt>
                <c:pt idx="35" formatCode="0.0">
                  <c:v>1.4952802498751077</c:v>
                </c:pt>
                <c:pt idx="36" formatCode="0.0">
                  <c:v>1.9730282874258249</c:v>
                </c:pt>
                <c:pt idx="37" formatCode="0.0">
                  <c:v>2.6033488961268096</c:v>
                </c:pt>
                <c:pt idx="38" formatCode="0.0">
                  <c:v>3.4349155759406131</c:v>
                </c:pt>
                <c:pt idx="39" formatCode="0.0">
                  <c:v>4.5318912610369626</c:v>
                </c:pt>
                <c:pt idx="40" formatCode="0.0">
                  <c:v>5.9788291720206441</c:v>
                </c:pt>
                <c:pt idx="41" formatCode="0.0">
                  <c:v>7.8871032905543652</c:v>
                </c:pt>
                <c:pt idx="42" formatCode="0.0">
                  <c:v>10.403330296332603</c:v>
                </c:pt>
                <c:pt idx="43" formatCode="0.0">
                  <c:v>13.720372627576337</c:v>
                </c:pt>
                <c:pt idx="44" formatCode="0.0">
                  <c:v>18.091666669839835</c:v>
                </c:pt>
                <c:pt idx="45" formatCode="0.0">
                  <c:v>23.849799231942143</c:v>
                </c:pt>
                <c:pt idx="46" formatCode="0.0">
                  <c:v>31.430450172582489</c:v>
                </c:pt>
                <c:pt idx="47" formatCode="0.0">
                  <c:v>41.403005580593657</c:v>
                </c:pt>
                <c:pt idx="48" formatCode="0.0">
                  <c:v>54.509274514490357</c:v>
                </c:pt>
                <c:pt idx="49" formatCode="0.0">
                  <c:v>71.711718528157149</c:v>
                </c:pt>
                <c:pt idx="50" formatCode="0.0">
                  <c:v>94.25225973260568</c:v>
                </c:pt>
                <c:pt idx="51" formatCode="0.0">
                  <c:v>123.72179064184844</c:v>
                </c:pt>
                <c:pt idx="52" formatCode="0.0">
                  <c:v>162.13852981714359</c:v>
                </c:pt>
                <c:pt idx="53" formatCode="0.0">
                  <c:v>212.02971913794752</c:v>
                </c:pt>
                <c:pt idx="54" formatCode="0.0">
                  <c:v>276.50503664219457</c:v>
                </c:pt>
                <c:pt idx="55" formatCode="0.0">
                  <c:v>359.30071026364072</c:v>
                </c:pt>
                <c:pt idx="56" formatCode="0.0">
                  <c:v>464.76041307748113</c:v>
                </c:pt>
                <c:pt idx="57" formatCode="0.0">
                  <c:v>597.70402136451548</c:v>
                </c:pt>
                <c:pt idx="58" formatCode="0.0">
                  <c:v>763.12317401877999</c:v>
                </c:pt>
                <c:pt idx="59" formatCode="0.0">
                  <c:v>965.64387444397209</c:v>
                </c:pt>
                <c:pt idx="60" formatCode="0.0">
                  <c:v>1208.7277054029225</c:v>
                </c:pt>
                <c:pt idx="61" formatCode="0.0">
                  <c:v>1493.6616006387142</c:v>
                </c:pt>
                <c:pt idx="62" formatCode="0.0">
                  <c:v>1818.5131123607787</c:v>
                </c:pt>
                <c:pt idx="63" formatCode="0.0">
                  <c:v>2177.3664792888003</c:v>
                </c:pt>
                <c:pt idx="64" formatCode="0.0">
                  <c:v>2560.2179744849482</c:v>
                </c:pt>
                <c:pt idx="65" formatCode="0.0">
                  <c:v>2953.7973457075614</c:v>
                </c:pt>
                <c:pt idx="66" formatCode="0.0">
                  <c:v>3343.2727233804826</c:v>
                </c:pt>
                <c:pt idx="67" formatCode="0.0">
                  <c:v>3714.4170176554244</c:v>
                </c:pt>
                <c:pt idx="68" formatCode="0.0">
                  <c:v>4055.592754843623</c:v>
                </c:pt>
                <c:pt idx="69" formatCode="0.0">
                  <c:v>4359.0009136722329</c:v>
                </c:pt>
                <c:pt idx="70" formatCode="0.0">
                  <c:v>4620.9756508952923</c:v>
                </c:pt>
                <c:pt idx="71" formatCode="0.0">
                  <c:v>5508.0689516976345</c:v>
                </c:pt>
                <c:pt idx="72" formatCode="0.0">
                  <c:v>5664.1093188838377</c:v>
                </c:pt>
                <c:pt idx="73" formatCode="0.0">
                  <c:v>5687.2303998974139</c:v>
                </c:pt>
                <c:pt idx="74" formatCode="0.0">
                  <c:v>5690.5639081233212</c:v>
                </c:pt>
                <c:pt idx="75" formatCode="0.0">
                  <c:v>5691.0426068397092</c:v>
                </c:pt>
                <c:pt idx="76" formatCode="0.0">
                  <c:v>5691.1113095318096</c:v>
                </c:pt>
                <c:pt idx="77" formatCode="0.0">
                  <c:v>5691.1211689086804</c:v>
                </c:pt>
                <c:pt idx="78" formatCode="0.0">
                  <c:v>5691.1225837901075</c:v>
                </c:pt>
                <c:pt idx="79" formatCode="0.0">
                  <c:v>5691.1227868339802</c:v>
                </c:pt>
                <c:pt idx="80" formatCode="0.0">
                  <c:v>5691.1228159719712</c:v>
                </c:pt>
                <c:pt idx="81" formatCode="0.0">
                  <c:v>5691.122820153445</c:v>
                </c:pt>
                <c:pt idx="82" formatCode="0.0">
                  <c:v>5691.1228207535114</c:v>
                </c:pt>
                <c:pt idx="83" formatCode="0.0">
                  <c:v>5691.1228208396251</c:v>
                </c:pt>
                <c:pt idx="84" formatCode="0.0">
                  <c:v>5691.1228208519824</c:v>
                </c:pt>
                <c:pt idx="85" formatCode="0.0">
                  <c:v>5691.1228208537559</c:v>
                </c:pt>
                <c:pt idx="86" formatCode="0.0">
                  <c:v>5691.1228208540097</c:v>
                </c:pt>
                <c:pt idx="87" formatCode="0.0">
                  <c:v>5691.1228208540451</c:v>
                </c:pt>
                <c:pt idx="88" formatCode="0.0">
                  <c:v>5691.1228208540515</c:v>
                </c:pt>
                <c:pt idx="89" formatCode="0.0">
                  <c:v>5691.1228208540524</c:v>
                </c:pt>
                <c:pt idx="90" formatCode="0.0">
                  <c:v>5691.1228208540524</c:v>
                </c:pt>
                <c:pt idx="91" formatCode="0.0">
                  <c:v>5691.1228208540524</c:v>
                </c:pt>
                <c:pt idx="92" formatCode="0.0">
                  <c:v>5691.1228208540524</c:v>
                </c:pt>
                <c:pt idx="93" formatCode="0.0">
                  <c:v>5691.1228208540524</c:v>
                </c:pt>
                <c:pt idx="94" formatCode="0.0">
                  <c:v>5691.1228208540524</c:v>
                </c:pt>
                <c:pt idx="95" formatCode="0.0">
                  <c:v>5691.1228208540524</c:v>
                </c:pt>
                <c:pt idx="96" formatCode="0.0">
                  <c:v>5691.1228208540524</c:v>
                </c:pt>
                <c:pt idx="97" formatCode="0.0">
                  <c:v>5691.1228208540524</c:v>
                </c:pt>
                <c:pt idx="98" formatCode="0.0">
                  <c:v>5691.1228208540524</c:v>
                </c:pt>
                <c:pt idx="99" formatCode="0.0">
                  <c:v>5691.1228208540524</c:v>
                </c:pt>
                <c:pt idx="100" formatCode="0.0">
                  <c:v>5691.1228208540524</c:v>
                </c:pt>
                <c:pt idx="101" formatCode="0.0">
                  <c:v>5691.1228208540524</c:v>
                </c:pt>
                <c:pt idx="102" formatCode="0.0">
                  <c:v>5691.1228208540524</c:v>
                </c:pt>
                <c:pt idx="103" formatCode="0.0">
                  <c:v>5691.1228208540524</c:v>
                </c:pt>
                <c:pt idx="104" formatCode="0.0">
                  <c:v>5691.1228208540524</c:v>
                </c:pt>
                <c:pt idx="105" formatCode="0.0">
                  <c:v>5691.1228208540524</c:v>
                </c:pt>
              </c:numCache>
            </c:numRef>
          </c:yVal>
          <c:smooth val="0"/>
        </c:ser>
        <c:ser>
          <c:idx val="7"/>
          <c:order val="6"/>
          <c:tx>
            <c:v>China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0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 formatCode="##0.0E+00">
                  <c:v>536.64784316048156</c:v>
                </c:pt>
                <c:pt idx="34" formatCode="##0.0E+00">
                  <c:v>540.21201689646796</c:v>
                </c:pt>
                <c:pt idx="35" formatCode="##0.0E+00">
                  <c:v>543.07447221659743</c:v>
                </c:pt>
                <c:pt idx="36" formatCode="##0.0E+00">
                  <c:v>546.08977709265605</c:v>
                </c:pt>
                <c:pt idx="37" formatCode="##0.0E+00">
                  <c:v>548.36862501741928</c:v>
                </c:pt>
                <c:pt idx="38" formatCode="##0.0E+00">
                  <c:v>551.34224365095179</c:v>
                </c:pt>
                <c:pt idx="39" formatCode="##0.0E+00">
                  <c:v>555.34412293346293</c:v>
                </c:pt>
                <c:pt idx="40" formatCode="##0.0E+00">
                  <c:v>556.7614551793522</c:v>
                </c:pt>
                <c:pt idx="41" formatCode="##0.0E+00">
                  <c:v>557.6299185653138</c:v>
                </c:pt>
                <c:pt idx="42" formatCode="##0.0E+00">
                  <c:v>558.49838195127541</c:v>
                </c:pt>
                <c:pt idx="43" formatCode="##0.0E+00">
                  <c:v>559.54748572151709</c:v>
                </c:pt>
                <c:pt idx="44" formatCode="##0.0E+00">
                  <c:v>560.61048490593407</c:v>
                </c:pt>
                <c:pt idx="45" formatCode="##0.0E+00">
                  <c:v>561.1663014729495</c:v>
                </c:pt>
                <c:pt idx="46" formatCode="##0.0E+00">
                  <c:v>561.5345299485972</c:v>
                </c:pt>
                <c:pt idx="47" formatCode="##0.0E+00">
                  <c:v>561.79159511084185</c:v>
                </c:pt>
                <c:pt idx="48" formatCode="##0.0E+00">
                  <c:v>561.97918320220958</c:v>
                </c:pt>
                <c:pt idx="49" formatCode="##0.0E+00">
                  <c:v>562.21540524319107</c:v>
                </c:pt>
                <c:pt idx="50" formatCode="##0.0E+00">
                  <c:v>562.29183002115576</c:v>
                </c:pt>
                <c:pt idx="51" formatCode="##0.0E+00">
                  <c:v>562.38215021329574</c:v>
                </c:pt>
                <c:pt idx="52" formatCode="##0.0E+00">
                  <c:v>562.60447684010194</c:v>
                </c:pt>
                <c:pt idx="53" formatCode="##0.0E+00">
                  <c:v>562.78511722438191</c:v>
                </c:pt>
                <c:pt idx="54" formatCode="##0.0E+00">
                  <c:v>562.99354843701269</c:v>
                </c:pt>
                <c:pt idx="55" formatCode="##0.0E+00">
                  <c:v>563.16724111420501</c:v>
                </c:pt>
                <c:pt idx="56" formatCode="##0.0E+00">
                  <c:v>563.47294022606354</c:v>
                </c:pt>
                <c:pt idx="57" formatCode="##0.0E+00">
                  <c:v>563.84811640879889</c:v>
                </c:pt>
                <c:pt idx="58" formatCode="##0.0E+00">
                  <c:v>564.50120087504206</c:v>
                </c:pt>
                <c:pt idx="59" formatCode="##0.0E+00">
                  <c:v>564.88332476486516</c:v>
                </c:pt>
                <c:pt idx="60" formatCode="##0.0E+00">
                  <c:v>565.78652668626523</c:v>
                </c:pt>
                <c:pt idx="61" formatCode="##0.0E+00">
                  <c:v>566.22423223278986</c:v>
                </c:pt>
                <c:pt idx="62">
                  <c:v>566.87036899194527</c:v>
                </c:pt>
                <c:pt idx="63">
                  <c:v>567.35670848808377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strRef>
              <c:f>myData!ChinaSeries</c:f>
              <c:strCache>
                <c:ptCount val="1"/>
                <c:pt idx="0">
                  <c:v>China Limit 563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43930</c:v>
                </c:pt>
                <c:pt idx="73">
                  <c:v>43937</c:v>
                </c:pt>
                <c:pt idx="74">
                  <c:v>43944</c:v>
                </c:pt>
                <c:pt idx="75">
                  <c:v>43951</c:v>
                </c:pt>
                <c:pt idx="76">
                  <c:v>43958</c:v>
                </c:pt>
                <c:pt idx="77">
                  <c:v>43965</c:v>
                </c:pt>
                <c:pt idx="78">
                  <c:v>43972</c:v>
                </c:pt>
                <c:pt idx="79">
                  <c:v>43979</c:v>
                </c:pt>
                <c:pt idx="80">
                  <c:v>43986</c:v>
                </c:pt>
                <c:pt idx="81">
                  <c:v>43993</c:v>
                </c:pt>
                <c:pt idx="82">
                  <c:v>44000</c:v>
                </c:pt>
                <c:pt idx="83">
                  <c:v>44007</c:v>
                </c:pt>
                <c:pt idx="84">
                  <c:v>44014</c:v>
                </c:pt>
                <c:pt idx="85">
                  <c:v>44021</c:v>
                </c:pt>
                <c:pt idx="86">
                  <c:v>44028</c:v>
                </c:pt>
                <c:pt idx="87">
                  <c:v>44035</c:v>
                </c:pt>
                <c:pt idx="88">
                  <c:v>44042</c:v>
                </c:pt>
                <c:pt idx="89">
                  <c:v>44049</c:v>
                </c:pt>
                <c:pt idx="90">
                  <c:v>44056</c:v>
                </c:pt>
                <c:pt idx="91">
                  <c:v>44063</c:v>
                </c:pt>
                <c:pt idx="92">
                  <c:v>44070</c:v>
                </c:pt>
                <c:pt idx="93">
                  <c:v>44077</c:v>
                </c:pt>
                <c:pt idx="94">
                  <c:v>44084</c:v>
                </c:pt>
                <c:pt idx="95">
                  <c:v>44091</c:v>
                </c:pt>
                <c:pt idx="96">
                  <c:v>44098</c:v>
                </c:pt>
                <c:pt idx="97">
                  <c:v>44105</c:v>
                </c:pt>
                <c:pt idx="98">
                  <c:v>44112</c:v>
                </c:pt>
                <c:pt idx="99">
                  <c:v>44119</c:v>
                </c:pt>
                <c:pt idx="100">
                  <c:v>44126</c:v>
                </c:pt>
                <c:pt idx="101">
                  <c:v>44133</c:v>
                </c:pt>
                <c:pt idx="102">
                  <c:v>44140</c:v>
                </c:pt>
                <c:pt idx="103">
                  <c:v>44147</c:v>
                </c:pt>
                <c:pt idx="104">
                  <c:v>44154</c:v>
                </c:pt>
                <c:pt idx="105">
                  <c:v>44161</c:v>
                </c:pt>
                <c:pt idx="106">
                  <c:v>44168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13.277879447066788</c:v>
                </c:pt>
                <c:pt idx="2">
                  <c:v>16.484025158498682</c:v>
                </c:pt>
                <c:pt idx="3">
                  <c:v>20.435557567426564</c:v>
                </c:pt>
                <c:pt idx="4">
                  <c:v>25.290501829557009</c:v>
                </c:pt>
                <c:pt idx="5">
                  <c:v>31.232441089395362</c:v>
                </c:pt>
                <c:pt idx="6">
                  <c:v>38.470520532809786</c:v>
                </c:pt>
                <c:pt idx="7">
                  <c:v>47.236975856005962</c:v>
                </c:pt>
                <c:pt idx="8">
                  <c:v>57.780974610663726</c:v>
                </c:pt>
                <c:pt idx="9">
                  <c:v>70.357412171750113</c:v>
                </c:pt>
                <c:pt idx="10">
                  <c:v>85.209409130504824</c:v>
                </c:pt>
                <c:pt idx="11">
                  <c:v>102.54381624813004</c:v>
                </c:pt>
                <c:pt idx="12">
                  <c:v>122.50025002999644</c:v>
                </c:pt>
                <c:pt idx="13">
                  <c:v>145.11614101891283</c:v>
                </c:pt>
                <c:pt idx="14">
                  <c:v>170.29276175115768</c:v>
                </c:pt>
                <c:pt idx="15">
                  <c:v>197.76952773596358</c:v>
                </c:pt>
                <c:pt idx="16">
                  <c:v>227.11489628142812</c:v>
                </c:pt>
                <c:pt idx="17">
                  <c:v>257.74071779720998</c:v>
                </c:pt>
                <c:pt idx="18">
                  <c:v>288.9423931902565</c:v>
                </c:pt>
                <c:pt idx="19">
                  <c:v>319.96053813308185</c:v>
                </c:pt>
                <c:pt idx="20">
                  <c:v>350.05339135025753</c:v>
                </c:pt>
                <c:pt idx="21">
                  <c:v>378.5657247416421</c:v>
                </c:pt>
                <c:pt idx="22">
                  <c:v>404.98116271540044</c:v>
                </c:pt>
                <c:pt idx="23">
                  <c:v>428.9500439666773</c:v>
                </c:pt>
                <c:pt idx="24">
                  <c:v>450.29186964358246</c:v>
                </c:pt>
                <c:pt idx="25">
                  <c:v>468.97721443524625</c:v>
                </c:pt>
                <c:pt idx="26">
                  <c:v>485.09703305386586</c:v>
                </c:pt>
                <c:pt idx="27">
                  <c:v>498.82743532617133</c:v>
                </c:pt>
                <c:pt idx="28">
                  <c:v>510.39618937343494</c:v>
                </c:pt>
                <c:pt idx="29">
                  <c:v>520.05469188858694</c:v>
                </c:pt>
                <c:pt idx="30">
                  <c:v>528.05685838737736</c:v>
                </c:pt>
                <c:pt idx="31">
                  <c:v>534.64477991143008</c:v>
                </c:pt>
                <c:pt idx="32">
                  <c:v>540.04011311565966</c:v>
                </c:pt>
                <c:pt idx="33">
                  <c:v>544.43985676337707</c:v>
                </c:pt>
                <c:pt idx="34">
                  <c:v>548.01520612193474</c:v>
                </c:pt>
                <c:pt idx="35">
                  <c:v>550.91238715096574</c:v>
                </c:pt>
                <c:pt idx="36">
                  <c:v>553.254633686425</c:v>
                </c:pt>
                <c:pt idx="37">
                  <c:v>555.14471635709356</c:v>
                </c:pt>
                <c:pt idx="38">
                  <c:v>556.66763335036103</c:v>
                </c:pt>
                <c:pt idx="39">
                  <c:v>557.89322454156468</c:v>
                </c:pt>
                <c:pt idx="40">
                  <c:v>558.87857709112427</c:v>
                </c:pt>
                <c:pt idx="41">
                  <c:v>559.67016150191012</c:v>
                </c:pt>
                <c:pt idx="42">
                  <c:v>560.30568164218823</c:v>
                </c:pt>
                <c:pt idx="43">
                  <c:v>560.81564833239645</c:v>
                </c:pt>
                <c:pt idx="44">
                  <c:v>561.22469991929427</c:v>
                </c:pt>
                <c:pt idx="45">
                  <c:v>561.55269928180894</c:v>
                </c:pt>
                <c:pt idx="46">
                  <c:v>561.81563801642449</c:v>
                </c:pt>
                <c:pt idx="47">
                  <c:v>562.02637718859285</c:v>
                </c:pt>
                <c:pt idx="48">
                  <c:v>562.19525132492754</c:v>
                </c:pt>
                <c:pt idx="49">
                  <c:v>562.33055906783136</c:v>
                </c:pt>
                <c:pt idx="50">
                  <c:v>562.43896059369558</c:v>
                </c:pt>
                <c:pt idx="51">
                  <c:v>562.52579876654454</c:v>
                </c:pt>
                <c:pt idx="52">
                  <c:v>562.5953581856262</c:v>
                </c:pt>
                <c:pt idx="53">
                  <c:v>562.65107383225461</c:v>
                </c:pt>
                <c:pt idx="54">
                  <c:v>562.69569892667312</c:v>
                </c:pt>
                <c:pt idx="55">
                  <c:v>562.7314398442245</c:v>
                </c:pt>
                <c:pt idx="56">
                  <c:v>562.76006447507518</c:v>
                </c:pt>
                <c:pt idx="57">
                  <c:v>562.78298920344093</c:v>
                </c:pt>
                <c:pt idx="58">
                  <c:v>562.8013486920064</c:v>
                </c:pt>
                <c:pt idx="59">
                  <c:v>562.81605184966952</c:v>
                </c:pt>
                <c:pt idx="60">
                  <c:v>562.82782670466872</c:v>
                </c:pt>
                <c:pt idx="61">
                  <c:v>562.83725637373834</c:v>
                </c:pt>
                <c:pt idx="62">
                  <c:v>562.84480788851272</c:v>
                </c:pt>
                <c:pt idx="63">
                  <c:v>562.85085529402204</c:v>
                </c:pt>
                <c:pt idx="64">
                  <c:v>562.85569815515476</c:v>
                </c:pt>
                <c:pt idx="65">
                  <c:v>562.85957638252387</c:v>
                </c:pt>
                <c:pt idx="66">
                  <c:v>562.86268210880723</c:v>
                </c:pt>
                <c:pt idx="67">
                  <c:v>562.86516920174654</c:v>
                </c:pt>
                <c:pt idx="68">
                  <c:v>562.8671608837177</c:v>
                </c:pt>
                <c:pt idx="69">
                  <c:v>562.86875583448295</c:v>
                </c:pt>
                <c:pt idx="70">
                  <c:v>562.87003307891825</c:v>
                </c:pt>
                <c:pt idx="71">
                  <c:v>562.87105590151873</c:v>
                </c:pt>
                <c:pt idx="72">
                  <c:v>562.87429939848346</c:v>
                </c:pt>
                <c:pt idx="73">
                  <c:v>562.87498439471096</c:v>
                </c:pt>
                <c:pt idx="74">
                  <c:v>562.87512905871199</c:v>
                </c:pt>
                <c:pt idx="75">
                  <c:v>562.87515961019244</c:v>
                </c:pt>
                <c:pt idx="76">
                  <c:v>562.87516606233476</c:v>
                </c:pt>
                <c:pt idx="77">
                  <c:v>562.87516742495757</c:v>
                </c:pt>
                <c:pt idx="78">
                  <c:v>562.87516771272851</c:v>
                </c:pt>
                <c:pt idx="79">
                  <c:v>562.87516777350288</c:v>
                </c:pt>
                <c:pt idx="80">
                  <c:v>562.87516778633756</c:v>
                </c:pt>
                <c:pt idx="81">
                  <c:v>562.87516778904819</c:v>
                </c:pt>
                <c:pt idx="82">
                  <c:v>562.8751677896206</c:v>
                </c:pt>
                <c:pt idx="83">
                  <c:v>562.87516778974145</c:v>
                </c:pt>
                <c:pt idx="84">
                  <c:v>562.87516778976703</c:v>
                </c:pt>
                <c:pt idx="85">
                  <c:v>562.87516778977249</c:v>
                </c:pt>
                <c:pt idx="86">
                  <c:v>562.87516778977351</c:v>
                </c:pt>
                <c:pt idx="87">
                  <c:v>562.87516778977385</c:v>
                </c:pt>
                <c:pt idx="88">
                  <c:v>562.87516778977385</c:v>
                </c:pt>
                <c:pt idx="89">
                  <c:v>562.87516778977385</c:v>
                </c:pt>
                <c:pt idx="90">
                  <c:v>562.87516778977385</c:v>
                </c:pt>
                <c:pt idx="91">
                  <c:v>562.87516778977385</c:v>
                </c:pt>
                <c:pt idx="92">
                  <c:v>562.87516778977385</c:v>
                </c:pt>
                <c:pt idx="93">
                  <c:v>562.87516778977385</c:v>
                </c:pt>
                <c:pt idx="94">
                  <c:v>562.87516778977385</c:v>
                </c:pt>
                <c:pt idx="95">
                  <c:v>562.87516778977385</c:v>
                </c:pt>
                <c:pt idx="96">
                  <c:v>562.87516778977385</c:v>
                </c:pt>
                <c:pt idx="97">
                  <c:v>562.87516778977385</c:v>
                </c:pt>
                <c:pt idx="98">
                  <c:v>562.87516778977385</c:v>
                </c:pt>
                <c:pt idx="99">
                  <c:v>562.87516778977385</c:v>
                </c:pt>
                <c:pt idx="100">
                  <c:v>562.87516778977385</c:v>
                </c:pt>
                <c:pt idx="101">
                  <c:v>562.87516778977385</c:v>
                </c:pt>
                <c:pt idx="102">
                  <c:v>562.87516778977385</c:v>
                </c:pt>
                <c:pt idx="103">
                  <c:v>562.87516778977385</c:v>
                </c:pt>
                <c:pt idx="104">
                  <c:v>562.87516778977385</c:v>
                </c:pt>
                <c:pt idx="105">
                  <c:v>562.87516778977385</c:v>
                </c:pt>
                <c:pt idx="106">
                  <c:v>562.87516778977385</c:v>
                </c:pt>
              </c:numCache>
            </c:numRef>
          </c:yVal>
          <c:smooth val="0"/>
        </c:ser>
        <c:ser>
          <c:idx val="10"/>
          <c:order val="8"/>
          <c:tx>
            <c:v>Au Cases</c:v>
          </c:tx>
          <c:spPr>
            <a:ln w="9525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FF0000"/>
              </a:solidFill>
              <a:ln w="6350">
                <a:noFill/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61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61"/>
                <c:pt idx="0">
                  <c:v>1.5770383220312254</c:v>
                </c:pt>
                <c:pt idx="1">
                  <c:v>1.9712979025390318</c:v>
                </c:pt>
                <c:pt idx="2">
                  <c:v>1.9712979025390318</c:v>
                </c:pt>
                <c:pt idx="3">
                  <c:v>2.365557483046838</c:v>
                </c:pt>
                <c:pt idx="4">
                  <c:v>3.548336224570257</c:v>
                </c:pt>
                <c:pt idx="5">
                  <c:v>3.548336224570257</c:v>
                </c:pt>
                <c:pt idx="6">
                  <c:v>4.731114966093676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5.1253745466014822</c:v>
                </c:pt>
                <c:pt idx="10">
                  <c:v>5.1253745466014822</c:v>
                </c:pt>
                <c:pt idx="11">
                  <c:v>5.5196341271092884</c:v>
                </c:pt>
                <c:pt idx="12">
                  <c:v>5.9138937076170954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9.856489512695159</c:v>
                </c:pt>
                <c:pt idx="35">
                  <c:v>10.645008673710771</c:v>
                </c:pt>
                <c:pt idx="36">
                  <c:v>11.827787415234191</c:v>
                </c:pt>
                <c:pt idx="37">
                  <c:v>15.376123639804447</c:v>
                </c:pt>
                <c:pt idx="38">
                  <c:v>20.501498186405929</c:v>
                </c:pt>
                <c:pt idx="39">
                  <c:v>21.68427692792935</c:v>
                </c:pt>
                <c:pt idx="40">
                  <c:v>23.655574830468382</c:v>
                </c:pt>
                <c:pt idx="41">
                  <c:v>24.838353571991799</c:v>
                </c:pt>
                <c:pt idx="42">
                  <c:v>29.963728118593281</c:v>
                </c:pt>
                <c:pt idx="43">
                  <c:v>35.87762182621038</c:v>
                </c:pt>
                <c:pt idx="44">
                  <c:v>42.185775114335279</c:v>
                </c:pt>
                <c:pt idx="45">
                  <c:v>50.465226304999213</c:v>
                </c:pt>
                <c:pt idx="46">
                  <c:v>50.465226304999213</c:v>
                </c:pt>
                <c:pt idx="47">
                  <c:v>78.851916101561272</c:v>
                </c:pt>
                <c:pt idx="48">
                  <c:v>98.564895126951583</c:v>
                </c:pt>
                <c:pt idx="49">
                  <c:v>117.09509541081849</c:v>
                </c:pt>
                <c:pt idx="50">
                  <c:v>148.635861851443</c:v>
                </c:pt>
                <c:pt idx="51">
                  <c:v>178.20533038952846</c:v>
                </c:pt>
                <c:pt idx="52">
                  <c:v>223.93944172843399</c:v>
                </c:pt>
                <c:pt idx="53">
                  <c:v>268.49077432581612</c:v>
                </c:pt>
                <c:pt idx="54">
                  <c:v>311.85932818167481</c:v>
                </c:pt>
                <c:pt idx="55">
                  <c:v>422.25201072386056</c:v>
                </c:pt>
                <c:pt idx="56">
                  <c:v>610.70809020659203</c:v>
                </c:pt>
                <c:pt idx="57">
                  <c:v>663.14461441413027</c:v>
                </c:pt>
                <c:pt idx="58">
                  <c:v>805.86658255795612</c:v>
                </c:pt>
                <c:pt idx="59">
                  <c:v>958.44504021447722</c:v>
                </c:pt>
                <c:pt idx="60">
                  <c:v>1106.2923829049046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myData!AuSeries</c:f>
              <c:strCache>
                <c:ptCount val="1"/>
                <c:pt idx="0">
                  <c:v>Australia Limit 2.77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43922</c:v>
                </c:pt>
                <c:pt idx="67">
                  <c:v>43923</c:v>
                </c:pt>
                <c:pt idx="68">
                  <c:v>43930</c:v>
                </c:pt>
                <c:pt idx="69">
                  <c:v>43937</c:v>
                </c:pt>
                <c:pt idx="70">
                  <c:v>43944</c:v>
                </c:pt>
                <c:pt idx="71">
                  <c:v>43951</c:v>
                </c:pt>
                <c:pt idx="72">
                  <c:v>43958</c:v>
                </c:pt>
                <c:pt idx="73">
                  <c:v>43965</c:v>
                </c:pt>
                <c:pt idx="74">
                  <c:v>43972</c:v>
                </c:pt>
                <c:pt idx="75">
                  <c:v>43979</c:v>
                </c:pt>
                <c:pt idx="76">
                  <c:v>43986</c:v>
                </c:pt>
                <c:pt idx="77">
                  <c:v>43993</c:v>
                </c:pt>
                <c:pt idx="78">
                  <c:v>44000</c:v>
                </c:pt>
                <c:pt idx="79">
                  <c:v>44007</c:v>
                </c:pt>
                <c:pt idx="80">
                  <c:v>44014</c:v>
                </c:pt>
                <c:pt idx="81">
                  <c:v>44021</c:v>
                </c:pt>
                <c:pt idx="82">
                  <c:v>44028</c:v>
                </c:pt>
                <c:pt idx="83">
                  <c:v>44035</c:v>
                </c:pt>
                <c:pt idx="84">
                  <c:v>44042</c:v>
                </c:pt>
                <c:pt idx="85">
                  <c:v>44049</c:v>
                </c:pt>
                <c:pt idx="86">
                  <c:v>44056</c:v>
                </c:pt>
                <c:pt idx="87">
                  <c:v>44063</c:v>
                </c:pt>
                <c:pt idx="88">
                  <c:v>44070</c:v>
                </c:pt>
                <c:pt idx="89">
                  <c:v>44077</c:v>
                </c:pt>
                <c:pt idx="90">
                  <c:v>44084</c:v>
                </c:pt>
                <c:pt idx="91">
                  <c:v>44091</c:v>
                </c:pt>
                <c:pt idx="92">
                  <c:v>44098</c:v>
                </c:pt>
                <c:pt idx="93">
                  <c:v>44105</c:v>
                </c:pt>
                <c:pt idx="94">
                  <c:v>44112</c:v>
                </c:pt>
                <c:pt idx="95">
                  <c:v>44119</c:v>
                </c:pt>
                <c:pt idx="96">
                  <c:v>44126</c:v>
                </c:pt>
                <c:pt idx="97">
                  <c:v>44133</c:v>
                </c:pt>
                <c:pt idx="98">
                  <c:v>44140</c:v>
                </c:pt>
                <c:pt idx="99">
                  <c:v>44147</c:v>
                </c:pt>
                <c:pt idx="100">
                  <c:v>44154</c:v>
                </c:pt>
                <c:pt idx="101">
                  <c:v>44161</c:v>
                </c:pt>
                <c:pt idx="102">
                  <c:v>44168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3"/>
                <c:pt idx="0">
                  <c:v>5.0724640332058433E-4</c:v>
                </c:pt>
                <c:pt idx="1">
                  <c:v>6.5261295704497984E-4</c:v>
                </c:pt>
                <c:pt idx="2">
                  <c:v>8.3963861058294887E-4</c:v>
                </c:pt>
                <c:pt idx="3">
                  <c:v>1.0802620069837428E-3</c:v>
                </c:pt>
                <c:pt idx="4">
                  <c:v>1.3898431539671296E-3</c:v>
                </c:pt>
                <c:pt idx="5">
                  <c:v>1.7881439117228826E-3</c:v>
                </c:pt>
                <c:pt idx="6">
                  <c:v>2.3005894646051027E-3</c:v>
                </c:pt>
                <c:pt idx="7">
                  <c:v>2.9598912983305908E-3</c:v>
                </c:pt>
                <c:pt idx="8">
                  <c:v>3.8081352783853602E-3</c:v>
                </c:pt>
                <c:pt idx="9">
                  <c:v>4.8994681108457941E-3</c:v>
                </c:pt>
                <c:pt idx="10">
                  <c:v>6.3035536576652668E-3</c:v>
                </c:pt>
                <c:pt idx="11">
                  <c:v>8.1100197108614873E-3</c:v>
                </c:pt>
                <c:pt idx="12">
                  <c:v>1.0434179037502116E-2</c:v>
                </c:pt>
                <c:pt idx="13">
                  <c:v>1.3424389820104337E-2</c:v>
                </c:pt>
                <c:pt idx="14">
                  <c:v>1.7271525217921E-2</c:v>
                </c:pt>
                <c:pt idx="15">
                  <c:v>2.2221156328026292E-2</c:v>
                </c:pt>
                <c:pt idx="16">
                  <c:v>2.8589225899276274E-2</c:v>
                </c:pt>
                <c:pt idx="17">
                  <c:v>3.6782212760433794E-2</c:v>
                </c:pt>
                <c:pt idx="18">
                  <c:v>4.7323073218550608E-2</c:v>
                </c:pt>
                <c:pt idx="19">
                  <c:v>6.0884613845345402E-2</c:v>
                </c:pt>
                <c:pt idx="20">
                  <c:v>7.8332423441616839E-2</c:v>
                </c:pt>
                <c:pt idx="21">
                  <c:v>0.10078010050936008</c:v>
                </c:pt>
                <c:pt idx="22">
                  <c:v>0.12966029468244686</c:v>
                </c:pt>
                <c:pt idx="23">
                  <c:v>0.16681608548162749</c:v>
                </c:pt>
                <c:pt idx="24">
                  <c:v>0.21461851243481017</c:v>
                </c:pt>
                <c:pt idx="25">
                  <c:v>0.2761177274736949</c:v>
                </c:pt>
                <c:pt idx="26">
                  <c:v>0.35523736611443679</c:v>
                </c:pt>
                <c:pt idx="27">
                  <c:v>0.45702445859083923</c:v>
                </c:pt>
                <c:pt idx="28">
                  <c:v>0.58797069091678611</c:v>
                </c:pt>
                <c:pt idx="29">
                  <c:v>0.75642528689674537</c:v>
                </c:pt>
                <c:pt idx="30">
                  <c:v>0.97312547598958987</c:v>
                </c:pt>
                <c:pt idx="31">
                  <c:v>1.2518777622291846</c:v>
                </c:pt>
                <c:pt idx="32">
                  <c:v>1.610432413079818</c:v>
                </c:pt>
                <c:pt idx="33">
                  <c:v>2.0716052230629085</c:v>
                </c:pt>
                <c:pt idx="34">
                  <c:v>2.6647152390934514</c:v>
                </c:pt>
                <c:pt idx="35">
                  <c:v>3.4274254024044599</c:v>
                </c:pt>
                <c:pt idx="36">
                  <c:v>4.4080956484798808</c:v>
                </c:pt>
                <c:pt idx="37">
                  <c:v>5.6687855614291793</c:v>
                </c:pt>
                <c:pt idx="38">
                  <c:v>7.2890766680813721</c:v>
                </c:pt>
                <c:pt idx="39">
                  <c:v>9.3709228807780303</c:v>
                </c:pt>
                <c:pt idx="40">
                  <c:v>12.04478050193581</c:v>
                </c:pt>
                <c:pt idx="41">
                  <c:v>15.477313848034909</c:v>
                </c:pt>
                <c:pt idx="42">
                  <c:v>19.881013054070113</c:v>
                </c:pt>
                <c:pt idx="43">
                  <c:v>25.52608581506642</c:v>
                </c:pt>
                <c:pt idx="44">
                  <c:v>32.75497500137277</c:v>
                </c:pt>
                <c:pt idx="45">
                  <c:v>41.999776300252975</c:v>
                </c:pt>
                <c:pt idx="46">
                  <c:v>53.802631808571974</c:v>
                </c:pt>
                <c:pt idx="47">
                  <c:v>68.838777443638222</c:v>
                </c:pt>
                <c:pt idx="48">
                  <c:v>87.941211500002069</c:v>
                </c:pt>
                <c:pt idx="49">
                  <c:v>112.12478287547087</c:v>
                </c:pt>
                <c:pt idx="50">
                  <c:v>142.60570970733662</c:v>
                </c:pt>
                <c:pt idx="51">
                  <c:v>180.81001390718257</c:v>
                </c:pt>
                <c:pt idx="52">
                  <c:v>228.36114522065824</c:v>
                </c:pt>
                <c:pt idx="53">
                  <c:v>287.03361950973061</c:v>
                </c:pt>
                <c:pt idx="54">
                  <c:v>358.65698947902229</c:v>
                </c:pt>
                <c:pt idx="55">
                  <c:v>444.95513627475549</c:v>
                </c:pt>
                <c:pt idx="56">
                  <c:v>547.31299502011814</c:v>
                </c:pt>
                <c:pt idx="57">
                  <c:v>666.4797749259418</c:v>
                </c:pt>
                <c:pt idx="58">
                  <c:v>802.24544434231291</c:v>
                </c:pt>
                <c:pt idx="59">
                  <c:v>953.16038448109271</c:v>
                </c:pt>
                <c:pt idx="60">
                  <c:v>1116.3922969296002</c:v>
                </c:pt>
                <c:pt idx="61">
                  <c:v>1287.8093026075937</c:v>
                </c:pt>
                <c:pt idx="62">
                  <c:v>1462.3294454877762</c:v>
                </c:pt>
                <c:pt idx="63">
                  <c:v>1634.4926046839259</c:v>
                </c:pt>
                <c:pt idx="64">
                  <c:v>1799.1267947492811</c:v>
                </c:pt>
                <c:pt idx="65">
                  <c:v>1951.9422568517759</c:v>
                </c:pt>
                <c:pt idx="66">
                  <c:v>2089.9163990481611</c:v>
                </c:pt>
                <c:pt idx="67">
                  <c:v>2211.4129195882319</c:v>
                </c:pt>
                <c:pt idx="68">
                  <c:v>2658.243710571182</c:v>
                </c:pt>
                <c:pt idx="69" formatCode="0.00E+00">
                  <c:v>2753.5926289641416</c:v>
                </c:pt>
                <c:pt idx="70" formatCode="0.00E+00">
                  <c:v>2770.6236759629255</c:v>
                </c:pt>
                <c:pt idx="71" formatCode="0.00E+00">
                  <c:v>2773.5635085671247</c:v>
                </c:pt>
                <c:pt idx="72" formatCode="0.00E+00">
                  <c:v>2774.0679433033524</c:v>
                </c:pt>
                <c:pt idx="73" formatCode="0.00E+00">
                  <c:v>2774.1544083003901</c:v>
                </c:pt>
                <c:pt idx="74" formatCode="0.00E+00">
                  <c:v>2774.1692266220412</c:v>
                </c:pt>
                <c:pt idx="75" formatCode="0.00E+00">
                  <c:v>2774.1717661006874</c:v>
                </c:pt>
                <c:pt idx="76" formatCode="0.00E+00">
                  <c:v>2774.1722012996597</c:v>
                </c:pt>
                <c:pt idx="77" formatCode="0.00E+00">
                  <c:v>2774.1722758811011</c:v>
                </c:pt>
                <c:pt idx="78" formatCode="0.00E+00">
                  <c:v>2774.1722886623593</c:v>
                </c:pt>
                <c:pt idx="79" formatCode="0.00E+00">
                  <c:v>2774.172290852724</c:v>
                </c:pt>
                <c:pt idx="80" formatCode="0.00E+00">
                  <c:v>2774.1722912280939</c:v>
                </c:pt>
                <c:pt idx="81" formatCode="0.00E+00">
                  <c:v>2774.172291292422</c:v>
                </c:pt>
                <c:pt idx="82" formatCode="0.00E+00">
                  <c:v>2774.1722913034464</c:v>
                </c:pt>
                <c:pt idx="83" formatCode="0.00E+00">
                  <c:v>2774.1722913053354</c:v>
                </c:pt>
                <c:pt idx="84" formatCode="0.00E+00">
                  <c:v>2774.1722913056592</c:v>
                </c:pt>
                <c:pt idx="85" formatCode="0.00E+00">
                  <c:v>2774.1722913057147</c:v>
                </c:pt>
                <c:pt idx="86" formatCode="0.00E+00">
                  <c:v>2774.1722913057238</c:v>
                </c:pt>
                <c:pt idx="87" formatCode="0.00E+00">
                  <c:v>2774.1722913057256</c:v>
                </c:pt>
                <c:pt idx="88" formatCode="0.00E+00">
                  <c:v>2774.172291305726</c:v>
                </c:pt>
                <c:pt idx="89" formatCode="0.00E+00">
                  <c:v>2774.172291305726</c:v>
                </c:pt>
                <c:pt idx="90" formatCode="0.00E+00">
                  <c:v>2774.172291305726</c:v>
                </c:pt>
                <c:pt idx="91" formatCode="0.00E+00">
                  <c:v>2774.172291305726</c:v>
                </c:pt>
                <c:pt idx="92" formatCode="0.00E+00">
                  <c:v>2774.172291305726</c:v>
                </c:pt>
                <c:pt idx="93" formatCode="0.00E+00">
                  <c:v>2774.172291305726</c:v>
                </c:pt>
                <c:pt idx="94" formatCode="0.00E+00">
                  <c:v>2774.172291305726</c:v>
                </c:pt>
                <c:pt idx="95" formatCode="0.00E+00">
                  <c:v>2774.172291305726</c:v>
                </c:pt>
                <c:pt idx="96" formatCode="0.00E+00">
                  <c:v>2774.172291305726</c:v>
                </c:pt>
                <c:pt idx="97" formatCode="0.00E+00">
                  <c:v>2774.172291305726</c:v>
                </c:pt>
                <c:pt idx="98" formatCode="0.00E+00">
                  <c:v>2774.172291305726</c:v>
                </c:pt>
                <c:pt idx="99" formatCode="0.00E+00">
                  <c:v>2774.172291305726</c:v>
                </c:pt>
                <c:pt idx="100" formatCode="0.00E+00">
                  <c:v>2774.172291305726</c:v>
                </c:pt>
                <c:pt idx="101" formatCode="0.00E+00">
                  <c:v>2774.172291305726</c:v>
                </c:pt>
                <c:pt idx="102" formatCode="0.00E+00">
                  <c:v>2774.172291305726</c:v>
                </c:pt>
              </c:numCache>
            </c:numRef>
          </c:yVal>
          <c:smooth val="0"/>
        </c:ser>
        <c:ser>
          <c:idx val="8"/>
          <c:order val="10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myData!$DS$11:$DS$12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myData!$DU$11:$DU$12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99328"/>
        <c:axId val="782400112"/>
      </c:scatterChart>
      <c:valAx>
        <c:axId val="782399328"/>
        <c:scaling>
          <c:orientation val="minMax"/>
          <c:max val="43947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400112"/>
        <c:crossesAt val="1.0000000000000002E-2"/>
        <c:crossBetween val="midCat"/>
        <c:majorUnit val="14"/>
        <c:minorUnit val="7"/>
      </c:valAx>
      <c:valAx>
        <c:axId val="782400112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99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517796521"/>
          <c:y val="0.82106511438545426"/>
          <c:w val="0.43780116768655969"/>
          <c:h val="0.1443372053740807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chart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chart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chart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9"/>
  <sheetViews>
    <sheetView tabSelected="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2"/>
  <sheetViews>
    <sheetView zoomScale="8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21"/>
  <sheetViews>
    <sheetView zoomScale="85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20"/>
  <sheetViews>
    <sheetView zoomScale="85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19"/>
  <sheetViews>
    <sheetView zoomScale="85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15"/>
  <sheetViews>
    <sheetView zoomScale="85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18"/>
  <sheetViews>
    <sheetView zoomScale="95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16"/>
  <sheetViews>
    <sheetView zoomScale="85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17"/>
  <sheetViews>
    <sheetView zoomScale="95" workbookViewId="0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Chart4"/>
  <sheetViews>
    <sheetView zoomScale="85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Chart14"/>
  <sheetViews>
    <sheetView zoomScale="85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Chart13"/>
  <sheetViews>
    <sheetView zoomScale="85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Chart12"/>
  <sheetViews>
    <sheetView zoomScale="98" workbookViewId="0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Chart7"/>
  <sheetViews>
    <sheetView zoomScale="98" workbookViewId="0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Chart1"/>
  <sheetViews>
    <sheetView zoomScale="106" workbookViewId="0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>
  <sheetPr codeName="Chart2"/>
  <sheetViews>
    <sheetView zoomScale="85" workbookViewId="0" zoomToFit="1"/>
  </sheetViews>
  <pageMargins left="0.7" right="0.7" top="0.75" bottom="0.75" header="0.3" footer="0.3"/>
  <drawing r:id="rId1"/>
</chartsheet>
</file>

<file path=xl/chartsheets/sheet17.xml><?xml version="1.0" encoding="utf-8"?>
<chartsheet xmlns="http://schemas.openxmlformats.org/spreadsheetml/2006/main" xmlns:r="http://schemas.openxmlformats.org/officeDocument/2006/relationships">
  <sheetPr codeName="Chart3"/>
  <sheetViews>
    <sheetView zoomScale="85" workbookViewId="0" zoomToFit="1"/>
  </sheetViews>
  <pageMargins left="0.7" right="0.7" top="0.75" bottom="0.75" header="0.3" footer="0.3"/>
  <drawing r:id="rId1"/>
</chartsheet>
</file>

<file path=xl/chartsheets/sheet18.xml><?xml version="1.0" encoding="utf-8"?>
<chartsheet xmlns="http://schemas.openxmlformats.org/spreadsheetml/2006/main" xmlns:r="http://schemas.openxmlformats.org/officeDocument/2006/relationships">
  <sheetPr codeName="Chart5"/>
  <sheetViews>
    <sheetView zoomScale="85" workbookViewId="0" zoomToFit="1"/>
  </sheetViews>
  <pageMargins left="0.7" right="0.7" top="0.75" bottom="0.75" header="0.3" footer="0.3"/>
  <drawing r:id="rId1"/>
</chartsheet>
</file>

<file path=xl/chartsheets/sheet19.xml><?xml version="1.0" encoding="utf-8"?>
<chartsheet xmlns="http://schemas.openxmlformats.org/spreadsheetml/2006/main" xmlns:r="http://schemas.openxmlformats.org/officeDocument/2006/relationships">
  <sheetPr codeName="Chart6"/>
  <sheetViews>
    <sheetView zoomScale="85" workbookViewId="0" zoomToFit="1"/>
  </sheetViews>
  <pageMargins left="0.7" right="0.7" top="0.75" bottom="0.75" header="0.3" footer="0.3"/>
  <drawing r:id="rId1"/>
</chartsheet>
</file>

<file path=xl/chartsheets/sheet20.xml><?xml version="1.0" encoding="utf-8"?>
<chartsheet xmlns="http://schemas.openxmlformats.org/spreadsheetml/2006/main" xmlns:r="http://schemas.openxmlformats.org/officeDocument/2006/relationships">
  <sheetPr codeName="Chart8"/>
  <sheetViews>
    <sheetView zoomScale="85" workbookViewId="0" zoomToFit="1"/>
  </sheetViews>
  <pageMargins left="0.7" right="0.7" top="0.75" bottom="0.75" header="0.3" footer="0.3"/>
  <drawing r:id="rId1"/>
</chartsheet>
</file>

<file path=xl/chartsheets/sheet21.xml><?xml version="1.0" encoding="utf-8"?>
<chartsheet xmlns="http://schemas.openxmlformats.org/spreadsheetml/2006/main" xmlns:r="http://schemas.openxmlformats.org/officeDocument/2006/relationships">
  <sheetPr codeName="Chart11"/>
  <sheetViews>
    <sheetView zoomScale="85" workbookViewId="0" zoomToFit="1"/>
  </sheetViews>
  <pageMargins left="0.7" right="0.7" top="0.75" bottom="0.75" header="0.3" footer="0.3"/>
  <drawing r:id="rId1"/>
</chartsheet>
</file>

<file path=xl/chartsheets/sheet22.xml><?xml version="1.0" encoding="utf-8"?>
<chartsheet xmlns="http://schemas.openxmlformats.org/spreadsheetml/2006/main" xmlns:r="http://schemas.openxmlformats.org/officeDocument/2006/relationships">
  <sheetPr codeName="Chart10"/>
  <sheetViews>
    <sheetView zoomScale="9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gif"/><Relationship Id="rId3" Type="http://schemas.openxmlformats.org/officeDocument/2006/relationships/image" Target="../media/image4.gif"/><Relationship Id="rId7" Type="http://schemas.openxmlformats.org/officeDocument/2006/relationships/image" Target="../media/image8.gif"/><Relationship Id="rId2" Type="http://schemas.openxmlformats.org/officeDocument/2006/relationships/image" Target="../media/image3.gif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gif"/><Relationship Id="rId4" Type="http://schemas.openxmlformats.org/officeDocument/2006/relationships/image" Target="../media/image5.gif"/><Relationship Id="rId9" Type="http://schemas.openxmlformats.org/officeDocument/2006/relationships/image" Target="../media/image10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82</xdr:col>
      <xdr:colOff>452006</xdr:colOff>
      <xdr:row>24</xdr:row>
      <xdr:rowOff>47524</xdr:rowOff>
    </xdr:from>
    <xdr:to>
      <xdr:col>92</xdr:col>
      <xdr:colOff>891029</xdr:colOff>
      <xdr:row>49</xdr:row>
      <xdr:rowOff>57165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161925</xdr:rowOff>
        </xdr:from>
        <xdr:to>
          <xdr:col>1</xdr:col>
          <xdr:colOff>561975</xdr:colOff>
          <xdr:row>5</xdr:row>
          <xdr:rowOff>171450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GetJHConfirmed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4</xdr:row>
          <xdr:rowOff>19050</xdr:rowOff>
        </xdr:from>
        <xdr:to>
          <xdr:col>2</xdr:col>
          <xdr:colOff>171450</xdr:colOff>
          <xdr:row>5</xdr:row>
          <xdr:rowOff>180975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SolveAll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0.52467</cdr:x>
      <cdr:y>0.24125</cdr:y>
    </cdr:from>
    <cdr:to>
      <cdr:x>0.63779</cdr:x>
      <cdr:y>0.48987</cdr:y>
    </cdr:to>
    <cdr:sp macro="" textlink="">
      <cdr:nvSpPr>
        <cdr:cNvPr id="3" name="Rectangle 2"/>
        <cdr:cNvSpPr/>
      </cdr:nvSpPr>
      <cdr:spPr>
        <a:xfrm xmlns:a="http://schemas.openxmlformats.org/drawingml/2006/main">
          <a:off x="4885765" y="1467971"/>
          <a:ext cx="1053353" cy="1512794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>
            <a:alpha val="25000"/>
          </a:srgb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0.41396</cdr:x>
      <cdr:y>0.42357</cdr:y>
    </cdr:from>
    <cdr:to>
      <cdr:x>0.52106</cdr:x>
      <cdr:y>0.65562</cdr:y>
    </cdr:to>
    <cdr:sp macro="" textlink="">
      <cdr:nvSpPr>
        <cdr:cNvPr id="4" name="Rectangle 3"/>
        <cdr:cNvSpPr/>
      </cdr:nvSpPr>
      <cdr:spPr>
        <a:xfrm xmlns:a="http://schemas.openxmlformats.org/drawingml/2006/main">
          <a:off x="3854823" y="2577352"/>
          <a:ext cx="997324" cy="1411941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28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0.65704</cdr:x>
      <cdr:y>0.22836</cdr:y>
    </cdr:from>
    <cdr:to>
      <cdr:x>0.85078</cdr:x>
      <cdr:y>0.42726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6118411" y="1389529"/>
          <a:ext cx="1804147" cy="1210236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14000"/>
          </a:srgb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829675" cy="57721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0.60086</cdr:x>
      <cdr:y>0.67161</cdr:y>
    </cdr:from>
    <cdr:to>
      <cdr:x>0.82848</cdr:x>
      <cdr:y>0.81188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5305399" y="3876634"/>
          <a:ext cx="2009810" cy="809659"/>
        </a:xfrm>
        <a:prstGeom xmlns:a="http://schemas.openxmlformats.org/drawingml/2006/main" prst="wedgeRectCallout">
          <a:avLst>
            <a:gd name="adj1" fmla="val -44055"/>
            <a:gd name="adj2" fmla="val -162206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baseline="0"/>
            <a:t>For last 2 weesk Au, NSW, UK and US cases virtually straight line on Log Scale ==&gt; unlimited expoonetnial growth</a:t>
          </a:r>
          <a:endParaRPr lang="en-US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0.08544</cdr:x>
      <cdr:y>0.07919</cdr:y>
    </cdr:from>
    <cdr:to>
      <cdr:x>0.98436</cdr:x>
      <cdr:y>0.27993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795619" y="481852"/>
          <a:ext cx="8370794" cy="1221441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18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0.63696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78558" y="556861"/>
          <a:ext cx="3669427" cy="3313297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0.62936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860676" y="786216"/>
          <a:ext cx="3294503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894314" y="1398210"/>
          <a:ext cx="943356" cy="602993"/>
        </a:xfrm>
        <a:prstGeom xmlns:a="http://schemas.openxmlformats.org/drawingml/2006/main" prst="wedgeRectCallout">
          <a:avLst>
            <a:gd name="adj1" fmla="val 72206"/>
            <a:gd name="adj2" fmla="val -190614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13653" y="1429124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2</xdr:col>
          <xdr:colOff>38100</xdr:colOff>
          <xdr:row>3</xdr:row>
          <xdr:rowOff>57150</xdr:rowOff>
        </xdr:to>
        <xdr:sp macro="" textlink="">
          <xdr:nvSpPr>
            <xdr:cNvPr id="11266" name="CreateChartIndex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</a:rPr>
                <a:t>Create Chart Index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33500"/>
          <a:ext cx="6096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72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001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1239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4478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7716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1145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24384000"/>
          <a:ext cx="609600" cy="2857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27813000"/>
          <a:ext cx="609600" cy="57150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0.5367</cdr:x>
      <cdr:y>0.17525</cdr:y>
    </cdr:from>
    <cdr:to>
      <cdr:x>0.97954</cdr:x>
      <cdr:y>0.90255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97797" y="1066363"/>
          <a:ext cx="4123765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0.53429</cdr:x>
      <cdr:y>0.1863</cdr:y>
    </cdr:from>
    <cdr:to>
      <cdr:x>0.97713</cdr:x>
      <cdr:y>0.9136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75384" y="1133598"/>
          <a:ext cx="4123765" cy="442547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0.10229</cdr:x>
      <cdr:y>0.32965</cdr:y>
    </cdr:from>
    <cdr:to>
      <cdr:x>0.20578</cdr:x>
      <cdr:y>0.43094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52501" y="2005852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Entire Population Infected</a:t>
          </a:r>
        </a:p>
      </cdr:txBody>
    </cdr:sp>
  </cdr:relSizeAnchor>
  <cdr:relSizeAnchor xmlns:cdr="http://schemas.openxmlformats.org/drawingml/2006/chartDrawing">
    <cdr:from>
      <cdr:x>0.07461</cdr:x>
      <cdr:y>0.27072</cdr:y>
    </cdr:from>
    <cdr:to>
      <cdr:x>0.51625</cdr:x>
      <cdr:y>0.27256</cdr:y>
    </cdr:to>
    <cdr:cxnSp macro="">
      <cdr:nvCxnSpPr>
        <cdr:cNvPr id="5" name="Straight Connector 4"/>
        <cdr:cNvCxnSpPr/>
      </cdr:nvCxnSpPr>
      <cdr:spPr>
        <a:xfrm xmlns:a="http://schemas.openxmlformats.org/drawingml/2006/main" flipV="1">
          <a:off x="694765" y="1647265"/>
          <a:ext cx="4112559" cy="11206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8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9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0.58306</cdr:x>
      <cdr:y>0.16426</cdr:y>
    </cdr:from>
    <cdr:to>
      <cdr:x>0.97786</cdr:x>
      <cdr:y>0.81267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48230" y="948118"/>
          <a:ext cx="3485956" cy="37427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0.72163</cdr:x>
      <cdr:y>0.9505</cdr:y>
    </cdr:from>
    <cdr:to>
      <cdr:x>0.97087</cdr:x>
      <cdr:y>0.99505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6707114" y="5775188"/>
          <a:ext cx="2316535" cy="270683"/>
        </a:xfrm>
        <a:prstGeom xmlns:a="http://schemas.openxmlformats.org/drawingml/2006/main" prst="wedgeRectCallout">
          <a:avLst>
            <a:gd name="adj1" fmla="val 31552"/>
            <a:gd name="adj2" fmla="val -88824"/>
          </a:avLst>
        </a:prstGeom>
        <a:solidFill xmlns:a="http://schemas.openxmlformats.org/drawingml/2006/main">
          <a:schemeClr val="accent4">
            <a:lumMod val="20000"/>
            <a:lumOff val="80000"/>
            <a:alpha val="25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>
              <a:solidFill>
                <a:srgbClr val="FF0000"/>
              </a:solidFill>
            </a:rPr>
            <a:t>Entire Population Infected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perso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stRefs"/>
    </sheetNames>
    <definedNames>
      <definedName name="CreateChartIndex"/>
    </defined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tblData" displayName="tblData" ref="B10:BW117" totalsRowShown="0" headerRowDxfId="86">
  <autoFilter ref="B10:BW117"/>
  <tableColumns count="74">
    <tableColumn id="1" name="Date" dataDxfId="85"/>
    <tableColumn id="3" name="From Diamond Princess"/>
    <tableColumn id="12" name="Australian Capital Territory"/>
    <tableColumn id="4" name="New South Wales"/>
    <tableColumn id="5" name="Northern Territory"/>
    <tableColumn id="6" name="Queensland"/>
    <tableColumn id="7" name="South Australia"/>
    <tableColumn id="8" name="Tasmania"/>
    <tableColumn id="9" name="Victoria"/>
    <tableColumn id="10" name="Western Australia"/>
    <tableColumn id="37" name="NSW Cases per Capita" dataDxfId="84">
      <calculatedColumnFormula>tblData[[#This Row],[New South Wales]]/$L$9</calculatedColumnFormula>
    </tableColumn>
    <tableColumn id="27" name="Italy"/>
    <tableColumn id="38" name="Italy Cases per Capita" dataDxfId="83">
      <calculatedColumnFormula>IF(ISNUMBER(tblData[Italy]),tblData[Italy]/$N$9,"")</calculatedColumnFormula>
    </tableColumn>
    <tableColumn id="28" name="US"/>
    <tableColumn id="39" name="US Cases Per Capita" dataDxfId="82">
      <calculatedColumnFormula>IF(ISNUMBER(tblData[US]),tblData[US]/$P$9,"")</calculatedColumnFormula>
    </tableColumn>
    <tableColumn id="49" name="SKorea" dataDxfId="81"/>
    <tableColumn id="50" name="SKorea Cases Per Capita" dataDxfId="80">
      <calculatedColumnFormula>IF(ISNUMBER(tblData[SKorea]),tblData[SKorea]/$R$9,"")</calculatedColumnFormula>
    </tableColumn>
    <tableColumn id="51" name="UK" dataDxfId="79"/>
    <tableColumn id="52" name="UK Cases Per Capita" dataDxfId="78">
      <calculatedColumnFormula>IF(ISNUMBER(tblData[UK]),tblData[UK]/$T$9,"")</calculatedColumnFormula>
    </tableColumn>
    <tableColumn id="31" name="China"/>
    <tableColumn id="40" name="China Cases Per Capita" dataDxfId="77">
      <calculatedColumnFormula>IF(ISNUMBER(tblData[China]),tblData[China]/$V$9,"")</calculatedColumnFormula>
    </tableColumn>
    <tableColumn id="61" name="Singapore" dataDxfId="76"/>
    <tableColumn id="60" name="Singapore Cases Per Capita" dataDxfId="75">
      <calculatedColumnFormula>IF(ISNUMBER(tblData[Singapore]),tblData[Singapore]/$X$9,"")</calculatedColumnFormula>
    </tableColumn>
    <tableColumn id="66" name="Generic" dataDxfId="74"/>
    <tableColumn id="67" name="Generic Cases Per Capita" dataDxfId="73">
      <calculatedColumnFormula>IF(AND(LEN(tblData[Generic])&gt;0,ISNUMBER(tblData[Generic])),tblData[Generic]/$Z$9,"")</calculatedColumnFormula>
    </tableColumn>
    <tableColumn id="11" name="Days# Italy">
      <calculatedColumnFormula>IF($B11&lt;CC$13,"",$B11-CC$13)</calculatedColumnFormula>
    </tableColumn>
    <tableColumn id="26" name="Days# US">
      <calculatedColumnFormula>IF(tblData[[#This Row],[Date]]&lt;USStart,"",tblData[[#This Row],[Date]]-USStart)</calculatedColumnFormula>
    </tableColumn>
    <tableColumn id="32" name="Days# China">
      <calculatedColumnFormula>IF(tblData[[#This Row],[Date]]&lt;ChinaStart,"",tblData[[#This Row],[Date]]-ChinaStart)</calculatedColumnFormula>
    </tableColumn>
    <tableColumn id="54" name="Days# Skorea" dataDxfId="72">
      <calculatedColumnFormula>IF(tblData[[#This Row],[Date]]&lt;StartDt2Korea,"",tblData[[#This Row],[Date]]-StartDt2Korea)</calculatedColumnFormula>
    </tableColumn>
    <tableColumn id="53" name="Days# UK" dataDxfId="71">
      <calculatedColumnFormula>IF(tblData[[#This Row],[Date]]&lt;UKStart,"",tblData[[#This Row],[Date]]-UKStart)</calculatedColumnFormula>
    </tableColumn>
    <tableColumn id="65" name="Day# Singapore" dataDxfId="70">
      <calculatedColumnFormula>IF(tblData[[#This Row],[Date]]&lt;SingaporeStart,"",tblData[[#This Row],[Date]]-SingaporeStart)</calculatedColumnFormula>
    </tableColumn>
    <tableColumn id="68" name="Day# Generic" dataDxfId="69">
      <calculatedColumnFormula>IF(tblData[[#This Row],[Date]]&lt;GenStart,"",tblData[[#This Row],[Date]]-GenStart)</calculatedColumnFormula>
    </tableColumn>
    <tableColumn id="13" name="Day# Aust" dataDxfId="68">
      <calculatedColumnFormula>IF(tblData[Date]&gt;=StartDt2Au,tblData[Date]-StartDt2Au,"")</calculatedColumnFormula>
    </tableColumn>
    <tableColumn id="14" name="Au">
      <calculatedColumnFormula>SUM(C11:K11)</calculatedColumnFormula>
    </tableColumn>
    <tableColumn id="42" name="Au Cases Per Capita" dataDxfId="67">
      <calculatedColumnFormula>IF(ISNUMBER(tblData[Au]),tblData[Au]/$AE$9,"")</calculatedColumnFormula>
    </tableColumn>
    <tableColumn id="19" name="Au LogiP(t)" dataDxfId="66">
      <calculatedColumnFormula>IF(ISNUMBER(tblData[[#This Row],[Day'# Aust]]),betaAu/(deltaAu+betaPodeltaAu*EXP(-betaAu*tblData[[#This Row],[Day'# Aust]])),"")</calculatedColumnFormula>
    </tableColumn>
    <tableColumn id="47" name="Au LogiP(t) Per Capita" dataDxfId="65">
      <calculatedColumnFormula>IF(ISNUMBER(tblData[Day'# Aust]),tblData[Au LogiP(t)]/$AJ$9,"")</calculatedColumnFormula>
    </tableColumn>
    <tableColumn id="48" name="AU Sq Err" dataDxfId="64">
      <calculatedColumnFormula>IF(AND(tblData[Date]&gt;=StartDt2Au,ISNUMBER(tblData[NSW])),(tblData[[#This Row],[Au LogiP(t)]]-tblData[[#This Row],[Au]])^2,"")</calculatedColumnFormula>
    </tableColumn>
    <tableColumn id="15" name="Day # NSW" dataDxfId="63">
      <calculatedColumnFormula>IF(tblData[Date]&gt;StartDt2NSW,tblData[Date]-StartDt2NSW,"")</calculatedColumnFormula>
    </tableColumn>
    <tableColumn id="16" name="NSW">
      <calculatedColumnFormula>E11</calculatedColumnFormula>
    </tableColumn>
    <tableColumn id="17" name="NSW LogiP(t)" dataDxfId="62">
      <calculatedColumnFormula>IF(tblData[Date]&gt;StartDt2NSW,betaNSW/(deltaNSW+betaPodeltaNSW*EXP(-betaNSW*tblData[[#This Row],[Day '# NSW]])),"")</calculatedColumnFormula>
    </tableColumn>
    <tableColumn id="18" name="NSW Sq Err" dataDxfId="61">
      <calculatedColumnFormula>IF(AND(ISNUMBER(tblData[NSW]),tblData[Date]&gt;StartDt2NSW),(tblData[[#This Row],[NSW LogiP(t)]]-tblData[[#This Row],[NSW]])^2,"")</calculatedColumnFormula>
    </tableColumn>
    <tableColumn id="43" name="Nsw LogiP(t) Per Capita" dataDxfId="60">
      <calculatedColumnFormula>IF(AND(tblData[Date]&gt;StartDt2NSW,ISNUMBER(tblData[Day'# Aust])),tblData[NSW LogiP(t)]/$AQ$9,"")</calculatedColumnFormula>
    </tableColumn>
    <tableColumn id="20" name="Italy LogiP(t)" dataDxfId="59">
      <calculatedColumnFormula>IF(AND(tblData[Date]&gt;StartDt2Italy,ISNUMBER(tblData[Days'# Italy])),betaItaly/(deltaItaly+betaPodeltaItaly*EXP(-betaItaly*tblData[Days'# Italy])),"")</calculatedColumnFormula>
    </tableColumn>
    <tableColumn id="21" name="Italy Sq Err" dataDxfId="58">
      <calculatedColumnFormula>IF(AND(tblData[Date]&gt;StartDt2Italy,ISNUMBER(tblData[Italy])),(tblData[[#This Row],[Italy LogiP(t)]]-tblData[[#This Row],[Italy]])^2,"")</calculatedColumnFormula>
    </tableColumn>
    <tableColumn id="44" name="Italy LogiP(t) Per Capita" dataDxfId="57">
      <calculatedColumnFormula>IF(AND(tblData[Date]&gt;StartDt2Italy,ISNUMBER(tblData[Days'# Italy])),tblData[[#This Row],[Italy LogiP(t)]]/$AT$9,"")</calculatedColumnFormula>
    </tableColumn>
    <tableColumn id="29" name="US LogiP(t)" dataDxfId="56">
      <calculatedColumnFormula>betaUS/(deltaUS+betaPodeltaUS*EXP(-betaUS*tblData[Days'# US]))</calculatedColumnFormula>
    </tableColumn>
    <tableColumn id="30" name="US Sq Err" dataDxfId="55">
      <calculatedColumnFormula>IF(AND(tblData[Date]&gt;=StartDt2US,ISNUMBER(tblData[US])),(tblData[[#This Row],[US LogiP(t)]]-tblData[US])^2,"")</calculatedColumnFormula>
    </tableColumn>
    <tableColumn id="46" name="US LogiP(t) Per Capita" dataDxfId="54">
      <calculatedColumnFormula>IF(ISNUMBER(tblData[[#This Row],[Days'# US]]),tblData[[#This Row],[US LogiP(t)]]/$AW$9,"")</calculatedColumnFormula>
    </tableColumn>
    <tableColumn id="41" name="SKorea LogiP(t)" dataDxfId="53">
      <calculatedColumnFormula>IF(tblData[Date]&gt;=StartDt2Korea,betaSKorea/(deltaSKorea+betaPodeltaSKorea*EXP(-betaSKorea*(tblData[Date]-StartDt2Korea))),"")</calculatedColumnFormula>
    </tableColumn>
    <tableColumn id="55" name="Skorea Sq Err" dataDxfId="52">
      <calculatedColumnFormula>IF(AND(tblData[Date]&gt;=StartDt2Korea,ISNUMBER(tblData[SKorea])),(tblData[[#This Row],[SKorea LogiP(t)]]-tblData[[#This Row],[SKorea]])^2,"")</calculatedColumnFormula>
    </tableColumn>
    <tableColumn id="56" name="Skorea LogiP(t) Per Capita" dataDxfId="51">
      <calculatedColumnFormula>IF(tblData[Date]&gt;=StartDt2Korea,tblData[[#This Row],[SKorea LogiP(t)]]/$AZ$9,"")</calculatedColumnFormula>
    </tableColumn>
    <tableColumn id="57" name="UK LogiP(t)" dataDxfId="50">
      <calculatedColumnFormula>IF(ISNUMBER(tblData[Days'# UK]),betaUK/(deltaUK+betaPodeltaUK*EXP(-betaUK*tblData[Days'# UK])),"")</calculatedColumnFormula>
    </tableColumn>
    <tableColumn id="58" name="UK Sq Err" dataDxfId="49">
      <calculatedColumnFormula>IF(ISNUMBER(tblData[UK]),(tblData[[#This Row],[UK LogiP(t)]]-tblData[[#This Row],[UK]])^2,"")</calculatedColumnFormula>
    </tableColumn>
    <tableColumn id="59" name="UK LogiP(t) Per Capita" dataDxfId="48">
      <calculatedColumnFormula>IF(ISNUMBER(tblData[Days'# UK]),tblData[[#This Row],[UK LogiP(t)]]/$BC$9,"")</calculatedColumnFormula>
    </tableColumn>
    <tableColumn id="34" name="China LogiP(t)" dataDxfId="47">
      <calculatedColumnFormula>IF(ISNUMBER(tblData[Days'# China]),betaChina/(deltaChina+betaPodeltaChina*EXP(-betaChina*tblData[Days'# China])),"")</calculatedColumnFormula>
    </tableColumn>
    <tableColumn id="33" name="China Sq Err" dataDxfId="46">
      <calculatedColumnFormula>IF(ISNUMBER(tblData[China]),(tblData[[#This Row],[China LogiP(t)]]-tblData[[#This Row],[China]])^2,"")</calculatedColumnFormula>
    </tableColumn>
    <tableColumn id="45" name="China LogiP(t) Per Capita" dataDxfId="45">
      <calculatedColumnFormula>tblData[[#This Row],[China LogiP(t)]]/$BF$9</calculatedColumnFormula>
    </tableColumn>
    <tableColumn id="64" name="Singapore LogiP(t)" dataDxfId="44">
      <calculatedColumnFormula>IF(ISNUMBER(tblData[Day'# Singapore]),betaSingapore/(deltaSingapore+betaPodeltaSingapore*EXP(-betaSingapore*tblData[Day'# Singapore])),"")</calculatedColumnFormula>
    </tableColumn>
    <tableColumn id="63" name="Singapore Sq Err" dataDxfId="43">
      <calculatedColumnFormula>IF(AND(ISNUMBER(tblData[Singapore]),tblData[Date]&gt;=StartDt2Singapore),(tblData[[#This Row],[Singapore LogiP(t)]]-tblData[[#This Row],[Singapore]])^2,"")</calculatedColumnFormula>
    </tableColumn>
    <tableColumn id="62" name="Singapore LogiP(t) Per Capita" dataDxfId="42">
      <calculatedColumnFormula>IF(ISNUMBER(tblData[Day'# Singapore]),tblData[Singapore LogiP(t)]/$BI$9,"")</calculatedColumnFormula>
    </tableColumn>
    <tableColumn id="70" name="Generic LogiP(t)" dataDxfId="41">
      <calculatedColumnFormula>IF(ISNUMBER(tblData[Day'# Generic]),betaGeneric/(deltaGeneric+betaPodeltaGeneric*EXP(-betaGeneric*tblData[Day'# Generic])),"")</calculatedColumnFormula>
    </tableColumn>
    <tableColumn id="71" name="Generic Sq Err" dataDxfId="40">
      <calculatedColumnFormula>IF(AND(ISNUMBER(tblData[Generic]),tblData[Date]&gt;=StartDt2Generic),(tblData[Generic LogiP(t)]-tblData[[#This Row],[Generic]])^2,"")</calculatedColumnFormula>
    </tableColumn>
    <tableColumn id="72" name="Generic LogiP(t) Per Capita" dataDxfId="39">
      <calculatedColumnFormula>IF(ISNUMBER(tblData[Day'# Generic]),tblData[Generic LogiP(t)]/$BL$9,"")</calculatedColumnFormula>
    </tableColumn>
    <tableColumn id="22" name="Tests" dataDxfId="38"/>
    <tableColumn id="23" name="NSW Under Investigation'" dataDxfId="37"/>
    <tableColumn id="24" name="Increase NSW Tests/Day " dataDxfId="6">
      <calculatedColumnFormula>IF(ISNUMBER(tblData[[#This Row],[Tests]]),tblData[[#This Row],[Tests]]-BP10,"")</calculatedColumnFormula>
    </tableColumn>
    <tableColumn id="25" name="IncreasNSW Investig" dataDxfId="36">
      <calculatedColumnFormula>IF(ISNUMBER(tblData[[#This Row],[NSW Under Investigation'']]),tblData[[#This Row],[NSW Under Investigation'']]-BO10,"")</calculatedColumnFormula>
    </tableColumn>
    <tableColumn id="36" name="NSW Test Day Number" dataDxfId="35"/>
    <tableColumn id="2" name="NSW Test Logi" dataDxfId="7">
      <calculatedColumnFormula>IF(AND(tblData[[#This Row],[NSW Test Day Number]]&gt;0,ISNUMBER(tblData[[#This Row],[NSW Test Day Number]])),betaTests/(deltaTests+betaPodeltaTests*EXP(-betaTests*tblData[[#This Row],[NSW Test Day Number]])),"")</calculatedColumnFormula>
    </tableColumn>
    <tableColumn id="35" name="NSW Test Sq Err" dataDxfId="34">
      <calculatedColumnFormula>IF(tblData[Tests]&gt;0,(tblData[[#This Row],[Tests]]-tblData[[#This Row],[NSW Test Logi]])^2,"")</calculatedColumnFormula>
    </tableColumn>
    <tableColumn id="69" name="NSW Test Per Capita" dataDxfId="33">
      <calculatedColumnFormula>IF(ISNUMBER(tblData[Tests]),tblData[Tests]/$BS$9/100,"")</calculatedColumnFormula>
    </tableColumn>
    <tableColumn id="73" name="NSW Test LOGEST" dataDxfId="5">
      <calculatedColumnFormula>IF(AND(tblData[[#This Row],[NSW Test Day Number]]&gt;0,ISNUMBER(tblData[[#This Row],[NSW Test Day Number]])),TestsLogestB*TestsLogestM^tblData[[#This Row],[NSW Test Day Number]],"")</calculatedColumnFormula>
    </tableColumn>
    <tableColumn id="75" name="Test LOGEST Sq Err" dataDxfId="4">
      <calculatedColumnFormula>IF(AND(tblData[[#This Row],[NSW Test Day Number]]&gt;0,ISNUMBER(tblData[Tests])),(tblData[Tests]-tblData[[#This Row],[NSW Test Per Capita]])^2,"")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Runs" displayName="tblRuns" ref="CA10:DF20" totalsRowShown="0" headerRowDxfId="32">
  <autoFilter ref="CA10:DF20"/>
  <tableColumns count="32">
    <tableColumn id="1" name="Place"/>
    <tableColumn id="2" name="RunTime" dataDxfId="31"/>
    <tableColumn id="3" name="Day 0" dataDxfId="30"/>
    <tableColumn id="4" name="Logistic Start2" dataDxfId="29"/>
    <tableColumn id="5" name="Sort Order"/>
    <tableColumn id="6" name="b" dataDxfId="28"/>
    <tableColumn id="7" name="d" dataDxfId="27"/>
    <tableColumn id="8" name="Po" dataDxfId="26"/>
    <tableColumn id="9" name="Asymptote b/d"/>
    <tableColumn id="10" name="Mean Sq Err" dataDxfId="25"/>
    <tableColumn id="11" name="(beta/Po)-delta" dataDxfId="3"/>
    <tableColumn id="12" name="delta*1000" dataDxfId="2">
      <calculatedColumnFormula>tblRuns[d]*1000</calculatedColumnFormula>
    </tableColumn>
    <tableColumn id="13" name="AtDate" dataDxfId="24"/>
    <tableColumn id="14" name="Asymptote" dataDxfId="23"/>
    <tableColumn id="15" name="Limit Cases" dataDxfId="22"/>
    <tableColumn id="16" name="MaxCases"/>
    <tableColumn id="17" name="Asymp PerP"/>
    <tableColumn id="18" name="Last Date" dataDxfId="21"/>
    <tableColumn id="19" name="Points" dataDxfId="20"/>
    <tableColumn id="20" name="Parameter List" dataDxfId="19"/>
    <tableColumn id="21" name="Logistic Eqn"/>
    <tableColumn id="22" name="SeriesLabel"/>
    <tableColumn id="23" name="Notes"/>
    <tableColumn id="24" name="ChartLabel" dataDxfId="18"/>
    <tableColumn id="25" name="Max Cases Per Capita" dataDxfId="17"/>
    <tableColumn id="26" name="Date of NSW Case Match" dataDxfId="16"/>
    <tableColumn id="27" name="Days NSW is Behind" dataDxfId="15"/>
    <tableColumn id="28" name="Data of AUS Case Match" dataDxfId="14"/>
    <tableColumn id="29" name="Days AU is Behind" dataDxfId="13"/>
    <tableColumn id="30" name="SummaryWords"/>
    <tableColumn id="31" name="GrowthInNextWeek" dataDxfId="0">
      <calculatedColumnFormula>INDEX(tblData[NSW LogiP(t)],MATCH(VALUE(tblRuns[AtDate])+7,tblData[Date],0))</calculatedColumnFormula>
    </tableColumn>
    <tableColumn id="32" name="MSQ per MaxCasesPerCapita" dataDxfId="1">
      <calculatedColumnFormula>tblRuns[Mean Sq Err]/tblRuns[Max Cases Per Capita]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id="2" name="tblPopulation" displayName="tblPopulation" ref="K1:T12" totalsRowShown="0">
  <autoFilter ref="K1:T12"/>
  <tableColumns count="10">
    <tableColumn id="1" name="Country"/>
    <tableColumn id="5" name="CtryAbbrev"/>
    <tableColumn id="2" name="State"/>
    <tableColumn id="3" name="Population" dataDxfId="12"/>
    <tableColumn id="7" name="SumStates" dataDxfId="11"/>
    <tableColumn id="8" name="MinLoadingDate" dataDxfId="10"/>
    <tableColumn id="4" name="Day 0" dataDxfId="9"/>
    <tableColumn id="6" name="Logistic Start2" dataDxfId="8"/>
    <tableColumn id="9" name="JHName"/>
    <tableColumn id="10" name="SortOrd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hyperlink" Target="https://www.health.nsw.gov.au/news/Pages/20200312_00.aspx" TargetMode="External"/><Relationship Id="rId1" Type="http://schemas.openxmlformats.org/officeDocument/2006/relationships/hyperlink" Target="https://www.health.gov.au/news/health-alerts/novel-coronavirus-2019-ncov-health-aler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M154"/>
  <sheetViews>
    <sheetView zoomScale="89" zoomScaleNormal="89" workbookViewId="0">
      <pane xSplit="2" ySplit="10" topLeftCell="DY11" activePane="bottomRight" state="frozen"/>
      <selection pane="topRight" activeCell="C1" sqref="C1"/>
      <selection pane="bottomLeft" activeCell="A11" sqref="A11"/>
      <selection pane="bottomRight" activeCell="DY10" sqref="DY10"/>
    </sheetView>
  </sheetViews>
  <sheetFormatPr defaultRowHeight="15" x14ac:dyDescent="0.25"/>
  <cols>
    <col min="1" max="1" width="12.28515625" bestFit="1" customWidth="1"/>
    <col min="2" max="2" width="22.42578125" customWidth="1"/>
    <col min="3" max="3" width="13.28515625" customWidth="1"/>
    <col min="4" max="4" width="21.42578125" customWidth="1"/>
    <col min="5" max="5" width="15" customWidth="1"/>
    <col min="6" max="6" width="24.140625" customWidth="1"/>
    <col min="7" max="7" width="23.140625" customWidth="1"/>
    <col min="8" max="8" width="8.7109375" customWidth="1"/>
    <col min="9" max="9" width="14.85546875" customWidth="1"/>
    <col min="10" max="10" width="15.7109375" customWidth="1"/>
    <col min="11" max="11" width="13" customWidth="1"/>
    <col min="12" max="12" width="14.140625" customWidth="1"/>
    <col min="13" max="13" width="13.85546875" bestFit="1" customWidth="1"/>
    <col min="14" max="14" width="12.7109375" bestFit="1" customWidth="1"/>
    <col min="15" max="15" width="9.28515625" customWidth="1"/>
    <col min="16" max="16" width="10.7109375" customWidth="1"/>
    <col min="17" max="17" width="10.85546875" customWidth="1"/>
    <col min="18" max="18" width="15.140625" customWidth="1"/>
    <col min="19" max="19" width="12.42578125" customWidth="1"/>
    <col min="20" max="20" width="11.42578125" bestFit="1" customWidth="1"/>
    <col min="21" max="21" width="15" customWidth="1"/>
    <col min="22" max="23" width="11.42578125" bestFit="1" customWidth="1"/>
    <col min="24" max="24" width="19.42578125" bestFit="1" customWidth="1"/>
    <col min="25" max="25" width="19.42578125" style="25" customWidth="1"/>
    <col min="26" max="26" width="14.85546875" style="25" customWidth="1"/>
    <col min="27" max="27" width="12" customWidth="1"/>
    <col min="28" max="28" width="11.7109375" customWidth="1"/>
    <col min="29" max="29" width="15.5703125" customWidth="1"/>
    <col min="30" max="31" width="12.28515625" bestFit="1" customWidth="1"/>
    <col min="32" max="33" width="12.28515625" style="25" customWidth="1"/>
    <col min="34" max="34" width="14.5703125" customWidth="1"/>
    <col min="35" max="35" width="15" customWidth="1"/>
    <col min="36" max="36" width="12.28515625" bestFit="1" customWidth="1"/>
    <col min="37" max="37" width="16" customWidth="1"/>
    <col min="38" max="38" width="16.7109375" customWidth="1"/>
    <col min="39" max="39" width="12.7109375" bestFit="1" customWidth="1"/>
    <col min="40" max="40" width="19.5703125" style="25" customWidth="1"/>
    <col min="41" max="41" width="15.42578125" customWidth="1"/>
    <col min="42" max="42" width="17.7109375" customWidth="1"/>
    <col min="43" max="49" width="12.7109375" bestFit="1" customWidth="1"/>
    <col min="50" max="50" width="13.85546875" customWidth="1"/>
    <col min="51" max="56" width="11.42578125" bestFit="1" customWidth="1"/>
    <col min="57" max="57" width="12.28515625" bestFit="1" customWidth="1"/>
    <col min="58" max="58" width="12.85546875" customWidth="1"/>
    <col min="60" max="60" width="9.140625" style="25"/>
    <col min="61" max="61" width="11" style="25" bestFit="1" customWidth="1"/>
    <col min="62" max="62" width="9.140625" style="25"/>
    <col min="63" max="63" width="11.140625" style="25" customWidth="1"/>
    <col min="64" max="64" width="13.28515625" style="25" customWidth="1"/>
    <col min="65" max="65" width="11.85546875" style="25" customWidth="1"/>
    <col min="66" max="66" width="16.5703125" customWidth="1"/>
    <col min="68" max="68" width="10.7109375" bestFit="1" customWidth="1"/>
    <col min="69" max="69" width="14" customWidth="1"/>
    <col min="70" max="70" width="13" customWidth="1"/>
    <col min="72" max="72" width="12.140625" bestFit="1" customWidth="1"/>
    <col min="73" max="73" width="14.5703125" customWidth="1"/>
    <col min="74" max="75" width="17.140625" style="25" customWidth="1"/>
    <col min="76" max="76" width="16.85546875" style="25" customWidth="1"/>
    <col min="77" max="77" width="13" customWidth="1"/>
    <col min="78" max="78" width="24.85546875" style="25" customWidth="1"/>
    <col min="79" max="79" width="12.42578125" customWidth="1"/>
    <col min="80" max="80" width="17.28515625" bestFit="1" customWidth="1"/>
    <col min="81" max="81" width="11.42578125" customWidth="1"/>
    <col min="82" max="82" width="16" bestFit="1" customWidth="1"/>
    <col min="83" max="83" width="8.42578125" customWidth="1"/>
    <col min="84" max="84" width="15.28515625" customWidth="1"/>
    <col min="85" max="85" width="12.42578125" customWidth="1"/>
    <col min="86" max="86" width="11.5703125" customWidth="1"/>
    <col min="87" max="87" width="14.140625" customWidth="1"/>
    <col min="88" max="88" width="14.85546875" customWidth="1"/>
    <col min="89" max="90" width="11.85546875" style="25" customWidth="1"/>
    <col min="91" max="91" width="13" customWidth="1"/>
    <col min="92" max="92" width="10.42578125" customWidth="1"/>
    <col min="93" max="93" width="11.5703125" customWidth="1"/>
    <col min="94" max="94" width="10.42578125" customWidth="1"/>
    <col min="95" max="95" width="9.28515625" customWidth="1"/>
    <col min="96" max="96" width="13" customWidth="1"/>
    <col min="97" max="97" width="9.140625" customWidth="1"/>
    <col min="98" max="98" width="41.7109375" customWidth="1"/>
    <col min="99" max="99" width="20.5703125" bestFit="1" customWidth="1"/>
    <col min="100" max="100" width="21.42578125" customWidth="1"/>
    <col min="101" max="101" width="24" customWidth="1"/>
    <col min="102" max="102" width="42" customWidth="1"/>
    <col min="103" max="103" width="20.42578125" customWidth="1"/>
    <col min="104" max="104" width="22" customWidth="1"/>
    <col min="105" max="105" width="32.5703125" customWidth="1"/>
    <col min="106" max="106" width="22.42578125" bestFit="1" customWidth="1"/>
    <col min="107" max="110" width="18.28515625" style="25" customWidth="1"/>
    <col min="118" max="118" width="9.42578125" customWidth="1"/>
    <col min="119" max="119" width="12.140625" customWidth="1"/>
    <col min="121" max="121" width="12.5703125" customWidth="1"/>
    <col min="122" max="122" width="13.85546875" customWidth="1"/>
    <col min="123" max="123" width="13.5703125" customWidth="1"/>
    <col min="126" max="126" width="16.7109375" style="76" bestFit="1" customWidth="1"/>
    <col min="127" max="127" width="14.7109375" style="26" customWidth="1"/>
    <col min="128" max="128" width="19.140625" style="76" customWidth="1"/>
    <col min="129" max="129" width="14.42578125" style="26" customWidth="1"/>
    <col min="130" max="130" width="18.28515625" style="76" customWidth="1"/>
    <col min="131" max="131" width="14.42578125" style="26" customWidth="1"/>
    <col min="132" max="132" width="15.42578125" style="26" customWidth="1"/>
    <col min="133" max="133" width="11.28515625" customWidth="1"/>
    <col min="134" max="134" width="9.5703125" bestFit="1" customWidth="1"/>
    <col min="135" max="135" width="11.7109375" style="95" customWidth="1"/>
    <col min="138" max="138" width="11.7109375" style="97" customWidth="1"/>
    <col min="139" max="139" width="11.7109375" style="26" bestFit="1" customWidth="1"/>
    <col min="140" max="140" width="12.85546875" customWidth="1"/>
    <col min="141" max="141" width="14" style="26" customWidth="1"/>
    <col min="142" max="142" width="13.5703125" style="98" customWidth="1"/>
    <col min="143" max="143" width="12.7109375" customWidth="1"/>
    <col min="144" max="144" width="13.140625" style="26" customWidth="1"/>
    <col min="145" max="145" width="14.42578125" style="25" customWidth="1"/>
    <col min="146" max="146" width="11.7109375" style="26" customWidth="1"/>
    <col min="148" max="148" width="29.42578125" customWidth="1"/>
    <col min="150" max="150" width="42.5703125" style="82" customWidth="1"/>
    <col min="152" max="152" width="9.140625" style="82"/>
    <col min="154" max="154" width="13.85546875" customWidth="1"/>
    <col min="157" max="157" width="9.140625" style="25"/>
    <col min="163" max="163" width="12.85546875" bestFit="1" customWidth="1"/>
  </cols>
  <sheetData>
    <row r="1" spans="1:169" ht="45" x14ac:dyDescent="0.25">
      <c r="A1" s="2" t="s">
        <v>156</v>
      </c>
      <c r="B1" s="3" t="s">
        <v>157</v>
      </c>
      <c r="C1" s="4" t="s">
        <v>158</v>
      </c>
      <c r="D1" s="5" t="s">
        <v>159</v>
      </c>
      <c r="E1" s="6" t="s">
        <v>160</v>
      </c>
      <c r="F1" s="7" t="s">
        <v>161</v>
      </c>
      <c r="G1" s="8" t="s">
        <v>162</v>
      </c>
      <c r="J1" s="45" t="s">
        <v>565</v>
      </c>
      <c r="L1" s="25" t="s">
        <v>670</v>
      </c>
      <c r="W1" s="25"/>
      <c r="X1" s="25"/>
      <c r="Y1" s="25" t="s">
        <v>1427</v>
      </c>
      <c r="Z1" s="25" t="s">
        <v>1426</v>
      </c>
      <c r="AA1" t="s">
        <v>1430</v>
      </c>
      <c r="AB1" t="s">
        <v>1431</v>
      </c>
      <c r="AC1" t="s">
        <v>1593</v>
      </c>
      <c r="AI1" s="139"/>
      <c r="AJ1" s="140"/>
      <c r="AK1" s="137"/>
      <c r="AL1" s="141"/>
      <c r="AM1" s="142"/>
      <c r="AN1" s="142"/>
      <c r="AO1" s="137"/>
      <c r="AP1" s="137"/>
      <c r="AQ1" s="131"/>
      <c r="BR1" s="157" t="s">
        <v>1858</v>
      </c>
      <c r="BS1" s="158" t="s">
        <v>1859</v>
      </c>
      <c r="BT1" s="159" t="s">
        <v>1863</v>
      </c>
      <c r="BU1" s="160" t="s">
        <v>1860</v>
      </c>
      <c r="BV1" s="161" t="s">
        <v>1862</v>
      </c>
      <c r="CB1" s="25"/>
      <c r="CK1"/>
      <c r="CM1" s="25"/>
      <c r="CN1" s="25"/>
      <c r="DV1"/>
      <c r="DW1"/>
      <c r="ET1"/>
      <c r="FC1" t="s">
        <v>1167</v>
      </c>
      <c r="FL1" t="s">
        <v>1774</v>
      </c>
    </row>
    <row r="2" spans="1:169" ht="15.75" thickBot="1" x14ac:dyDescent="0.3">
      <c r="A2" s="9">
        <f>betaGeneric</f>
        <v>0.21975775563230476</v>
      </c>
      <c r="B2" s="37">
        <f>deltaGeneric</f>
        <v>3.264904118030584E-6</v>
      </c>
      <c r="C2" s="9">
        <f>PoGeneric</f>
        <v>1536.180755147765</v>
      </c>
      <c r="D2" s="9">
        <f>beta/delta</f>
        <v>67309.099344964648</v>
      </c>
      <c r="E2" s="9">
        <f>msqGeneric</f>
        <v>3228.6152384145184</v>
      </c>
      <c r="F2" s="40">
        <f>(beta/Po)-delta</f>
        <v>1.397897168280353E-4</v>
      </c>
      <c r="G2" s="10">
        <f>delta*1000</f>
        <v>3.2649041180305839E-3</v>
      </c>
      <c r="J2">
        <v>1</v>
      </c>
      <c r="L2" s="41">
        <v>10000000</v>
      </c>
      <c r="W2" s="25"/>
      <c r="X2" s="25"/>
      <c r="Y2" s="25" t="s">
        <v>176</v>
      </c>
      <c r="Z2" s="25" t="s">
        <v>16</v>
      </c>
      <c r="AA2" s="25" t="str">
        <f>IF(ISBLANK(GenState),GenCountry,GenState)</f>
        <v>Hubei</v>
      </c>
      <c r="AB2" s="26">
        <v>43852</v>
      </c>
      <c r="AC2">
        <f>IF(ISBLANK(GenState),MATCH(GenName,tblPopulation[Country],0),MATCH(GenName,tblPopulation[State],0))</f>
        <v>11</v>
      </c>
      <c r="AI2" s="143"/>
      <c r="AJ2" s="144"/>
      <c r="AK2" s="143"/>
      <c r="AL2" s="143"/>
      <c r="AM2" s="143"/>
      <c r="AN2" s="145"/>
      <c r="AO2" s="137"/>
      <c r="AP2" s="138"/>
      <c r="AQ2" s="131"/>
      <c r="BQ2" s="19"/>
      <c r="BR2" s="153">
        <f t="array" aca="1" ref="BR2:BS6" ca="1">LOGEST(myData!TestsCases,myData!TestsDayNo,TRUE,TRUE)</f>
        <v>1.1446509687432609</v>
      </c>
      <c r="BS2" s="152">
        <f ca="1"/>
        <v>5066.7309810915767</v>
      </c>
      <c r="BT2" s="146">
        <v>1</v>
      </c>
      <c r="BU2" s="150">
        <f ca="1">TestsLogestB*(TestsLogestM^BT2)</f>
        <v>5799.6385258679657</v>
      </c>
      <c r="BV2" s="147">
        <f ca="1">TestsLogestB*EXP(LN(TestsLogestM*BT2))</f>
        <v>5799.6385258679657</v>
      </c>
      <c r="CB2" s="25"/>
      <c r="CK2"/>
      <c r="CM2" s="25"/>
      <c r="CN2" s="25"/>
      <c r="DV2"/>
      <c r="DW2"/>
      <c r="ET2"/>
      <c r="FC2">
        <f t="array" aca="1" ref="FC2:FD6" ca="1">LOGEST(NSWCases,NSWDates,TRUE,TRUE)</f>
        <v>1.0987656004521078</v>
      </c>
      <c r="FD2" s="41">
        <f ca="1"/>
        <v>0</v>
      </c>
      <c r="FF2">
        <f t="array" aca="1" ref="FF2:FG6" ca="1">LINEST(LOG(NSWCases),NSWDates,TRUE,TRUE)</f>
        <v>4.0905054309057255E-2</v>
      </c>
      <c r="FG2">
        <f ca="1"/>
        <v>-1793.865807402565</v>
      </c>
      <c r="FI2">
        <f ca="1">EXP(FG2/10)</f>
        <v>1.2399319676073806E-78</v>
      </c>
      <c r="FJ2">
        <f ca="1">LN(LogEstMNSW)</f>
        <v>-3.1965016463298555</v>
      </c>
      <c r="FK2">
        <f ca="1">LN(ABS(LogestBNSW))</f>
        <v>7.4921282390420743</v>
      </c>
      <c r="FL2">
        <f t="array" aca="1" ref="FL2:FM6" ca="1">LOGEST(NSWCases,NSWDates,TRUE,TRUE)</f>
        <v>1.0987656004521078</v>
      </c>
      <c r="FM2">
        <f ca="1"/>
        <v>0</v>
      </c>
    </row>
    <row r="3" spans="1:169" x14ac:dyDescent="0.25">
      <c r="B3" s="41">
        <v>9.9999999999999998E-13</v>
      </c>
      <c r="D3" t="str">
        <f>Cengnotation(D2)</f>
        <v>67.3 k</v>
      </c>
      <c r="L3" s="25" t="str">
        <f>"Cases per " &amp; Cengnotation(L2,2)  &amp; " population"</f>
        <v>Cases per 10 M population</v>
      </c>
      <c r="W3" s="25"/>
      <c r="X3" s="25"/>
      <c r="AA3" s="25"/>
      <c r="AI3" s="137"/>
      <c r="AJ3" s="137"/>
      <c r="AK3" s="137"/>
      <c r="AL3" s="137"/>
      <c r="AM3" s="137"/>
      <c r="AN3" s="137"/>
      <c r="AO3" s="137"/>
      <c r="AP3" s="131"/>
      <c r="AQ3" s="131"/>
      <c r="BR3" s="153">
        <f ca="1"/>
        <v>4.5808666833211543E-3</v>
      </c>
      <c r="BS3" s="152">
        <f ca="1"/>
        <v>5.7519830252360529E-2</v>
      </c>
      <c r="BT3" s="146">
        <v>5</v>
      </c>
      <c r="BU3" s="150">
        <f ca="1">TestsLogestB*(TestsLogestM^BT3)</f>
        <v>9956.191624522231</v>
      </c>
      <c r="BV3" s="147">
        <f ca="1">TestsLogestB*EXP(LN(TestsLogestM*BT3))</f>
        <v>28998.192629339832</v>
      </c>
      <c r="CB3" s="25"/>
      <c r="CK3"/>
      <c r="CM3" s="25"/>
      <c r="CN3" s="25"/>
      <c r="DV3"/>
      <c r="DW3"/>
      <c r="ET3"/>
      <c r="FC3">
        <f ca="1"/>
        <v>6.7429812014453555E-3</v>
      </c>
      <c r="FD3">
        <f ca="1"/>
        <v>295.92249682201719</v>
      </c>
      <c r="FF3">
        <f ca="1"/>
        <v>2.928439527365078E-3</v>
      </c>
      <c r="FG3">
        <f ca="1"/>
        <v>128.51750744083466</v>
      </c>
      <c r="FL3">
        <f ca="1"/>
        <v>6.7429812014453555E-3</v>
      </c>
      <c r="FM3">
        <f ca="1"/>
        <v>295.92249682201719</v>
      </c>
    </row>
    <row r="4" spans="1:169" ht="19.5" thickBot="1" x14ac:dyDescent="0.35">
      <c r="A4" s="30" t="s">
        <v>213</v>
      </c>
      <c r="W4" s="25"/>
      <c r="X4" s="25"/>
      <c r="AI4" s="131"/>
      <c r="AJ4" s="131"/>
      <c r="AK4" s="131"/>
      <c r="AL4" s="131"/>
      <c r="AM4" s="131"/>
      <c r="AN4" s="131"/>
      <c r="AO4" s="131"/>
      <c r="AP4" s="131"/>
      <c r="AQ4" s="131"/>
      <c r="BR4" s="154">
        <f ca="1"/>
        <v>0.97862259467962609</v>
      </c>
      <c r="BS4" s="152">
        <f ca="1"/>
        <v>0.12711389172383383</v>
      </c>
      <c r="BT4" s="148">
        <v>10</v>
      </c>
      <c r="BU4" s="151">
        <f ca="1">TestsLogestB*(TestsLogestM^BT4)</f>
        <v>19564.044752747257</v>
      </c>
      <c r="BV4" s="149">
        <f ca="1">TestsLogestB*EXP(LN(TestsLogestM*BT4))</f>
        <v>57996.385258679649</v>
      </c>
      <c r="CB4" s="25"/>
      <c r="CK4"/>
      <c r="CM4" s="25"/>
      <c r="CN4" s="25"/>
      <c r="DG4" s="17" t="s">
        <v>171</v>
      </c>
      <c r="DV4"/>
      <c r="DW4"/>
      <c r="DZ4" s="11">
        <f>COUNTA($DY:$DY)</f>
        <v>145</v>
      </c>
      <c r="ET4"/>
      <c r="FC4">
        <f ca="1"/>
        <v>0.76781786613512681</v>
      </c>
      <c r="FD4">
        <f ca="1"/>
        <v>0.92725186038335317</v>
      </c>
      <c r="FF4">
        <f ca="1"/>
        <v>0.76781786613512681</v>
      </c>
      <c r="FG4">
        <f ca="1"/>
        <v>0.40270036629901479</v>
      </c>
      <c r="FL4">
        <f ca="1"/>
        <v>0.76781786613512681</v>
      </c>
      <c r="FM4">
        <f ca="1"/>
        <v>0.92725186038335317</v>
      </c>
    </row>
    <row r="5" spans="1:169" x14ac:dyDescent="0.25">
      <c r="W5" s="25"/>
      <c r="X5" s="25"/>
      <c r="AN5"/>
      <c r="AP5" s="25"/>
      <c r="BA5">
        <f>COUNTA(tblData[Date])-COUNT(tblData[Skorea LogiP(t) Per Capita])</f>
        <v>28</v>
      </c>
      <c r="BR5" s="155">
        <f ca="1"/>
        <v>869.78887382520486</v>
      </c>
      <c r="BS5" s="156">
        <f ca="1"/>
        <v>19</v>
      </c>
      <c r="BU5" s="25"/>
      <c r="BV5"/>
      <c r="CB5" s="25"/>
      <c r="CK5"/>
      <c r="CM5" s="25"/>
      <c r="CN5" s="25"/>
      <c r="CV5" t="s">
        <v>1864</v>
      </c>
      <c r="DV5"/>
      <c r="DW5"/>
      <c r="ET5"/>
      <c r="FC5">
        <f ca="1"/>
        <v>195.11085262200751</v>
      </c>
      <c r="FD5">
        <f ca="1"/>
        <v>59</v>
      </c>
      <c r="FF5">
        <f ca="1"/>
        <v>195.11085262200746</v>
      </c>
      <c r="FG5">
        <f ca="1"/>
        <v>59</v>
      </c>
      <c r="FL5">
        <f ca="1"/>
        <v>195.11085262200751</v>
      </c>
      <c r="FM5">
        <f ca="1"/>
        <v>59</v>
      </c>
    </row>
    <row r="6" spans="1:169" s="25" customFormat="1" x14ac:dyDescent="0.25">
      <c r="M6" s="19"/>
      <c r="N6" s="19"/>
      <c r="O6" s="19"/>
      <c r="U6" s="19"/>
      <c r="V6" s="25">
        <f>INDEX(tblPopulation[Population],MATCH($U$10,tblPopulation[Country],0),1)</f>
        <v>1439323776</v>
      </c>
      <c r="BA6" s="25">
        <f>COUNT(tblData[Skorea LogiP(t) Per Capita])</f>
        <v>79</v>
      </c>
      <c r="BR6" s="155">
        <f ca="1"/>
        <v>14.053997713810389</v>
      </c>
      <c r="BS6" s="156">
        <f ca="1"/>
        <v>0.30700088791439251</v>
      </c>
      <c r="BT6" s="25" t="str">
        <f ca="1">"Exponential Growth: "&amp;CHAR(10)&amp;"y = " &amp; TEXT(TestsLogestB,"##0.#") &amp; " x " &amp; TEXT(TestsLogestM,"#0.###") &amp; "^ [day number]"&amp;CHAR(10)&amp;"r^2="&amp;TEXT(100*BR4,"##.#")&amp;"%"&amp;" mse="&amp;TEXT(TestsLogestMsq,"#####")</f>
        <v>Exponential Growth: 
y = 5066.7 x 1.145^ [day number]
r^2=97.9% mse=36624</v>
      </c>
      <c r="CK6" s="26">
        <f>VALUE(CM11)+7</f>
        <v>43923</v>
      </c>
      <c r="DG6" s="25" t="s">
        <v>1295</v>
      </c>
      <c r="DX6" s="76"/>
      <c r="DY6" s="26"/>
      <c r="DZ6" s="76"/>
      <c r="EA6" s="26"/>
      <c r="EB6" s="26"/>
      <c r="EE6" s="95"/>
      <c r="EH6" s="97"/>
      <c r="EI6" s="26"/>
      <c r="EK6" s="26"/>
      <c r="EL6" s="98"/>
      <c r="EN6" s="26"/>
      <c r="EP6" s="26"/>
      <c r="EV6" s="82"/>
      <c r="FC6" s="25">
        <f ca="1"/>
        <v>167.75553309634253</v>
      </c>
      <c r="FD6" s="25">
        <f ca="1"/>
        <v>50.727964742478974</v>
      </c>
      <c r="FF6" s="25">
        <f ca="1"/>
        <v>31.640655780389128</v>
      </c>
      <c r="FG6" s="25">
        <f ca="1"/>
        <v>9.5678875160242818</v>
      </c>
      <c r="FL6" s="25">
        <f ca="1"/>
        <v>167.75553309634253</v>
      </c>
      <c r="FM6" s="25">
        <f ca="1"/>
        <v>50.727964742478974</v>
      </c>
    </row>
    <row r="7" spans="1:169" s="25" customFormat="1" x14ac:dyDescent="0.25">
      <c r="B7" s="25" t="s">
        <v>1021</v>
      </c>
      <c r="M7" s="19"/>
      <c r="N7" s="19"/>
      <c r="O7" s="19"/>
      <c r="U7" s="19"/>
      <c r="BT7" s="25" t="str">
        <f>"Test Logistic Growth Limit " &amp; TEXT(CI19,"##0.00E+0") &amp; " mse = " &amp; TEXT( msqTests,"#####")</f>
        <v>Test Logistic Growth Limit 107.54E+3 mse = 1783</v>
      </c>
      <c r="CA7" s="26"/>
      <c r="DG7" s="25" t="str">
        <f>"COVID 19  " &amp; TEXT(MAX(CR11:CR21),"ddd dd-mmm-yyyy")&amp;IF(PopScaling=0,"",", "&amp;PerPersonLabel)</f>
        <v>COVID 19  Thu 26-Mar-2020, Cases per 10 M population</v>
      </c>
      <c r="DX7" s="76"/>
      <c r="DY7" s="26"/>
      <c r="DZ7" s="76"/>
      <c r="EA7" s="26"/>
      <c r="EB7" s="26"/>
      <c r="EE7" s="95"/>
      <c r="EH7" s="97"/>
      <c r="EI7" s="26"/>
      <c r="EK7" s="26"/>
      <c r="EL7" s="98"/>
      <c r="EN7" s="26"/>
      <c r="EP7" s="26"/>
      <c r="EV7" s="82"/>
      <c r="EX7" s="82"/>
    </row>
    <row r="8" spans="1:169" x14ac:dyDescent="0.25">
      <c r="B8" s="44" t="s">
        <v>564</v>
      </c>
      <c r="C8" s="42"/>
      <c r="D8" s="42"/>
      <c r="F8" s="42"/>
      <c r="G8" s="42"/>
      <c r="H8" s="42"/>
      <c r="I8" s="42"/>
      <c r="J8" s="42"/>
      <c r="K8" s="43">
        <f>NSWpop/L9</f>
        <v>10000000</v>
      </c>
      <c r="L8" s="43">
        <f>INDEX(tblPopulation[Population],MATCH("NSW",tblPopulation[State],0),1)</f>
        <v>8080000</v>
      </c>
      <c r="N8" s="43">
        <f>INDEX(tblPopulation[Population],MATCH(M$10,tblPopulation[Country],0),1)</f>
        <v>60485000</v>
      </c>
      <c r="P8" s="43">
        <f>INDEX(tblPopulation[Population],MATCH(O$10,tblPopulation[CtryAbbrev],0),1)</f>
        <v>329227746</v>
      </c>
      <c r="Q8" s="43"/>
      <c r="R8" s="43">
        <f>INDEX(tblPopulation[Population],MATCH(Q$10,tblPopulation[CtryAbbrev],0),1)</f>
        <v>51400000</v>
      </c>
      <c r="S8" s="43"/>
      <c r="T8" s="125">
        <f>INDEX(tblPopulation[Population],MATCH(S$10,tblPopulation[CtryAbbrev],0),1)</f>
        <v>66440000</v>
      </c>
      <c r="U8" s="43"/>
      <c r="V8" s="43">
        <f>INDEX(tblPopulation[Population],MATCH(U$10,tblPopulation[Country],0),1)</f>
        <v>1439323776</v>
      </c>
      <c r="W8" s="43"/>
      <c r="X8" s="43">
        <f>INDEX(tblPopulation[Population],MATCH(W$10,tblPopulation[Country],0),1)</f>
        <v>5850000</v>
      </c>
      <c r="Y8" s="43"/>
      <c r="Z8" s="125">
        <f>INDEX(tblPopulation[Population],$AC$2,1)</f>
        <v>58500000</v>
      </c>
      <c r="AA8" s="42"/>
      <c r="AB8" s="42"/>
      <c r="AC8" s="42"/>
      <c r="AD8" s="42"/>
      <c r="AE8" s="125">
        <v>25364000</v>
      </c>
      <c r="AF8" s="43"/>
      <c r="AG8" s="43"/>
      <c r="AH8" s="42"/>
      <c r="AI8" s="42"/>
      <c r="AJ8" s="125">
        <f>AuPop</f>
        <v>25364000</v>
      </c>
      <c r="AK8" s="42"/>
      <c r="AL8" s="42"/>
      <c r="AM8" s="43"/>
      <c r="AN8" s="42"/>
      <c r="AO8" s="42"/>
      <c r="AP8" s="42"/>
      <c r="AQ8" s="43">
        <f>NSWpop</f>
        <v>8080000</v>
      </c>
      <c r="AR8" s="42"/>
      <c r="AS8" s="42"/>
      <c r="AT8" s="43">
        <f>ItalyPop</f>
        <v>60485000</v>
      </c>
      <c r="AU8" s="43"/>
      <c r="AV8" s="42"/>
      <c r="AW8" s="43">
        <f>USpop</f>
        <v>329227746</v>
      </c>
      <c r="AX8" s="43"/>
      <c r="AY8" s="43"/>
      <c r="AZ8" s="43">
        <f>SKoreaPop</f>
        <v>51400000</v>
      </c>
      <c r="BA8" s="43"/>
      <c r="BB8" s="43"/>
      <c r="BC8" s="43">
        <f>UKPop</f>
        <v>66440000</v>
      </c>
      <c r="BD8" s="43"/>
      <c r="BE8" s="43"/>
      <c r="BF8" s="43">
        <f>ChinaPop</f>
        <v>1439323776</v>
      </c>
      <c r="BG8" s="43"/>
      <c r="BH8" s="43"/>
      <c r="BI8" s="43">
        <f>SingaporePop</f>
        <v>5850000</v>
      </c>
      <c r="BJ8" s="43"/>
      <c r="BK8" s="43"/>
      <c r="BL8" s="43">
        <f>INDEX(tblPopulation[Population],GenMatch,1)</f>
        <v>58500000</v>
      </c>
      <c r="BM8" s="43"/>
      <c r="BN8" s="43"/>
      <c r="BS8" s="43">
        <f>NSWpop</f>
        <v>8080000</v>
      </c>
      <c r="BT8" t="s">
        <v>1866</v>
      </c>
      <c r="BU8" s="11">
        <f>SQRT(SUM(tblData[Test LOGEST Sq Err])/COUNT(tblData[Test LOGEST Sq Err]))</f>
        <v>36624.223392239888</v>
      </c>
      <c r="BV8" s="20">
        <f>msqTests</f>
        <v>1782.8745149015201</v>
      </c>
      <c r="BX8"/>
      <c r="BZ8"/>
      <c r="CA8" s="25"/>
      <c r="CC8" s="25"/>
      <c r="CK8"/>
      <c r="CL8"/>
      <c r="CN8" s="25"/>
      <c r="CR8" s="25"/>
      <c r="CS8" s="25"/>
      <c r="DG8" s="25" t="str">
        <f>"COVID 19 Least Sq Err Logistic Eqns at " &amp; TEXT(MAX(CR16:CR23),"ddd dd-mmm-yyyy")&amp;IF(PopScaling=0,"",", "&amp;PerPersonLabel)</f>
        <v>COVID 19 Least Sq Err Logistic Eqns at Thu 26-Mar-2020, Cases per 10 M population</v>
      </c>
      <c r="DV8"/>
      <c r="DW8"/>
      <c r="DZ8" s="76" t="s">
        <v>1019</v>
      </c>
      <c r="EJ8" s="26"/>
      <c r="ET8"/>
      <c r="EW8" s="82"/>
      <c r="EY8" s="82"/>
    </row>
    <row r="9" spans="1:169" s="25" customFormat="1" ht="15.75" thickBot="1" x14ac:dyDescent="0.3">
      <c r="B9" s="44" t="s">
        <v>566</v>
      </c>
      <c r="C9" s="42"/>
      <c r="D9" s="42"/>
      <c r="F9" s="42"/>
      <c r="G9" s="42"/>
      <c r="H9" s="42"/>
      <c r="I9" s="42"/>
      <c r="J9" s="42"/>
      <c r="K9" s="42"/>
      <c r="L9" s="43">
        <f>IF(PopScaling=0,1,NSWpop/PerPerson)</f>
        <v>0.80800000000000005</v>
      </c>
      <c r="N9" s="43">
        <f>IF(PopScaling=0,1,ItalyPop/PerPerson)</f>
        <v>6.0484999999999998</v>
      </c>
      <c r="P9" s="43">
        <f>IF(PopScaling=0,1,USpop/PerPerson)</f>
        <v>32.922774599999997</v>
      </c>
      <c r="Q9" s="43"/>
      <c r="R9" s="43">
        <f>IF(PopScaling=0,1,SKoreaPop/PerPerson)</f>
        <v>5.14</v>
      </c>
      <c r="S9" s="43"/>
      <c r="T9" s="43">
        <f>IF(PopScaling=0,1,UKPop/PerPerson)</f>
        <v>6.6440000000000001</v>
      </c>
      <c r="U9" s="43"/>
      <c r="V9" s="43">
        <f>IF(PopScaling=0,1,ChinaPop/PerPerson)</f>
        <v>143.9323776</v>
      </c>
      <c r="W9" s="43"/>
      <c r="X9" s="43">
        <f>IF(PopScaling=0,1,SingaporePop/PerPerson)</f>
        <v>0.58499999999999996</v>
      </c>
      <c r="Y9" s="43"/>
      <c r="Z9" s="43">
        <f>IF(PopScaling=0,1,GenPop/PerPerson)</f>
        <v>5.85</v>
      </c>
      <c r="AA9" s="42"/>
      <c r="AB9" s="42"/>
      <c r="AC9" s="42"/>
      <c r="AD9" s="42"/>
      <c r="AE9" s="42">
        <f>IF(PopScaling=0,1,AuPop/PerPerson)</f>
        <v>2.5364</v>
      </c>
      <c r="AF9" s="42"/>
      <c r="AG9" s="42"/>
      <c r="AH9" s="42"/>
      <c r="AI9" s="42"/>
      <c r="AJ9" s="42">
        <f>IF(PopScaling=0,1,AuPop/PerPerson)</f>
        <v>2.5364</v>
      </c>
      <c r="AK9" s="42"/>
      <c r="AL9" s="42"/>
      <c r="AM9" s="43"/>
      <c r="AN9" s="42"/>
      <c r="AO9" s="42"/>
      <c r="AP9" s="42"/>
      <c r="AQ9" s="43">
        <f>IF(PopScaling=0,1,AQ8/10000000)</f>
        <v>0.80800000000000005</v>
      </c>
      <c r="AR9" s="42"/>
      <c r="AS9" s="42"/>
      <c r="AT9" s="43">
        <f>IF(PopScaling=0,1,AT8/10000000)</f>
        <v>6.0484999999999998</v>
      </c>
      <c r="AU9" s="43"/>
      <c r="AV9" s="42"/>
      <c r="AW9" s="43">
        <f>IF(PopScaling=0,1,AW8/10000000)</f>
        <v>32.922774599999997</v>
      </c>
      <c r="AX9" s="43"/>
      <c r="AY9" s="43"/>
      <c r="AZ9" s="43">
        <f>IF(PopScaling=0,1,AZ8/10000000)</f>
        <v>5.14</v>
      </c>
      <c r="BA9" s="43"/>
      <c r="BB9" s="43"/>
      <c r="BC9" s="43">
        <f>IF(PopScaling=0,1,BC8/10000000)</f>
        <v>6.6440000000000001</v>
      </c>
      <c r="BD9" s="43"/>
      <c r="BE9" s="43"/>
      <c r="BF9" s="43">
        <f>IF(PopScaling=0,1,BF8/10000000)</f>
        <v>143.9323776</v>
      </c>
      <c r="BG9" s="43"/>
      <c r="BH9" s="43"/>
      <c r="BI9" s="43">
        <f>IF(PopScaling=0,1,BI8/10000000)</f>
        <v>0.58499999999999996</v>
      </c>
      <c r="BJ9" s="43"/>
      <c r="BK9" s="43"/>
      <c r="BL9" s="43">
        <f>IF(PopScaling=0,1,BL8/10000000)</f>
        <v>5.85</v>
      </c>
      <c r="BM9" s="43"/>
      <c r="BN9" s="43"/>
      <c r="BS9" s="43">
        <f>IF(PopScaling=0,1,BS8/10000000)</f>
        <v>0.80800000000000005</v>
      </c>
      <c r="DG9" s="25" t="str">
        <f>"COVID 19 Least Sq Err Logistic Eqns at " &amp; TEXT(MAX(CR16:CR23),"ddd dd-mmm-yyyy")&amp;IF(PopScaling=0,"",", "&amp;PerPersonLabel)</f>
        <v>COVID 19 Least Sq Err Logistic Eqns at Thu 26-Mar-2020, Cases per 10 M population</v>
      </c>
      <c r="DK9" s="25" t="s">
        <v>742</v>
      </c>
      <c r="DX9" s="76"/>
      <c r="DY9" s="26"/>
      <c r="DZ9" s="76"/>
      <c r="EA9" s="26"/>
      <c r="EB9" s="26"/>
      <c r="EE9" s="95"/>
      <c r="EH9" s="97"/>
      <c r="EI9" s="26"/>
      <c r="EJ9" s="26"/>
      <c r="EK9" s="26"/>
      <c r="EL9" s="98"/>
      <c r="EN9" s="26"/>
      <c r="EP9" s="26"/>
      <c r="EV9" s="82"/>
      <c r="EW9" s="82"/>
      <c r="EY9" s="82"/>
    </row>
    <row r="10" spans="1:169" s="14" customFormat="1" ht="69.75" customHeight="1" x14ac:dyDescent="0.25">
      <c r="B10" s="14" t="s">
        <v>154</v>
      </c>
      <c r="C10" s="14" t="s">
        <v>66</v>
      </c>
      <c r="D10" s="63" t="s">
        <v>197</v>
      </c>
      <c r="E10" s="63" t="s">
        <v>47</v>
      </c>
      <c r="F10" s="63" t="s">
        <v>117</v>
      </c>
      <c r="G10" s="63" t="s">
        <v>50</v>
      </c>
      <c r="H10" s="63" t="s">
        <v>62</v>
      </c>
      <c r="I10" s="63" t="s">
        <v>106</v>
      </c>
      <c r="J10" s="63" t="s">
        <v>49</v>
      </c>
      <c r="K10" s="63" t="s">
        <v>95</v>
      </c>
      <c r="L10" s="28" t="s">
        <v>567</v>
      </c>
      <c r="M10" s="64" t="s">
        <v>58</v>
      </c>
      <c r="N10" s="69" t="s">
        <v>568</v>
      </c>
      <c r="O10" s="14" t="s">
        <v>37</v>
      </c>
      <c r="P10" s="28" t="s">
        <v>642</v>
      </c>
      <c r="Q10" s="28" t="s">
        <v>976</v>
      </c>
      <c r="R10" s="28" t="s">
        <v>974</v>
      </c>
      <c r="S10" s="28" t="s">
        <v>955</v>
      </c>
      <c r="T10" s="28" t="s">
        <v>973</v>
      </c>
      <c r="U10" s="64" t="s">
        <v>176</v>
      </c>
      <c r="V10" s="69" t="s">
        <v>641</v>
      </c>
      <c r="W10" s="69" t="s">
        <v>40</v>
      </c>
      <c r="X10" s="69" t="s">
        <v>1327</v>
      </c>
      <c r="Y10" s="69" t="s">
        <v>1428</v>
      </c>
      <c r="Z10" s="69" t="s">
        <v>1425</v>
      </c>
      <c r="AA10" s="14" t="s">
        <v>163</v>
      </c>
      <c r="AB10" s="14" t="s">
        <v>212</v>
      </c>
      <c r="AC10" s="14" t="s">
        <v>372</v>
      </c>
      <c r="AD10" s="14" t="s">
        <v>977</v>
      </c>
      <c r="AE10" s="14" t="s">
        <v>972</v>
      </c>
      <c r="AF10" s="14" t="s">
        <v>1328</v>
      </c>
      <c r="AG10" s="14" t="s">
        <v>1424</v>
      </c>
      <c r="AH10" s="48" t="s">
        <v>168</v>
      </c>
      <c r="AI10" s="48" t="s">
        <v>698</v>
      </c>
      <c r="AJ10" s="68" t="s">
        <v>699</v>
      </c>
      <c r="AK10" s="48" t="s">
        <v>700</v>
      </c>
      <c r="AL10" s="68" t="s">
        <v>702</v>
      </c>
      <c r="AM10" s="48" t="s">
        <v>701</v>
      </c>
      <c r="AN10" s="14" t="s">
        <v>164</v>
      </c>
      <c r="AO10" s="14" t="s">
        <v>153</v>
      </c>
      <c r="AP10" s="48" t="s">
        <v>165</v>
      </c>
      <c r="AQ10" s="48" t="s">
        <v>166</v>
      </c>
      <c r="AR10" s="68" t="s">
        <v>662</v>
      </c>
      <c r="AS10" s="29" t="s">
        <v>174</v>
      </c>
      <c r="AT10" s="29" t="s">
        <v>175</v>
      </c>
      <c r="AU10" s="29" t="s">
        <v>660</v>
      </c>
      <c r="AV10" s="14" t="s">
        <v>210</v>
      </c>
      <c r="AW10" s="14" t="s">
        <v>211</v>
      </c>
      <c r="AX10" s="14" t="s">
        <v>669</v>
      </c>
      <c r="AY10" s="74" t="s">
        <v>978</v>
      </c>
      <c r="AZ10" s="74" t="s">
        <v>979</v>
      </c>
      <c r="BA10" s="74" t="s">
        <v>980</v>
      </c>
      <c r="BB10" s="75" t="s">
        <v>981</v>
      </c>
      <c r="BC10" s="75" t="s">
        <v>982</v>
      </c>
      <c r="BD10" s="75" t="s">
        <v>983</v>
      </c>
      <c r="BE10" s="29" t="s">
        <v>388</v>
      </c>
      <c r="BF10" s="29" t="s">
        <v>389</v>
      </c>
      <c r="BG10" s="29" t="s">
        <v>661</v>
      </c>
      <c r="BH10" s="75" t="s">
        <v>1324</v>
      </c>
      <c r="BI10" s="75" t="s">
        <v>1325</v>
      </c>
      <c r="BJ10" s="75" t="s">
        <v>1326</v>
      </c>
      <c r="BK10" s="123" t="s">
        <v>1432</v>
      </c>
      <c r="BL10" s="123" t="s">
        <v>1433</v>
      </c>
      <c r="BM10" s="123" t="s">
        <v>1434</v>
      </c>
      <c r="BN10" s="28" t="s">
        <v>697</v>
      </c>
      <c r="BO10" s="28" t="s">
        <v>189</v>
      </c>
      <c r="BP10" s="28" t="s">
        <v>192</v>
      </c>
      <c r="BQ10" s="28" t="s">
        <v>193</v>
      </c>
      <c r="BR10" s="28" t="s">
        <v>563</v>
      </c>
      <c r="BS10" s="28" t="s">
        <v>561</v>
      </c>
      <c r="BT10" s="28" t="s">
        <v>562</v>
      </c>
      <c r="BU10" s="14" t="s">
        <v>1771</v>
      </c>
      <c r="BV10" s="14" t="s">
        <v>1861</v>
      </c>
      <c r="BW10" s="14" t="s">
        <v>1865</v>
      </c>
      <c r="BZ10" s="1"/>
      <c r="CA10" s="108" t="s">
        <v>1020</v>
      </c>
      <c r="CB10" s="108" t="s">
        <v>1022</v>
      </c>
      <c r="CC10" s="108" t="s">
        <v>155</v>
      </c>
      <c r="CD10" s="108" t="s">
        <v>1023</v>
      </c>
      <c r="CE10" s="108" t="s">
        <v>527</v>
      </c>
      <c r="CF10" s="109" t="s">
        <v>156</v>
      </c>
      <c r="CG10" s="110" t="s">
        <v>157</v>
      </c>
      <c r="CH10" s="111" t="s">
        <v>158</v>
      </c>
      <c r="CI10" s="112" t="s">
        <v>167</v>
      </c>
      <c r="CJ10" s="113" t="s">
        <v>160</v>
      </c>
      <c r="CK10" s="114" t="s">
        <v>161</v>
      </c>
      <c r="CL10" s="115" t="s">
        <v>162</v>
      </c>
      <c r="CM10" s="116" t="s">
        <v>188</v>
      </c>
      <c r="CN10" s="116" t="s">
        <v>214</v>
      </c>
      <c r="CO10" s="117" t="s">
        <v>1130</v>
      </c>
      <c r="CP10" s="116" t="s">
        <v>525</v>
      </c>
      <c r="CQ10" s="163" t="s">
        <v>671</v>
      </c>
      <c r="CR10" s="108" t="s">
        <v>173</v>
      </c>
      <c r="CS10" s="108" t="s">
        <v>172</v>
      </c>
      <c r="CT10" s="116" t="s">
        <v>492</v>
      </c>
      <c r="CU10" s="116" t="s">
        <v>494</v>
      </c>
      <c r="CV10" s="116" t="s">
        <v>526</v>
      </c>
      <c r="CW10" s="116" t="s">
        <v>689</v>
      </c>
      <c r="CX10" s="108" t="s">
        <v>493</v>
      </c>
      <c r="CY10" s="116" t="s">
        <v>728</v>
      </c>
      <c r="CZ10" s="117" t="s">
        <v>724</v>
      </c>
      <c r="DA10" s="117" t="s">
        <v>726</v>
      </c>
      <c r="DB10" s="118" t="s">
        <v>725</v>
      </c>
      <c r="DC10" s="118" t="s">
        <v>727</v>
      </c>
      <c r="DD10" s="108" t="s">
        <v>1826</v>
      </c>
      <c r="DE10" s="118" t="s">
        <v>1828</v>
      </c>
      <c r="DF10" s="118" t="s">
        <v>1856</v>
      </c>
      <c r="DG10" s="118"/>
      <c r="DH10" s="118"/>
      <c r="DI10"/>
      <c r="DJ10"/>
      <c r="DK10"/>
      <c r="DS10" s="91" t="s">
        <v>154</v>
      </c>
      <c r="DT10" s="92" t="s">
        <v>672</v>
      </c>
      <c r="DU10" s="93" t="s">
        <v>673</v>
      </c>
      <c r="DV10" s="94"/>
      <c r="DY10" s="128" t="s">
        <v>696</v>
      </c>
      <c r="DZ10" s="128" t="s">
        <v>1022</v>
      </c>
      <c r="EA10" s="128" t="s">
        <v>695</v>
      </c>
      <c r="EB10" s="128" t="s">
        <v>1024</v>
      </c>
      <c r="EC10" s="129" t="s">
        <v>527</v>
      </c>
      <c r="ED10" s="104" t="s">
        <v>156</v>
      </c>
      <c r="EE10" s="105" t="s">
        <v>157</v>
      </c>
      <c r="EF10" s="106" t="s">
        <v>158</v>
      </c>
      <c r="EG10" s="100" t="s">
        <v>167</v>
      </c>
      <c r="EH10" s="101" t="s">
        <v>160</v>
      </c>
      <c r="EI10" s="102" t="s">
        <v>161</v>
      </c>
      <c r="EJ10" s="103" t="s">
        <v>162</v>
      </c>
      <c r="EK10" s="164" t="s">
        <v>188</v>
      </c>
      <c r="EL10" s="80" t="s">
        <v>214</v>
      </c>
      <c r="EM10" s="80" t="s">
        <v>1130</v>
      </c>
      <c r="EN10" s="107" t="s">
        <v>525</v>
      </c>
      <c r="EO10" s="80" t="s">
        <v>671</v>
      </c>
      <c r="EP10" s="164" t="s">
        <v>173</v>
      </c>
      <c r="EQ10" s="165" t="s">
        <v>172</v>
      </c>
      <c r="ER10" s="80" t="s">
        <v>492</v>
      </c>
      <c r="ES10" s="80" t="s">
        <v>494</v>
      </c>
      <c r="ET10" s="80" t="s">
        <v>526</v>
      </c>
      <c r="EU10" s="80" t="s">
        <v>689</v>
      </c>
      <c r="EV10" s="81" t="s">
        <v>493</v>
      </c>
      <c r="EW10" s="81" t="s">
        <v>728</v>
      </c>
      <c r="EX10" s="127" t="s">
        <v>724</v>
      </c>
      <c r="EY10" s="81" t="s">
        <v>726</v>
      </c>
      <c r="EZ10" s="83" t="s">
        <v>725</v>
      </c>
      <c r="FA10" s="81" t="s">
        <v>727</v>
      </c>
      <c r="FB10" s="81" t="s">
        <v>1826</v>
      </c>
      <c r="FC10" s="81" t="s">
        <v>1827</v>
      </c>
      <c r="FD10" s="25"/>
      <c r="FE10" s="25"/>
    </row>
    <row r="11" spans="1:169" x14ac:dyDescent="0.25">
      <c r="B11" s="1">
        <v>43852</v>
      </c>
      <c r="C11">
        <v>0</v>
      </c>
      <c r="D11" s="25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25" t="str">
        <f>IF(ISNUMBER(tblData[[#This Row],[NSW]]),tblData[[#This Row],[New South Wales]]/$L$9,"")</f>
        <v/>
      </c>
      <c r="N11" s="25" t="str">
        <f>IF(ISNUMBER(tblData[Italy]),tblData[Italy]/$N$9,"")</f>
        <v/>
      </c>
      <c r="O11">
        <v>0</v>
      </c>
      <c r="P11" s="124">
        <f>IF(ISNUMBER(tblData[US]),tblData[US]/$P$9,"")</f>
        <v>0</v>
      </c>
      <c r="Q11">
        <v>0</v>
      </c>
      <c r="R11" s="19">
        <f>IF(ISNUMBER(tblData[SKorea]),tblData[SKorea]/$R$9,"")</f>
        <v>0</v>
      </c>
      <c r="T11" s="25" t="str">
        <f>IF(ISNUMBER(tblData[UK]),tblData[UK]/$T$9,"")</f>
        <v/>
      </c>
      <c r="U11">
        <v>0</v>
      </c>
      <c r="V11" s="20">
        <f>IF(ISNUMBER(tblData[China]),tblData[China]/$V$9,"")</f>
        <v>0</v>
      </c>
      <c r="W11">
        <v>0</v>
      </c>
      <c r="X11" s="20">
        <f>IF(ISNUMBER(tblData[Singapore]),tblData[Singapore]/$X$9,"")</f>
        <v>0</v>
      </c>
      <c r="Y11">
        <v>0</v>
      </c>
      <c r="Z11" s="20">
        <f>IF(AND(LEN(tblData[Generic])&gt;0,ISNUMBER(tblData[Generic])),tblData[Generic]/$Z$9,"")</f>
        <v>0</v>
      </c>
      <c r="AA11" s="25" t="str">
        <f>IF(tblData[[#This Row],[Date]]&lt;ItalyStart,"",tblData[[#This Row],[Date]]-ItalyStart)</f>
        <v/>
      </c>
      <c r="AB11" s="25">
        <f>IF(tblData[[#This Row],[Date]]&lt;USStart,"",tblData[[#This Row],[Date]]-USStart)</f>
        <v>0</v>
      </c>
      <c r="AC11" s="25">
        <f>IF(tblData[[#This Row],[Date]]&lt;ChinaStart,"",tblData[[#This Row],[Date]]-ChinaStart)</f>
        <v>0</v>
      </c>
      <c r="AD11" s="25" t="str">
        <f>IF(tblData[[#This Row],[Date]]&lt;StartDt2Korea,"",tblData[[#This Row],[Date]]-StartDt2Korea)</f>
        <v/>
      </c>
      <c r="AE11" s="25" t="str">
        <f>IF(tblData[[#This Row],[Date]]&lt;UKStart,"",tblData[[#This Row],[Date]]-UKStart)</f>
        <v/>
      </c>
      <c r="AF11" s="25" t="str">
        <f>IF(tblData[[#This Row],[Date]]&lt;SingaporeStart,"",tblData[[#This Row],[Date]]-SingaporeStart)</f>
        <v/>
      </c>
      <c r="AG11" s="25">
        <f>IF(tblData[[#This Row],[Date]]&lt;GenStart,"",tblData[[#This Row],[Date]]-GenStart)</f>
        <v>0</v>
      </c>
      <c r="AH11" t="str">
        <f>IF(tblData[Date]&gt;=StartDt2Au,tblData[Date]-StartDt2Au,"")</f>
        <v/>
      </c>
      <c r="AI11" s="25" t="str">
        <f>IF(tblData[New South Wales]&gt;0,SUM(tblData[[#This Row],[Australian Capital Territory]:[Western Australia]]),"")</f>
        <v/>
      </c>
      <c r="AJ11" s="25" t="str">
        <f>IF(ISNUMBER(tblData[Au]),tblData[Au]/$AE$9,"")</f>
        <v/>
      </c>
      <c r="AK11" s="11" t="str">
        <f>IF(ISNUMBER(tblData[[#This Row],[Day'# Aust]]),betaAu/(deltaAu+betaPodeltaAu*EXP(-betaAu*tblData[[#This Row],[Day'# Aust]])),"")</f>
        <v/>
      </c>
      <c r="AL11" s="65" t="str">
        <f>IF(ISNUMBER(tblData[Day'# Aust]),tblData[Au LogiP(t)]/$AJ$9,"")</f>
        <v/>
      </c>
      <c r="AM11" s="11" t="str">
        <f>IF(AND(tblData[Date]&gt;=StartDt2Au,ISNUMBER(tblData[NSW])),(tblData[[#This Row],[Au LogiP(t)]]-tblData[[#This Row],[Au]])^2,"")</f>
        <v/>
      </c>
      <c r="AN11" t="str">
        <f>IF(tblData[Date]&gt;StartDt2NSW,tblData[Date]-StartDt2NSW,"")</f>
        <v/>
      </c>
      <c r="AO11" t="str">
        <f>IF(E11&gt;0,E11,"")</f>
        <v/>
      </c>
      <c r="AP11" s="11" t="str">
        <f>IF(tblData[Date]&gt;StartDt2NSW,betaNSW/(deltaNSW+betaPodeltaNSW*EXP(-betaNSW*tblData[[#This Row],[Day '# NSW]])),"")</f>
        <v/>
      </c>
      <c r="AQ11" s="12" t="str">
        <f>IF(AND(ISNUMBER(tblData[NSW]),tblData[Date]&gt;StartDt2NSW),(tblData[[#This Row],[NSW LogiP(t)]]-tblData[[#This Row],[NSW]])^2,"")</f>
        <v/>
      </c>
      <c r="AR11" s="12" t="str">
        <f>IF(AND(tblData[Date]&gt;StartDt2NSW,ISNUMBER(tblData[Day'# Aust])),tblData[NSW LogiP(t)]/$AQ$9,"")</f>
        <v/>
      </c>
      <c r="AS11" s="11" t="str">
        <f>IF(AND(tblData[Date]&gt;StartDt2Italy,ISNUMBER(tblData[Days'# Italy])),betaItaly/(deltaItaly+betaPodeltaItaly*EXP(-betaItaly*tblData[Days'# Italy])),"")</f>
        <v/>
      </c>
      <c r="AT11" s="11" t="str">
        <f>IF(AND(tblData[Date]&gt;StartDt2Italy,ISNUMBER(tblData[Italy])),(tblData[[#This Row],[Italy LogiP(t)]]-tblData[[#This Row],[Italy]])^2,"")</f>
        <v/>
      </c>
      <c r="AU11" s="11" t="str">
        <f>IF(AND(tblData[Date]&gt;StartDt2Italy,ISNUMBER(tblData[Days'# Italy])),tblData[[#This Row],[Italy LogiP(t)]]/$AT$9,"")</f>
        <v/>
      </c>
      <c r="AV11" s="11">
        <f>IF(ISNUMBER(tblData[[#This Row],[Days'# US]]),betaUS/(deltaUS+betaPodeltaUS*EXP(-betaUS*tblData[Days'# US])),"")</f>
        <v>2.2710910481900958E-3</v>
      </c>
      <c r="AW11" s="11" t="str">
        <f>IF(AND(tblData[Date]&gt;=StartDt2US,ISNUMBER(tblData[US])),(tblData[[#This Row],[US LogiP(t)]]-tblData[US])^2,"")</f>
        <v/>
      </c>
      <c r="AX11" s="11">
        <f>IF(ISNUMBER(tblData[[#This Row],[Days'# US]]),tblData[[#This Row],[US LogiP(t)]]/$AW$9,"")</f>
        <v>6.8982370890152613E-5</v>
      </c>
      <c r="AY11" s="11" t="str">
        <f>IF(tblData[Date]&gt;=StartDt2Korea,betaSKorea/(deltaSKorea+betaPodeltaSKorea*EXP(-betaSKorea*(tblData[Date]-StartDt2Korea))),"")</f>
        <v/>
      </c>
      <c r="AZ11" s="11" t="str">
        <f>IF(AND(tblData[Date]&gt;=StartDt2Korea,ISNUMBER(tblData[SKorea])),(tblData[[#This Row],[SKorea LogiP(t)]]-tblData[[#This Row],[SKorea]])^2,"")</f>
        <v/>
      </c>
      <c r="BA11" s="11" t="str">
        <f>IF(tblData[Date]&gt;=StartDt2Korea,tblData[[#This Row],[SKorea LogiP(t)]]/$AZ$9,"")</f>
        <v/>
      </c>
      <c r="BB11" s="11" t="str">
        <f>IF(ISNUMBER(tblData[Days'# UK]),betaUK/(deltaUK+betaPodeltaUK*EXP(-betaUK*tblData[Days'# UK])),"")</f>
        <v/>
      </c>
      <c r="BC11" s="11" t="str">
        <f>IF(ISNUMBER(tblData[UK]),(tblData[[#This Row],[UK LogiP(t)]]-tblData[[#This Row],[UK]])^2,"")</f>
        <v/>
      </c>
      <c r="BD11" s="11" t="str">
        <f>IF(ISNUMBER(tblData[Days'# UK]),tblData[[#This Row],[UK LogiP(t)]]/$BC$9,"")</f>
        <v/>
      </c>
      <c r="BE11" s="11">
        <f>IF(ISNUMBER(tblData[Days'# China]),betaChina/(deltaChina+betaPodeltaChina*EXP(-betaChina*tblData[Days'# China])),"")</f>
        <v>1537.6493038446686</v>
      </c>
      <c r="BF11" s="11">
        <f>IF(ISNUMBER(tblData[China]),(tblData[[#This Row],[China LogiP(t)]]-tblData[[#This Row],[China]])^2,"")</f>
        <v>2364365.381613994</v>
      </c>
      <c r="BG11" s="11">
        <f>tblData[[#This Row],[China LogiP(t)]]/$BF$9</f>
        <v>10.683136966707542</v>
      </c>
      <c r="BH11" s="11" t="str">
        <f>IF(ISNUMBER(tblData[Day'# Singapore]),betaSingapore/(deltaSingapore+betaPodeltaSingapore*EXP(-betaSingapore*tblData[Day'# Singapore])),"")</f>
        <v/>
      </c>
      <c r="BI11" s="11" t="str">
        <f>IF(AND(ISNUMBER(tblData[Singapore]),tblData[Date]&gt;=StartDt2Singapore),(tblData[[#This Row],[Singapore LogiP(t)]]-tblData[[#This Row],[Singapore]])^2,"")</f>
        <v/>
      </c>
      <c r="BJ11" s="11" t="str">
        <f>IF(ISNUMBER(tblData[Day'# Singapore]),tblData[Singapore LogiP(t)]/$BI$9,"")</f>
        <v/>
      </c>
      <c r="BK11" s="11">
        <f>IF(ISNUMBER(tblData[Day'# Generic]),betaGeneric/(deltaGeneric+betaPodeltaGeneric*EXP(-betaGeneric*tblData[Day'# Generic])),"")</f>
        <v>1536.180755147765</v>
      </c>
      <c r="BL11" s="122">
        <f>IF(AND(ISNUMBER(tblData[Generic]),tblData[Date]&gt;=StartDt2Generic),(tblData[Generic LogiP(t)]-tblData[[#This Row],[Generic]])^2,"")</f>
        <v>2359851.3124863575</v>
      </c>
      <c r="BM11" s="122">
        <f>IF(ISNUMBER(tblData[Day'# Generic]),tblData[Generic LogiP(t)]/$BL$9,"")</f>
        <v>262.59500087995985</v>
      </c>
      <c r="BO11" s="11"/>
      <c r="BP11" s="11" t="str">
        <f>IF(ISNUMBER(tblData[[#This Row],[Tests]]),tblData[[#This Row],[Tests]]-BP10,"")</f>
        <v/>
      </c>
      <c r="BQ11" s="11" t="str">
        <f>IF(ISNUMBER(tblData[[#This Row],[NSW Under Investigation'']]),tblData[[#This Row],[NSW Under Investigation'']]-BO10,"")</f>
        <v/>
      </c>
      <c r="BR11" s="11"/>
      <c r="BS11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11" s="11" t="str">
        <f>IF(tblData[Tests]&gt;0,(tblData[[#This Row],[Tests]]-tblData[[#This Row],[NSW Test Logi]])^2,"")</f>
        <v/>
      </c>
      <c r="BU11" s="11" t="str">
        <f>IF(ISNUMBER(tblData[Tests]),tblData[Tests]/$BS$9/100,"")</f>
        <v/>
      </c>
      <c r="BV11" s="11" t="str">
        <f>IF(AND(tblData[[#This Row],[NSW Test Day Number]]&gt;0,ISNUMBER(tblData[[#This Row],[NSW Test Day Number]])),TestsLogestB*TestsLogestM^tblData[[#This Row],[NSW Test Day Number]],"")</f>
        <v/>
      </c>
      <c r="BW11" s="11" t="str">
        <f>IF(AND(tblData[[#This Row],[NSW Test Day Number]]&gt;0,ISNUMBER(tblData[Tests])),(tblData[Tests]-tblData[[#This Row],[NSW Test Per Capita]])^2,"")</f>
        <v/>
      </c>
      <c r="BX11" s="11"/>
      <c r="BY11" s="11"/>
      <c r="BZ11" s="1"/>
      <c r="CA11" t="s">
        <v>48</v>
      </c>
      <c r="CB11" s="77">
        <v>43916.898969907408</v>
      </c>
      <c r="CC11" s="26">
        <f>INDEX(tblPopulation[Day 0],MATCH($CA11,tblPopulation[Country],0),1)</f>
        <v>43855</v>
      </c>
      <c r="CD11" s="26">
        <f>INDEX(tblPopulation[Logistic Start2],MATCH($CA11,tblPopulation[Country],0),1)</f>
        <v>43855</v>
      </c>
      <c r="CE11">
        <v>0</v>
      </c>
      <c r="CF11" s="46">
        <v>0.25198740272460018</v>
      </c>
      <c r="CG11">
        <v>3.5811924155832426E-5</v>
      </c>
      <c r="CH11" s="97">
        <v>9.999999999999998E-4</v>
      </c>
      <c r="CI11">
        <f>betaAu/deltaAu</f>
        <v>7036.4105996678436</v>
      </c>
      <c r="CJ11" s="46">
        <f>SQRT(SUM(tblData[AU Sq Err])/COUNT(tblData[AU Sq Err]))</f>
        <v>31.506780671612191</v>
      </c>
      <c r="CK11" s="97">
        <f>(betaAu/PoAu)-deltaAu</f>
        <v>251.98736691267607</v>
      </c>
      <c r="CL11" s="97">
        <f>tblRuns[d]*1000</f>
        <v>3.5811924155832425E-2</v>
      </c>
      <c r="CM11" s="26">
        <f t="array" ref="CM11">MAX(IF(ISNUMBER(tblData[Au]),tblData[Date]))</f>
        <v>43916</v>
      </c>
      <c r="CN11" s="26" t="str">
        <f>Cengnotation(tblRuns[[#This Row],[Asymptote b/d]],3)</f>
        <v>7.04 k</v>
      </c>
      <c r="CO11" s="124">
        <f>MAX(tblData[Au LogiP(t)])</f>
        <v>7036.4105996678436</v>
      </c>
      <c r="CP11" s="25">
        <f>MAX(tblData[Au])</f>
        <v>2806</v>
      </c>
      <c r="CQ11" s="25" t="str">
        <f>Cengnotation(CI11/(AuPop/PerPerson),3)</f>
        <v>2.77 k</v>
      </c>
      <c r="CR11" s="1">
        <f t="array" ref="CR11">MAX(IF(ISNUMBER(tblData[Au]),tblData[Date]))</f>
        <v>43916</v>
      </c>
      <c r="CS11">
        <f t="array" ref="CS11">COUNT(IF(ISNUMBER(tblData[Au]),tblData[Date]))</f>
        <v>62</v>
      </c>
      <c r="CT11" s="26" t="str">
        <f t="shared" ref="CT11:CT18" si="0">"b="&amp;TEXT(CF11,"##0.###")&amp;", d="&amp;TEXT(CG11,"0.00E+00")&amp;", P0="&amp;TEXT(CH11,"#.###")&amp;" Limit="&amp;IF(PopScaling=0,CN11,CQ11)&amp;"=&gt;"&amp;Cengnotation(CO11,3)&amp;" cases "&amp;CW11</f>
        <v xml:space="preserve">b=0.252, d=3.58E-05, P0=.001 Limit=2.77 k=&gt;7.04 k cases </v>
      </c>
      <c r="CU11" s="25"/>
      <c r="CV11" s="25" t="str">
        <f>CA11&amp;" Limit " &amp; IF(PopScaling=0,CN11,CQ11)</f>
        <v>Australia Limit 2.77 k</v>
      </c>
      <c r="CW11" s="25"/>
      <c r="CX11" s="18" t="str">
        <f t="shared" ref="CX11:CX18" si="1">"COVID19 "&amp;CA11 &amp; " " &amp;LogFormula&amp;CHAR(10)&amp;CT11&amp;CHAR(10)&amp;TEXT(CR11," dd-mmm")&amp;IF(PopScaling=0,"",", "&amp;PerPersonLabel)</f>
        <v>COVID19 Australia P(t) = b / {d+[( b/Po - d ) ]* exp(-b*t)}
b=0.252, d=3.58E-05, P0=.001 Limit=2.77 k=&gt;7.04 k cases 
 26-Mar, Cases per 10 M population</v>
      </c>
      <c r="CY11" s="20">
        <f>MAX(tblData[Au Cases Per Capita])</f>
        <v>1106.2923829049046</v>
      </c>
      <c r="CZ11" s="25"/>
      <c r="DA11" s="25"/>
      <c r="DC11"/>
      <c r="DD11" s="25" t="str">
        <f>"At " &amp; TEXT(CR11,"ddd dd-mmm ") &amp; CA11 &amp;  TEXT(AuMaxCasespc," ###0") &amp; " cases per 10M was " &amp; DC13  &amp; " days behind Italy, " &amp; IF(DC14&gt;0, DC14 &amp; " days behind", -DC14 &amp; " days ahead of ") &amp; " USA &amp; " &amp;  DC15 &amp; " days behind China, " &amp; DC16 &amp; " days behind South Korea, " &amp; DC17 &amp; " days behind UK"</f>
        <v>At Thu 26-Mar Australia 1106 cases per 10M was 18 days behind Italy, 3 days behind USA &amp; -4 days behind China, 21 days behind South Korea, 2 days behind UK</v>
      </c>
      <c r="DE11" s="11">
        <f>INDEX(tblData[Au LogiP(t)],MATCH(VALUE(tblRuns[AtDate])+7,tblData[Date],0))</f>
        <v>5609.0277292435912</v>
      </c>
      <c r="DF11" s="19">
        <f>tblRuns[Mean Sq Err]/tblRuns[Max Cases Per Capita]</f>
        <v>2.8479614574296923E-2</v>
      </c>
      <c r="DG11" s="19"/>
      <c r="DH11" s="11">
        <f>INDEX(tblData[Au LogiP(t)],MATCH(VALUE($CM11)+7,tblData[Date],0))</f>
        <v>5609.0277292435912</v>
      </c>
      <c r="DS11" s="87">
        <v>43852</v>
      </c>
      <c r="DT11" s="89">
        <f>NSWpop</f>
        <v>8080000</v>
      </c>
      <c r="DU11" s="90">
        <f>PerPerson</f>
        <v>10000000</v>
      </c>
      <c r="DV11" s="88"/>
      <c r="DW11"/>
      <c r="DX11"/>
      <c r="DY11" s="25" t="s">
        <v>48</v>
      </c>
      <c r="EA11" s="26">
        <v>43855</v>
      </c>
      <c r="EC11" s="25">
        <v>0</v>
      </c>
      <c r="ED11" s="22">
        <v>0.19828176912463458</v>
      </c>
      <c r="EE11" s="24">
        <v>1.0000000000015669E-10</v>
      </c>
      <c r="EF11" s="21">
        <v>1.5235707215503663E-2</v>
      </c>
      <c r="EG11" s="96">
        <v>1982817691.2432389</v>
      </c>
      <c r="EH11" s="19">
        <v>10.841918819926793</v>
      </c>
      <c r="EI11" s="36">
        <v>13.014280618450188</v>
      </c>
      <c r="EJ11" s="98">
        <v>1.0000000000015668E-7</v>
      </c>
      <c r="EK11" s="26">
        <v>43908</v>
      </c>
      <c r="EL11" s="26" t="s">
        <v>703</v>
      </c>
      <c r="EM11" s="26"/>
      <c r="EN11" s="98">
        <v>565</v>
      </c>
      <c r="EO11" s="19" t="s">
        <v>704</v>
      </c>
      <c r="EP11" s="26">
        <v>43908</v>
      </c>
      <c r="EQ11" s="25">
        <v>57</v>
      </c>
      <c r="ER11" s="18" t="s">
        <v>705</v>
      </c>
      <c r="ES11" s="25"/>
      <c r="ET11" s="25" t="s">
        <v>706</v>
      </c>
      <c r="EU11" s="25"/>
      <c r="EV11" s="25" t="s">
        <v>707</v>
      </c>
      <c r="EW11" s="25"/>
      <c r="EX11" s="82"/>
      <c r="EY11" s="25"/>
      <c r="EZ11" s="82"/>
      <c r="FB11" s="25"/>
      <c r="FC11" s="25"/>
      <c r="FD11" s="25"/>
      <c r="FE11" s="20"/>
    </row>
    <row r="12" spans="1:169" x14ac:dyDescent="0.25">
      <c r="B12" s="1">
        <v>43853</v>
      </c>
      <c r="C12">
        <v>0</v>
      </c>
      <c r="D12" s="25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25" t="str">
        <f>IF(ISNUMBER(tblData[[#This Row],[NSW]]),tblData[[#This Row],[New South Wales]]/$L$9,"")</f>
        <v/>
      </c>
      <c r="N12" s="25" t="str">
        <f>IF(ISNUMBER(tblData[Italy]),tblData[Italy]/$N$9,"")</f>
        <v/>
      </c>
      <c r="O12">
        <v>1</v>
      </c>
      <c r="P12" s="124">
        <f>IF(ISNUMBER(tblData[US]),tblData[US]/$P$9,"")</f>
        <v>3.037411069235945E-2</v>
      </c>
      <c r="Q12">
        <v>1</v>
      </c>
      <c r="R12" s="19">
        <f>IF(ISNUMBER(tblData[SKorea]),tblData[SKorea]/$R$9,"")</f>
        <v>0.19455252918287938</v>
      </c>
      <c r="T12" s="25" t="str">
        <f>IF(ISNUMBER(tblData[UK]),tblData[UK]/$T$9,"")</f>
        <v/>
      </c>
      <c r="U12">
        <v>643</v>
      </c>
      <c r="V12" s="20">
        <f>IF(ISNUMBER(tblData[China]),tblData[China]/$V$9,"")</f>
        <v>4.4673756573864862</v>
      </c>
      <c r="W12">
        <v>1</v>
      </c>
      <c r="X12" s="20">
        <f>IF(ISNUMBER(tblData[Singapore]),tblData[Singapore]/$X$9,"")</f>
        <v>1.7094017094017095</v>
      </c>
      <c r="Y12">
        <v>444</v>
      </c>
      <c r="Z12" s="20">
        <f>IF(AND(LEN(tblData[Generic])&gt;0,ISNUMBER(tblData[Generic])),tblData[Generic]/$Z$9,"")</f>
        <v>75.897435897435898</v>
      </c>
      <c r="AA12" s="25" t="str">
        <f>IF(tblData[[#This Row],[Date]]&lt;ItalyStart,"",tblData[[#This Row],[Date]]-ItalyStart)</f>
        <v/>
      </c>
      <c r="AB12" s="25">
        <f>IF(tblData[[#This Row],[Date]]&lt;USStart,"",tblData[[#This Row],[Date]]-USStart)</f>
        <v>1</v>
      </c>
      <c r="AC12" s="25">
        <f>IF(tblData[[#This Row],[Date]]&lt;ChinaStart,"",tblData[[#This Row],[Date]]-ChinaStart)</f>
        <v>1</v>
      </c>
      <c r="AD12" s="25" t="str">
        <f>IF(tblData[[#This Row],[Date]]&lt;StartDt2Korea,"",tblData[[#This Row],[Date]]-StartDt2Korea)</f>
        <v/>
      </c>
      <c r="AE12" s="25" t="str">
        <f>IF(tblData[[#This Row],[Date]]&lt;UKStart,"",tblData[[#This Row],[Date]]-UKStart)</f>
        <v/>
      </c>
      <c r="AF12" s="25">
        <f>IF(tblData[[#This Row],[Date]]&lt;SingaporeStart,"",tblData[[#This Row],[Date]]-SingaporeStart)</f>
        <v>0</v>
      </c>
      <c r="AG12" s="25">
        <f>IF(tblData[[#This Row],[Date]]&lt;GenStart,"",tblData[[#This Row],[Date]]-GenStart)</f>
        <v>1</v>
      </c>
      <c r="AH12" t="str">
        <f>IF(tblData[Date]&gt;=StartDt2Au,tblData[Date]-StartDt2Au,"")</f>
        <v/>
      </c>
      <c r="AI12" s="25" t="str">
        <f>IF(tblData[New South Wales]&gt;0,SUM(tblData[[#This Row],[Australian Capital Territory]:[Western Australia]]),"")</f>
        <v/>
      </c>
      <c r="AJ12" s="25" t="str">
        <f>IF(ISNUMBER(tblData[Au]),tblData[Au]/$AE$9,"")</f>
        <v/>
      </c>
      <c r="AK12" s="11" t="str">
        <f>IF(ISNUMBER(tblData[[#This Row],[Day'# Aust]]),betaAu/(deltaAu+betaPodeltaAu*EXP(-betaAu*tblData[[#This Row],[Day'# Aust]])),"")</f>
        <v/>
      </c>
      <c r="AL12" s="65" t="str">
        <f>IF(ISNUMBER(tblData[Day'# Aust]),tblData[Au LogiP(t)]/$AJ$9,"")</f>
        <v/>
      </c>
      <c r="AM12" s="11" t="str">
        <f>IF(AND(tblData[Date]&gt;=StartDt2Au,ISNUMBER(tblData[NSW])),(tblData[[#This Row],[Au LogiP(t)]]-tblData[[#This Row],[Au]])^2,"")</f>
        <v/>
      </c>
      <c r="AN12" t="str">
        <f>IF(tblData[Date]&gt;StartDt2NSW,tblData[Date]-StartDt2NSW,"")</f>
        <v/>
      </c>
      <c r="AO12" t="str">
        <f>IF(E12&gt;0,E12,"")</f>
        <v/>
      </c>
      <c r="AP12" s="11" t="str">
        <f>IF(tblData[Date]&gt;StartDt2NSW,betaNSW/(deltaNSW+betaPodeltaNSW*EXP(-betaNSW*tblData[[#This Row],[Day '# NSW]])),"")</f>
        <v/>
      </c>
      <c r="AQ12" s="12" t="str">
        <f>IF(AND(ISNUMBER(tblData[NSW]),tblData[Date]&gt;StartDt2NSW),(tblData[[#This Row],[NSW LogiP(t)]]-tblData[[#This Row],[NSW]])^2,"")</f>
        <v/>
      </c>
      <c r="AR12" s="12" t="str">
        <f>IF(AND(tblData[Date]&gt;StartDt2NSW,ISNUMBER(tblData[Day'# Aust])),tblData[NSW LogiP(t)]/$AQ$9,"")</f>
        <v/>
      </c>
      <c r="AS12" s="11" t="str">
        <f>IF(AND(tblData[Date]&gt;StartDt2Italy,ISNUMBER(tblData[Days'# Italy])),betaItaly/(deltaItaly+betaPodeltaItaly*EXP(-betaItaly*tblData[Days'# Italy])),"")</f>
        <v/>
      </c>
      <c r="AT12" s="11" t="str">
        <f>IF(AND(tblData[Date]&gt;StartDt2Italy,ISNUMBER(tblData[Italy])),(tblData[[#This Row],[Italy LogiP(t)]]-tblData[[#This Row],[Italy]])^2,"")</f>
        <v/>
      </c>
      <c r="AU12" s="11" t="str">
        <f>IF(AND(tblData[Date]&gt;StartDt2Italy,ISNUMBER(tblData[Days'# Italy])),tblData[[#This Row],[Italy LogiP(t)]]/$AT$9,"")</f>
        <v/>
      </c>
      <c r="AV12" s="11">
        <f>IF(ISNUMBER(tblData[[#This Row],[Days'# US]]),betaUS/(deltaUS+betaPodeltaUS*EXP(-betaUS*tblData[Days'# US])),"")</f>
        <v>2.9969653859689954E-3</v>
      </c>
      <c r="AW12" s="11" t="str">
        <f>IF(AND(tblData[Date]&gt;=StartDt2US,ISNUMBER(tblData[US])),(tblData[[#This Row],[US LogiP(t)]]-tblData[US])^2,"")</f>
        <v/>
      </c>
      <c r="AX12" s="11">
        <f>IF(ISNUMBER(tblData[[#This Row],[Days'# US]]),tblData[[#This Row],[US LogiP(t)]]/$AW$9,"")</f>
        <v>9.103015837459202E-5</v>
      </c>
      <c r="AY12" s="11" t="str">
        <f>IF(tblData[Date]&gt;=StartDt2Korea,betaSKorea/(deltaSKorea+betaPodeltaSKorea*EXP(-betaSKorea*(tblData[Date]-StartDt2Korea))),"")</f>
        <v/>
      </c>
      <c r="AZ12" s="11" t="str">
        <f>IF(AND(tblData[Date]&gt;=StartDt2Korea,ISNUMBER(tblData[SKorea])),(tblData[[#This Row],[SKorea LogiP(t)]]-tblData[[#This Row],[SKorea]])^2,"")</f>
        <v/>
      </c>
      <c r="BA12" s="11" t="str">
        <f>IF(tblData[Date]&gt;=StartDt2Korea,tblData[[#This Row],[SKorea LogiP(t)]]/$AZ$9,"")</f>
        <v/>
      </c>
      <c r="BB12" s="11" t="str">
        <f>IF(ISNUMBER(tblData[Days'# UK]),betaUK/(deltaUK+betaPodeltaUK*EXP(-betaUK*tblData[Days'# UK])),"")</f>
        <v/>
      </c>
      <c r="BC12" s="11" t="str">
        <f>IF(ISNUMBER(tblData[UK]),(tblData[[#This Row],[UK LogiP(t)]]-tblData[[#This Row],[UK]])^2,"")</f>
        <v/>
      </c>
      <c r="BD12" s="11" t="str">
        <f>IF(ISNUMBER(tblData[Days'# UK]),tblData[[#This Row],[UK LogiP(t)]]/$BC$9,"")</f>
        <v/>
      </c>
      <c r="BE12" s="11">
        <f>IF(ISNUMBER(tblData[Days'# China]),betaChina/(deltaChina+betaPodeltaChina*EXP(-betaChina*tblData[Days'# China])),"")</f>
        <v>1911.116758302496</v>
      </c>
      <c r="BF12" s="11">
        <f>IF(ISNUMBER(tblData[China]),(tblData[[#This Row],[China LogiP(t)]]-tblData[[#This Row],[China]])^2,"")</f>
        <v>1608120.112687631</v>
      </c>
      <c r="BG12" s="11">
        <f>tblData[[#This Row],[China LogiP(t)]]/$BF$9</f>
        <v>13.277879447066788</v>
      </c>
      <c r="BH12" s="11">
        <f>IF(ISNUMBER(tblData[Day'# Singapore]),betaSingapore/(deltaSingapore+betaPodeltaSingapore*EXP(-betaSingapore*tblData[Day'# Singapore])),"")</f>
        <v>5.5933880442807453</v>
      </c>
      <c r="BI12" s="11">
        <f>IF(AND(ISNUMBER(tblData[Singapore]),tblData[Date]&gt;=StartDt2Singapore),(tblData[[#This Row],[Singapore LogiP(t)]]-tblData[[#This Row],[Singapore]])^2,"")</f>
        <v>21.09921372534129</v>
      </c>
      <c r="BJ12" s="11">
        <f>IF(ISNUMBER(tblData[Day'# Singapore]),tblData[Singapore LogiP(t)]/$BI$9,"")</f>
        <v>9.561347084240591</v>
      </c>
      <c r="BK12" s="11">
        <f>IF(ISNUMBER(tblData[Day'# Generic]),betaGeneric/(deltaGeneric+betaPodeltaGeneric*EXP(-betaGeneric*tblData[Day'# Generic])),"")</f>
        <v>1903.0606703178739</v>
      </c>
      <c r="BL12" s="11">
        <f>IF(AND(ISNUMBER(tblData[Generic]),tblData[Date]&gt;=StartDt2Generic),(tblData[Generic LogiP(t)]-tblData[[#This Row],[Generic]])^2,"")</f>
        <v>2128858.0396684436</v>
      </c>
      <c r="BM12" s="11">
        <f>IF(ISNUMBER(tblData[Day'# Generic]),tblData[Generic LogiP(t)]/$BL$9,"")</f>
        <v>325.3095162936537</v>
      </c>
      <c r="BO12" s="11"/>
      <c r="BP12" s="11" t="str">
        <f>IF(ISNUMBER(tblData[[#This Row],[Tests]]),tblData[[#This Row],[Tests]]-BP11,"")</f>
        <v/>
      </c>
      <c r="BQ12" s="11" t="str">
        <f>IF(ISNUMBER(tblData[[#This Row],[NSW Under Investigation'']]),tblData[[#This Row],[NSW Under Investigation'']]-BO11,"")</f>
        <v/>
      </c>
      <c r="BR12" s="11"/>
      <c r="BS12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12" s="11" t="str">
        <f>IF(tblData[Tests]&gt;0,(tblData[[#This Row],[Tests]]-tblData[[#This Row],[NSW Test Logi]])^2,"")</f>
        <v/>
      </c>
      <c r="BU12" s="11" t="str">
        <f>IF(ISNUMBER(tblData[Tests]),tblData[Tests]/$BS$9/100,"")</f>
        <v/>
      </c>
      <c r="BV12" s="11" t="str">
        <f>IF(AND(tblData[[#This Row],[NSW Test Day Number]]&gt;0,ISNUMBER(tblData[[#This Row],[NSW Test Day Number]])),TestsLogestB*TestsLogestM^tblData[[#This Row],[NSW Test Day Number]],"")</f>
        <v/>
      </c>
      <c r="BW12" s="11" t="str">
        <f>IF(AND(tblData[[#This Row],[NSW Test Day Number]]&gt;0,ISNUMBER(tblData[Tests])),(tblData[Tests]-tblData[[#This Row],[NSW Test Per Capita]])^2,"")</f>
        <v/>
      </c>
      <c r="BX12" s="11"/>
      <c r="BY12" s="11"/>
      <c r="BZ12" s="1"/>
      <c r="CA12" s="57" t="s">
        <v>153</v>
      </c>
      <c r="CB12" s="78">
        <v>43916.899039351854</v>
      </c>
      <c r="CC12" s="26">
        <f>INDEX(tblPopulation[Day 0],MATCH($CA12,tblPopulation[State],0),1)</f>
        <v>43855</v>
      </c>
      <c r="CD12" s="26">
        <f>INDEX(tblPopulation[Logistic Start2],MATCH($CA12,tblPopulation[CtryAbbrev],0),1)</f>
        <v>43855</v>
      </c>
      <c r="CE12" s="57">
        <v>1</v>
      </c>
      <c r="CF12" s="162">
        <v>0.20855545594562394</v>
      </c>
      <c r="CG12" s="62">
        <v>2.1724930507479493E-5</v>
      </c>
      <c r="CH12" s="120">
        <v>4.178927841893056E-3</v>
      </c>
      <c r="CI12" s="57">
        <f>betaNSW/deltaNSW</f>
        <v>9599.8215448294359</v>
      </c>
      <c r="CJ12" s="59">
        <f>SQRT(SUM(tblData[NSW Sq Err])/COUNT(tblData[NSW Sq Err]))</f>
        <v>15.099122382386785</v>
      </c>
      <c r="CK12" s="97">
        <f>(betaNSW/PoNSW)-deltaNSW</f>
        <v>49.906428885412708</v>
      </c>
      <c r="CL12" s="97">
        <f>tblRuns[d]*1000</f>
        <v>2.1724930507479492E-2</v>
      </c>
      <c r="CM12" s="26">
        <f t="array" ref="CM12">MAX(IF(ISNUMBER(tblData[NSW]),tblData[Date]))</f>
        <v>43916</v>
      </c>
      <c r="CN12" s="26" t="str">
        <f>Cengnotation(tblRuns[[#This Row],[Asymptote b/d]],3)</f>
        <v>9.60 k</v>
      </c>
      <c r="CO12" s="124">
        <f>MAX(tblData[NSW LogiP(t)])</f>
        <v>9599.8215448294359</v>
      </c>
      <c r="CP12" s="57">
        <f>MAX(tblData[NSW])</f>
        <v>1219</v>
      </c>
      <c r="CQ12" s="57" t="str">
        <f>Cengnotation(CI12/(NSWpop/PerPerson),3)</f>
        <v>11.9 k</v>
      </c>
      <c r="CR12" s="58">
        <f t="array" ref="CR12">MAX(IF(ISNUMBER(tblData[NSW]),tblData[Date]))</f>
        <v>43916</v>
      </c>
      <c r="CS12" s="119">
        <f t="array" ref="CS12">COUNT(IF(ISNUMBER(tblData[NSW]),tblData[Date]))</f>
        <v>62</v>
      </c>
      <c r="CT12" s="26" t="str">
        <f t="shared" si="0"/>
        <v xml:space="preserve">b=0.209, d=2.17E-05, P0=.004 Limit=11.9 k=&gt;9.60 k cases </v>
      </c>
      <c r="CU12" s="57"/>
      <c r="CV12" s="57" t="str">
        <f>CA12&amp;" Limit " &amp; IF(PopScaling=0,CN12,CQ12)</f>
        <v>NSW Limit 11.9 k</v>
      </c>
      <c r="CW12" s="57"/>
      <c r="CX12" s="18" t="str">
        <f t="shared" si="1"/>
        <v>COVID19 NSW P(t) = b / {d+[( b/Po - d ) ]* exp(-b*t)}
b=0.209, d=2.17E-05, P0=.004 Limit=11.9 k=&gt;9.60 k cases 
 26-Mar, Cases per 10 M population</v>
      </c>
      <c r="CY12" s="20">
        <f>MAX(tblData[NSW Cases per Capita])</f>
        <v>1508.6633663366335</v>
      </c>
      <c r="CZ12" s="60"/>
      <c r="DA12" s="60"/>
      <c r="DC12" s="11"/>
      <c r="DD12" s="25" t="str">
        <f>"At " &amp; TEXT(CR12,"ddd dd-mmm " ) &amp;  CA12  &amp;  TEXT(NSWMaxCasespc," ###0") &amp; " cases per 10M was " &amp; DA13 &amp; " days behind Italy, " &amp; IF(DA14&gt;0, DA14 &amp; " days behind", -DA14 &amp; " days ahead of") &amp; " USA &amp; " &amp;  DA15 &amp; " days behind China, " &amp; DA16 &amp; " days behind South Korea, " &amp; DA17 &amp; " days behind UK"</f>
        <v>At Thu 26-Mar NSW 1509 cases per 10M was 17 days behind Italy, 2 days behind USA &amp; -4 days behind China, 15 days behind South Korea, -1 days behind UK</v>
      </c>
      <c r="DE12" s="11">
        <f>INDEX(tblData[NSW LogiP(t)],MATCH(VALUE(tblRuns[AtDate])+7,tblData[Date],0))</f>
        <v>3702.6389598227588</v>
      </c>
      <c r="DF12" s="19">
        <f>tblRuns[Mean Sq Err]/tblRuns[Max Cases Per Capita]</f>
        <v>1.0008278002435212E-2</v>
      </c>
      <c r="DG12" s="19"/>
      <c r="DH12" s="11">
        <f>INDEX(tblData[NSW LogiP(t)],MATCH(VALUE($CM12)+7,tblData[Date],0))</f>
        <v>3702.6389598227588</v>
      </c>
      <c r="DS12" s="87">
        <v>44004</v>
      </c>
      <c r="DT12" s="89">
        <f>DT11</f>
        <v>8080000</v>
      </c>
      <c r="DU12" s="90">
        <f>PerPerson</f>
        <v>10000000</v>
      </c>
      <c r="DV12" s="88">
        <f>delta</f>
        <v>3.264904118030584E-6</v>
      </c>
      <c r="DW12"/>
      <c r="DX12"/>
      <c r="DY12" s="25" t="s">
        <v>48</v>
      </c>
      <c r="EA12" s="26">
        <v>43855</v>
      </c>
      <c r="EC12" s="25">
        <v>0</v>
      </c>
      <c r="ED12" s="25">
        <v>0.19828176912463458</v>
      </c>
      <c r="EE12" s="24">
        <v>1.0000000000015669E-10</v>
      </c>
      <c r="EF12" s="25">
        <v>1.5235707215503663E-2</v>
      </c>
      <c r="EG12" s="96">
        <v>1982817691.2432389</v>
      </c>
      <c r="EH12" s="19">
        <v>12.353786198782009</v>
      </c>
      <c r="EI12" s="12">
        <v>13.014280618450188</v>
      </c>
      <c r="EJ12" s="98">
        <v>1.0000000000015668E-7</v>
      </c>
      <c r="EK12" s="26">
        <v>43908</v>
      </c>
      <c r="EL12" s="26" t="s">
        <v>703</v>
      </c>
      <c r="EM12" s="26"/>
      <c r="EN12" s="98">
        <v>636</v>
      </c>
      <c r="EO12" s="25" t="s">
        <v>704</v>
      </c>
      <c r="EP12" s="26">
        <v>43908</v>
      </c>
      <c r="EQ12" s="25">
        <v>58</v>
      </c>
      <c r="ER12" s="26" t="s">
        <v>705</v>
      </c>
      <c r="ES12" s="25"/>
      <c r="ET12" s="25" t="s">
        <v>706</v>
      </c>
      <c r="EU12" s="25"/>
      <c r="EV12" s="18" t="s">
        <v>729</v>
      </c>
      <c r="EW12" s="20">
        <v>250.74909320296484</v>
      </c>
      <c r="EX12" s="82"/>
      <c r="EY12" s="25"/>
      <c r="EZ12" s="82"/>
      <c r="FB12" s="25" t="s">
        <v>730</v>
      </c>
      <c r="FC12" s="25"/>
      <c r="FD12" s="25"/>
      <c r="FE12" s="25"/>
    </row>
    <row r="13" spans="1:169" x14ac:dyDescent="0.25">
      <c r="B13" s="1">
        <v>43854</v>
      </c>
      <c r="C13">
        <v>0</v>
      </c>
      <c r="D13" s="25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25" t="str">
        <f>IF(ISNUMBER(tblData[[#This Row],[NSW]]),tblData[[#This Row],[New South Wales]]/$L$9,"")</f>
        <v/>
      </c>
      <c r="N13" s="25" t="str">
        <f>IF(ISNUMBER(tblData[Italy]),tblData[Italy]/$N$9,"")</f>
        <v/>
      </c>
      <c r="O13">
        <v>2</v>
      </c>
      <c r="P13" s="124">
        <f>IF(ISNUMBER(tblData[US]),tblData[US]/$P$9,"")</f>
        <v>6.0748221384718901E-2</v>
      </c>
      <c r="Q13">
        <v>2</v>
      </c>
      <c r="R13" s="19">
        <f>IF(ISNUMBER(tblData[SKorea]),tblData[SKorea]/$R$9,"")</f>
        <v>0.38910505836575876</v>
      </c>
      <c r="T13" s="25" t="str">
        <f>IF(ISNUMBER(tblData[UK]),tblData[UK]/$T$9,"")</f>
        <v/>
      </c>
      <c r="U13">
        <v>920</v>
      </c>
      <c r="V13" s="20">
        <f>IF(ISNUMBER(tblData[China]),tblData[China]/$V$9,"")</f>
        <v>6.391890520677399</v>
      </c>
      <c r="W13">
        <v>3</v>
      </c>
      <c r="X13" s="20">
        <f>IF(ISNUMBER(tblData[Singapore]),tblData[Singapore]/$X$9,"")</f>
        <v>5.1282051282051286</v>
      </c>
      <c r="Y13">
        <v>549</v>
      </c>
      <c r="Z13" s="20">
        <f>IF(AND(LEN(tblData[Generic])&gt;0,ISNUMBER(tblData[Generic])),tblData[Generic]/$Z$9,"")</f>
        <v>93.846153846153854</v>
      </c>
      <c r="AA13" s="25" t="str">
        <f>IF(tblData[[#This Row],[Date]]&lt;ItalyStart,"",tblData[[#This Row],[Date]]-ItalyStart)</f>
        <v/>
      </c>
      <c r="AB13" s="25">
        <f>IF(tblData[[#This Row],[Date]]&lt;USStart,"",tblData[[#This Row],[Date]]-USStart)</f>
        <v>2</v>
      </c>
      <c r="AC13" s="25">
        <f>IF(tblData[[#This Row],[Date]]&lt;ChinaStart,"",tblData[[#This Row],[Date]]-ChinaStart)</f>
        <v>2</v>
      </c>
      <c r="AD13" s="25" t="str">
        <f>IF(tblData[[#This Row],[Date]]&lt;StartDt2Korea,"",tblData[[#This Row],[Date]]-StartDt2Korea)</f>
        <v/>
      </c>
      <c r="AE13" s="25" t="str">
        <f>IF(tblData[[#This Row],[Date]]&lt;UKStart,"",tblData[[#This Row],[Date]]-UKStart)</f>
        <v/>
      </c>
      <c r="AF13" s="25">
        <f>IF(tblData[[#This Row],[Date]]&lt;SingaporeStart,"",tblData[[#This Row],[Date]]-SingaporeStart)</f>
        <v>1</v>
      </c>
      <c r="AG13" s="25">
        <f>IF(tblData[[#This Row],[Date]]&lt;GenStart,"",tblData[[#This Row],[Date]]-GenStart)</f>
        <v>2</v>
      </c>
      <c r="AH13" t="str">
        <f>IF(tblData[Date]&gt;=StartDt2Au,tblData[Date]-StartDt2Au,"")</f>
        <v/>
      </c>
      <c r="AI13" s="25" t="str">
        <f>IF(tblData[New South Wales]&gt;0,SUM(tblData[[#This Row],[Australian Capital Territory]:[Western Australia]]),"")</f>
        <v/>
      </c>
      <c r="AJ13" s="25" t="str">
        <f>IF(ISNUMBER(tblData[Au]),tblData[Au]/$AE$9,"")</f>
        <v/>
      </c>
      <c r="AK13" s="11" t="str">
        <f>IF(ISNUMBER(tblData[[#This Row],[Day'# Aust]]),betaAu/(deltaAu+betaPodeltaAu*EXP(-betaAu*tblData[[#This Row],[Day'# Aust]])),"")</f>
        <v/>
      </c>
      <c r="AL13" s="65" t="str">
        <f>IF(ISNUMBER(tblData[Day'# Aust]),tblData[Au LogiP(t)]/$AJ$9,"")</f>
        <v/>
      </c>
      <c r="AM13" s="11" t="str">
        <f>IF(AND(tblData[Date]&gt;=StartDt2Au,ISNUMBER(tblData[NSW])),(tblData[[#This Row],[Au LogiP(t)]]-tblData[[#This Row],[Au]])^2,"")</f>
        <v/>
      </c>
      <c r="AN13" t="str">
        <f>IF(tblData[Date]&gt;StartDt2NSW,tblData[Date]-StartDt2NSW,"")</f>
        <v/>
      </c>
      <c r="AO13" t="str">
        <f>IF(E13&gt;0,E13,"")</f>
        <v/>
      </c>
      <c r="AP13" s="11" t="str">
        <f>IF(tblData[Date]&gt;StartDt2NSW,betaNSW/(deltaNSW+betaPodeltaNSW*EXP(-betaNSW*tblData[[#This Row],[Day '# NSW]])),"")</f>
        <v/>
      </c>
      <c r="AQ13" s="12" t="str">
        <f>IF(AND(ISNUMBER(tblData[NSW]),tblData[Date]&gt;StartDt2NSW),(tblData[[#This Row],[NSW LogiP(t)]]-tblData[[#This Row],[NSW]])^2,"")</f>
        <v/>
      </c>
      <c r="AR13" s="12" t="str">
        <f>IF(AND(tblData[Date]&gt;StartDt2NSW,ISNUMBER(tblData[Day'# Aust])),tblData[NSW LogiP(t)]/$AQ$9,"")</f>
        <v/>
      </c>
      <c r="AS13" s="11" t="str">
        <f>IF(AND(tblData[Date]&gt;StartDt2Italy,ISNUMBER(tblData[Days'# Italy])),betaItaly/(deltaItaly+betaPodeltaItaly*EXP(-betaItaly*tblData[Days'# Italy])),"")</f>
        <v/>
      </c>
      <c r="AT13" s="11" t="str">
        <f>IF(AND(tblData[Date]&gt;StartDt2Italy,ISNUMBER(tblData[Italy])),(tblData[[#This Row],[Italy LogiP(t)]]-tblData[[#This Row],[Italy]])^2,"")</f>
        <v/>
      </c>
      <c r="AU13" s="11" t="str">
        <f>IF(AND(tblData[Date]&gt;StartDt2Italy,ISNUMBER(tblData[Days'# Italy])),tblData[[#This Row],[Italy LogiP(t)]]/$AT$9,"")</f>
        <v/>
      </c>
      <c r="AV13" s="11">
        <f>IF(ISNUMBER(tblData[[#This Row],[Days'# US]]),betaUS/(deltaUS+betaPodeltaUS*EXP(-betaUS*tblData[Days'# US])),"")</f>
        <v>3.9548399086566013E-3</v>
      </c>
      <c r="AW13" s="11" t="str">
        <f>IF(AND(tblData[Date]&gt;=StartDt2US,ISNUMBER(tblData[US])),(tblData[[#This Row],[US LogiP(t)]]-tblData[US])^2,"")</f>
        <v/>
      </c>
      <c r="AX13" s="11">
        <f>IF(ISNUMBER(tblData[[#This Row],[Days'# US]]),tblData[[#This Row],[US LogiP(t)]]/$AW$9,"")</f>
        <v>1.2012474515609634E-4</v>
      </c>
      <c r="AY13" s="11" t="str">
        <f>IF(tblData[Date]&gt;=StartDt2Korea,betaSKorea/(deltaSKorea+betaPodeltaSKorea*EXP(-betaSKorea*(tblData[Date]-StartDt2Korea))),"")</f>
        <v/>
      </c>
      <c r="AZ13" s="11" t="str">
        <f>IF(AND(tblData[Date]&gt;=StartDt2Korea,ISNUMBER(tblData[SKorea])),(tblData[[#This Row],[SKorea LogiP(t)]]-tblData[[#This Row],[SKorea]])^2,"")</f>
        <v/>
      </c>
      <c r="BA13" s="11" t="str">
        <f>IF(tblData[Date]&gt;=StartDt2Korea,tblData[[#This Row],[SKorea LogiP(t)]]/$AZ$9,"")</f>
        <v/>
      </c>
      <c r="BB13" s="11" t="str">
        <f>IF(ISNUMBER(tblData[Days'# UK]),betaUK/(deltaUK+betaPodeltaUK*EXP(-betaUK*tblData[Days'# UK])),"")</f>
        <v/>
      </c>
      <c r="BC13" s="11" t="str">
        <f>IF(ISNUMBER(tblData[UK]),(tblData[[#This Row],[UK LogiP(t)]]-tblData[[#This Row],[UK]])^2,"")</f>
        <v/>
      </c>
      <c r="BD13" s="11" t="str">
        <f>IF(ISNUMBER(tblData[Days'# UK]),tblData[[#This Row],[UK LogiP(t)]]/$BC$9,"")</f>
        <v/>
      </c>
      <c r="BE13" s="11">
        <f>IF(ISNUMBER(tblData[Days'# China]),betaChina/(deltaChina+betaPodeltaChina*EXP(-betaChina*tblData[Days'# China])),"")</f>
        <v>2372.5849334809322</v>
      </c>
      <c r="BF13" s="11">
        <f>IF(ISNUMBER(tblData[China]),(tblData[[#This Row],[China LogiP(t)]]-tblData[[#This Row],[China]])^2,"")</f>
        <v>2110002.9889758043</v>
      </c>
      <c r="BG13" s="11">
        <f>tblData[[#This Row],[China LogiP(t)]]/$BF$9</f>
        <v>16.484025158498682</v>
      </c>
      <c r="BH13" s="11">
        <f>IF(ISNUMBER(tblData[Day'# Singapore]),betaSingapore/(deltaSingapore+betaPodeltaSingapore*EXP(-betaSingapore*tblData[Day'# Singapore])),"")</f>
        <v>6.0258746868153459</v>
      </c>
      <c r="BI13" s="11">
        <f>IF(AND(ISNUMBER(tblData[Singapore]),tblData[Date]&gt;=StartDt2Singapore),(tblData[[#This Row],[Singapore LogiP(t)]]-tblData[[#This Row],[Singapore]])^2,"")</f>
        <v>9.155917620309868</v>
      </c>
      <c r="BJ13" s="11">
        <f>IF(ISNUMBER(tblData[Day'# Singapore]),tblData[Singapore LogiP(t)]/$BI$9,"")</f>
        <v>10.300640490282643</v>
      </c>
      <c r="BK13" s="11">
        <f>IF(ISNUMBER(tblData[Day'# Generic]),betaGeneric/(deltaGeneric+betaPodeltaGeneric*EXP(-betaGeneric*tblData[Day'# Generic])),"")</f>
        <v>2354.4245654882316</v>
      </c>
      <c r="BL13" s="11">
        <f>IF(AND(ISNUMBER(tblData[Generic]),tblData[Date]&gt;=StartDt2Generic),(tblData[Generic LogiP(t)]-tblData[[#This Row],[Generic]])^2,"")</f>
        <v>3259557.8616683697</v>
      </c>
      <c r="BM13" s="11">
        <f>IF(ISNUMBER(tblData[Day'# Generic]),tblData[Generic LogiP(t)]/$BL$9,"")</f>
        <v>402.46573769029601</v>
      </c>
      <c r="BO13" s="11"/>
      <c r="BP13" s="11" t="str">
        <f>IF(ISNUMBER(tblData[[#This Row],[Tests]]),tblData[[#This Row],[Tests]]-BP12,"")</f>
        <v/>
      </c>
      <c r="BQ13" s="11" t="str">
        <f>IF(ISNUMBER(tblData[[#This Row],[NSW Under Investigation'']]),tblData[[#This Row],[NSW Under Investigation'']]-BO12,"")</f>
        <v/>
      </c>
      <c r="BR13" s="11"/>
      <c r="BS13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13" s="11" t="str">
        <f>IF(tblData[Tests]&gt;0,(tblData[[#This Row],[Tests]]-tblData[[#This Row],[NSW Test Logi]])^2,"")</f>
        <v/>
      </c>
      <c r="BU13" s="11" t="str">
        <f>IF(ISNUMBER(tblData[Tests]),tblData[Tests]/$BS$9/100,"")</f>
        <v/>
      </c>
      <c r="BV13" s="11" t="str">
        <f>IF(AND(tblData[[#This Row],[NSW Test Day Number]]&gt;0,ISNUMBER(tblData[[#This Row],[NSW Test Day Number]])),TestsLogestB*TestsLogestM^tblData[[#This Row],[NSW Test Day Number]],"")</f>
        <v/>
      </c>
      <c r="BW13" s="11" t="str">
        <f>IF(AND(tblData[[#This Row],[NSW Test Day Number]]&gt;0,ISNUMBER(tblData[Tests])),(tblData[Tests]-tblData[[#This Row],[NSW Test Per Capita]])^2,"")</f>
        <v/>
      </c>
      <c r="BX13" s="11"/>
      <c r="BY13" s="11"/>
      <c r="BZ13" s="1"/>
      <c r="CA13" t="s">
        <v>58</v>
      </c>
      <c r="CB13" s="76">
        <v>43916.899085648147</v>
      </c>
      <c r="CC13" s="26">
        <f>INDEX(tblPopulation[Day 0],MATCH($CA13,tblPopulation[Country],0),1)</f>
        <v>43860</v>
      </c>
      <c r="CD13" s="26">
        <f>INDEX(tblPopulation[Logistic Start2],MATCH($CA13,tblPopulation[CtryAbbrev],0),1)</f>
        <v>43860</v>
      </c>
      <c r="CE13">
        <v>2</v>
      </c>
      <c r="CF13" s="22">
        <v>0.25752779680433807</v>
      </c>
      <c r="CG13" s="24">
        <v>3.3859219411555139E-6</v>
      </c>
      <c r="CH13" s="98">
        <v>0.44235943793467725</v>
      </c>
      <c r="CI13" s="23">
        <f>betaItaly/deltaItaly</f>
        <v>76058.397470454249</v>
      </c>
      <c r="CJ13" s="36">
        <f>SQRT(SUM(tblData[Italy Sq Err])/COUNT(tblData[Italy Sq Err]))</f>
        <v>2581.4033034715762</v>
      </c>
      <c r="CK13" s="97">
        <f>(betaItaly/PoItaly)-deltaItaly</f>
        <v>0.5821652640942182</v>
      </c>
      <c r="CL13" s="97">
        <f>tblRuns[d]*1000</f>
        <v>3.3859219411555138E-3</v>
      </c>
      <c r="CM13" s="26">
        <f t="array" ref="CM13">MAX(IF(ISNUMBER(tblData[Italy]),tblData[Date]))</f>
        <v>43915</v>
      </c>
      <c r="CN13" s="26" t="str">
        <f>Cengnotation(tblRuns[[#This Row],[Asymptote b/d]],3)</f>
        <v>76.1 k</v>
      </c>
      <c r="CO13" s="124">
        <f>MAX(tblData[Italy LogiP(t)])</f>
        <v>76058.397470454249</v>
      </c>
      <c r="CP13" s="25">
        <f>MAX(tblData[Italy])</f>
        <v>74386</v>
      </c>
      <c r="CQ13" s="25" t="str">
        <f>Cengnotation(CI13/(ItalyPop/PerPerson),3)</f>
        <v>12.6 k</v>
      </c>
      <c r="CR13" s="1">
        <f t="array" ref="CR13">MAX(IF(ISNUMBER(tblData[Italy]),tblData[Date]))</f>
        <v>43915</v>
      </c>
      <c r="CS13" s="11">
        <f t="array" ref="CS13">COUNT(IF(ISNUMBER(tblData[Italy]),tblData[Date]))</f>
        <v>56</v>
      </c>
      <c r="CT13" s="26" t="str">
        <f t="shared" si="0"/>
        <v xml:space="preserve">b=0.258, d=3.39E-06, P0=.442 Limit=12.6 k=&gt;76.1 k cases </v>
      </c>
      <c r="CV13" s="25" t="str">
        <f>CA13&amp;" Limit " &amp; IF(PopScaling=0,CN13,CQ13)</f>
        <v>Italy Limit 12.6 k</v>
      </c>
      <c r="CW13" s="25"/>
      <c r="CX13" s="18" t="str">
        <f t="shared" si="1"/>
        <v>COVID19 Italy P(t) = b / {d+[( b/Po - d ) ]* exp(-b*t)}
b=0.258, d=3.39E-06, P0=.442 Limit=12.6 k=&gt;76.1 k cases 
 25-Mar, Cases per 10 M population</v>
      </c>
      <c r="CY13" s="20">
        <f>MAX(tblData[Italy Cases per Capita])</f>
        <v>12298.255765892371</v>
      </c>
      <c r="CZ13" s="26">
        <f>IF(CY13&gt;NSWMaxCasespc,INDEX(tblData[Date],1+MATCH(NSWMaxCasespc,tblData[Italy Cases per Capita],1)),INDEX(tblData[Date],1+MATCH(CY13,tblData[NSW Cases per Capita],1)))</f>
        <v>43899</v>
      </c>
      <c r="DA13" s="11">
        <f t="shared" ref="DA13:DA18" si="2">IF(CY13&gt;NSWMaxCasespc,1,-1)*(CM$12-CZ13)</f>
        <v>17</v>
      </c>
      <c r="DB13" s="26">
        <f>IF(CY13&gt;AuMaxCasespc,INDEX(tblData[Date],1+MATCH(AuMaxCasespc,tblData[Italy Cases per Capita],1)),INDEX(tblData[Date],1+MATCH(CY13,tblData[Au Cases Per Capita],1)))</f>
        <v>43898</v>
      </c>
      <c r="DC13" s="11">
        <f t="shared" ref="DC13:DC18" si="3">IF(CY13&gt;AuMaxCasespc,1,-1)*(CM$13-DB13+1)</f>
        <v>18</v>
      </c>
      <c r="DD13"/>
      <c r="DE13" s="11">
        <f>INDEX(tblData[Italy LogiP(t)],MATCH(VALUE(tblRuns[AtDate])+7,tblData[Date],0))</f>
        <v>74566.788728345942</v>
      </c>
      <c r="DF13" s="19">
        <f>tblRuns[Mean Sq Err]/tblRuns[Max Cases Per Capita]</f>
        <v>0.20989995269335396</v>
      </c>
      <c r="DG13" s="19"/>
      <c r="DH13" s="11">
        <f>INDEX(tblData[Italy LogiP(t)],MATCH(VALUE($CM13)+7,tblData[Date],0))</f>
        <v>74566.788728345942</v>
      </c>
      <c r="DV13"/>
      <c r="DW13"/>
      <c r="DX13"/>
      <c r="DY13" s="25" t="s">
        <v>48</v>
      </c>
      <c r="EA13" s="26">
        <v>43855</v>
      </c>
      <c r="EC13" s="25">
        <v>0</v>
      </c>
      <c r="ED13" s="25">
        <v>0.20329336152663352</v>
      </c>
      <c r="EE13" s="24">
        <v>9.9999999999999995E-7</v>
      </c>
      <c r="EF13" s="25">
        <v>1.1946625698450987E-2</v>
      </c>
      <c r="EG13" s="96">
        <v>203293.36152663353</v>
      </c>
      <c r="EH13" s="19">
        <v>11.355599354824715</v>
      </c>
      <c r="EI13" s="12">
        <v>17.016800786381637</v>
      </c>
      <c r="EJ13" s="98">
        <v>1E-3</v>
      </c>
      <c r="EK13" s="26">
        <v>43910</v>
      </c>
      <c r="EL13" s="25" t="s">
        <v>985</v>
      </c>
      <c r="EM13" s="25"/>
      <c r="EN13" s="98">
        <v>876</v>
      </c>
      <c r="EO13" s="25" t="s">
        <v>986</v>
      </c>
      <c r="EP13" s="26">
        <v>43910</v>
      </c>
      <c r="EQ13" s="25">
        <v>59</v>
      </c>
      <c r="ER13" s="25" t="s">
        <v>987</v>
      </c>
      <c r="ES13" s="25"/>
      <c r="ET13" s="25" t="s">
        <v>988</v>
      </c>
      <c r="EU13" s="25"/>
      <c r="EV13" s="25" t="s">
        <v>989</v>
      </c>
      <c r="EW13" s="25">
        <v>345.37139252483837</v>
      </c>
      <c r="EX13" s="82"/>
      <c r="EY13" s="25"/>
      <c r="EZ13" s="82"/>
      <c r="FB13" s="25" t="s">
        <v>990</v>
      </c>
      <c r="FC13" s="25"/>
      <c r="FD13" s="25"/>
      <c r="FE13" s="25"/>
    </row>
    <row r="14" spans="1:169" ht="18.75" customHeight="1" x14ac:dyDescent="0.25">
      <c r="B14" s="1">
        <v>43855</v>
      </c>
      <c r="C14">
        <v>0</v>
      </c>
      <c r="D14" s="25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25">
        <f>IF(ISNUMBER(tblData[[#This Row],[NSW]]),tblData[[#This Row],[New South Wales]]/$L$9,"")</f>
        <v>0</v>
      </c>
      <c r="N14" s="25" t="str">
        <f>IF(ISNUMBER(tblData[Italy]),tblData[Italy]/$N$9,"")</f>
        <v/>
      </c>
      <c r="O14">
        <v>2</v>
      </c>
      <c r="P14" s="124">
        <f>IF(ISNUMBER(tblData[US]),tblData[US]/$P$9,"")</f>
        <v>6.0748221384718901E-2</v>
      </c>
      <c r="Q14">
        <v>2</v>
      </c>
      <c r="R14" s="19">
        <f>IF(ISNUMBER(tblData[SKorea]),tblData[SKorea]/$R$9,"")</f>
        <v>0.38910505836575876</v>
      </c>
      <c r="T14" s="25" t="str">
        <f>IF(ISNUMBER(tblData[UK]),tblData[UK]/$T$9,"")</f>
        <v/>
      </c>
      <c r="U14">
        <v>1406</v>
      </c>
      <c r="V14" s="20">
        <f>IF(ISNUMBER(tblData[China]),tblData[China]/$V$9,"")</f>
        <v>9.7684761652961125</v>
      </c>
      <c r="W14">
        <v>3</v>
      </c>
      <c r="X14" s="20">
        <f>IF(ISNUMBER(tblData[Singapore]),tblData[Singapore]/$X$9,"")</f>
        <v>5.1282051282051286</v>
      </c>
      <c r="Y14">
        <v>761</v>
      </c>
      <c r="Z14" s="20">
        <f>IF(AND(LEN(tblData[Generic])&gt;0,ISNUMBER(tblData[Generic])),tblData[Generic]/$Z$9,"")</f>
        <v>130.08547008547009</v>
      </c>
      <c r="AA14" s="25" t="str">
        <f>IF(tblData[[#This Row],[Date]]&lt;ItalyStart,"",tblData[[#This Row],[Date]]-ItalyStart)</f>
        <v/>
      </c>
      <c r="AB14" s="25">
        <f>IF(tblData[[#This Row],[Date]]&lt;USStart,"",tblData[[#This Row],[Date]]-USStart)</f>
        <v>3</v>
      </c>
      <c r="AC14" s="25">
        <f>IF(tblData[[#This Row],[Date]]&lt;ChinaStart,"",tblData[[#This Row],[Date]]-ChinaStart)</f>
        <v>3</v>
      </c>
      <c r="AD14" s="25" t="str">
        <f>IF(tblData[[#This Row],[Date]]&lt;StartDt2Korea,"",tblData[[#This Row],[Date]]-StartDt2Korea)</f>
        <v/>
      </c>
      <c r="AE14" s="25" t="str">
        <f>IF(tblData[[#This Row],[Date]]&lt;UKStart,"",tblData[[#This Row],[Date]]-UKStart)</f>
        <v/>
      </c>
      <c r="AF14" s="25">
        <f>IF(tblData[[#This Row],[Date]]&lt;SingaporeStart,"",tblData[[#This Row],[Date]]-SingaporeStart)</f>
        <v>2</v>
      </c>
      <c r="AG14" s="25">
        <f>IF(tblData[[#This Row],[Date]]&lt;GenStart,"",tblData[[#This Row],[Date]]-GenStart)</f>
        <v>3</v>
      </c>
      <c r="AH14">
        <f>IF(tblData[Date]&gt;=StartDt2Au,tblData[Date]-StartDt2Au,"")</f>
        <v>0</v>
      </c>
      <c r="AI14" s="25">
        <f>IF(tblData[New South Wales]&gt;=0,SUM(tblData[[#This Row],[Australian Capital Territory]:[Western Australia]]),"")</f>
        <v>0</v>
      </c>
      <c r="AJ14" s="25">
        <f>IF(ISNUMBER(tblData[Au]),tblData[Au]/$AE$9,"")</f>
        <v>0</v>
      </c>
      <c r="AK14" s="19">
        <f>IF(ISNUMBER(tblData[[#This Row],[Day'# Aust]]),betaAu/(deltaAu+betaPodeltaAu*EXP(-betaAu*tblData[[#This Row],[Day'# Aust]])),"")</f>
        <v>9.999999999999998E-4</v>
      </c>
      <c r="AL14" s="66">
        <f>IF(ISNUMBER(tblData[Day'# Aust]),tblData[Au LogiP(t)]/$AJ$9,"")</f>
        <v>3.9425958050780626E-4</v>
      </c>
      <c r="AM14" s="11">
        <f>IF(AND(tblData[Date]&gt;=StartDt2Au,ISNUMBER(tblData[NSW])),(tblData[[#This Row],[Au LogiP(t)]]-tblData[[#This Row],[Au]])^2,"")</f>
        <v>9.9999999999999953E-7</v>
      </c>
      <c r="AN14" t="str">
        <f>IF(tblData[Date]&gt;StartDt2NSW,tblData[Date]-StartDt2NSW,"")</f>
        <v/>
      </c>
      <c r="AO14">
        <v>0</v>
      </c>
      <c r="AP14" s="11" t="str">
        <f>IF(tblData[Date]&gt;StartDt2NSW,betaNSW/(deltaNSW+betaPodeltaNSW*EXP(-betaNSW*tblData[[#This Row],[Day '# NSW]])),"")</f>
        <v/>
      </c>
      <c r="AQ14" s="12" t="str">
        <f>IF(AND(ISNUMBER(tblData[NSW]),tblData[Date]&gt;StartDt2NSW),(tblData[[#This Row],[NSW LogiP(t)]]-tblData[[#This Row],[NSW]])^2,"")</f>
        <v/>
      </c>
      <c r="AR14" s="12" t="str">
        <f>IF(AND(tblData[Date]&gt;StartDt2NSW,ISNUMBER(tblData[Day'# Aust])),tblData[NSW LogiP(t)]/$AQ$9,"")</f>
        <v/>
      </c>
      <c r="AS14" s="11" t="str">
        <f>IF(AND(tblData[Date]&gt;StartDt2Italy,ISNUMBER(tblData[Days'# Italy])),betaItaly/(deltaItaly+betaPodeltaItaly*EXP(-betaItaly*tblData[Days'# Italy])),"")</f>
        <v/>
      </c>
      <c r="AT14" s="11" t="str">
        <f>IF(AND(tblData[Date]&gt;StartDt2Italy,ISNUMBER(tblData[Italy])),(tblData[[#This Row],[Italy LogiP(t)]]-tblData[[#This Row],[Italy]])^2,"")</f>
        <v/>
      </c>
      <c r="AU14" s="11" t="str">
        <f>IF(AND(tblData[Date]&gt;StartDt2Italy,ISNUMBER(tblData[Days'# Italy])),tblData[[#This Row],[Italy LogiP(t)]]/$AT$9,"")</f>
        <v/>
      </c>
      <c r="AV14" s="11">
        <f>IF(ISNUMBER(tblData[[#This Row],[Days'# US]]),betaUS/(deltaUS+betaPodeltaUS*EXP(-betaUS*tblData[Days'# US])),"")</f>
        <v>5.2188653064771844E-3</v>
      </c>
      <c r="AW14" s="11" t="str">
        <f>IF(AND(tblData[Date]&gt;=StartDt2US,ISNUMBER(tblData[US])),(tblData[[#This Row],[US LogiP(t)]]-tblData[US])^2,"")</f>
        <v/>
      </c>
      <c r="AX14" s="11">
        <f>IF(ISNUMBER(tblData[[#This Row],[Days'# US]]),tblData[[#This Row],[US LogiP(t)]]/$AW$9,"")</f>
        <v>1.5851839250745242E-4</v>
      </c>
      <c r="AY14" s="11" t="str">
        <f>IF(tblData[Date]&gt;=StartDt2Korea,betaSKorea/(deltaSKorea+betaPodeltaSKorea*EXP(-betaSKorea*(tblData[Date]-StartDt2Korea))),"")</f>
        <v/>
      </c>
      <c r="AZ14" s="11" t="str">
        <f>IF(AND(tblData[Date]&gt;=StartDt2Korea,ISNUMBER(tblData[SKorea])),(tblData[[#This Row],[SKorea LogiP(t)]]-tblData[[#This Row],[SKorea]])^2,"")</f>
        <v/>
      </c>
      <c r="BA14" s="11" t="str">
        <f>IF(tblData[Date]&gt;=StartDt2Korea,tblData[[#This Row],[SKorea LogiP(t)]]/$AZ$9,"")</f>
        <v/>
      </c>
      <c r="BB14" s="11" t="str">
        <f>IF(ISNUMBER(tblData[Days'# UK]),betaUK/(deltaUK+betaPodeltaUK*EXP(-betaUK*tblData[Days'# UK])),"")</f>
        <v/>
      </c>
      <c r="BC14" s="11" t="str">
        <f>IF(ISNUMBER(tblData[UK]),(tblData[[#This Row],[UK LogiP(t)]]-tblData[[#This Row],[UK]])^2,"")</f>
        <v/>
      </c>
      <c r="BD14" s="11" t="str">
        <f>IF(ISNUMBER(tblData[Days'# UK]),tblData[[#This Row],[UK LogiP(t)]]/$BC$9,"")</f>
        <v/>
      </c>
      <c r="BE14" s="11">
        <f>IF(ISNUMBER(tblData[Days'# China]),betaChina/(deltaChina+betaPodeltaChina*EXP(-betaChina*tblData[Days'# China])),"")</f>
        <v>2941.3383882613775</v>
      </c>
      <c r="BF14" s="11">
        <f>IF(ISNUMBER(tblData[China]),(tblData[[#This Row],[China LogiP(t)]]-tblData[[#This Row],[China]])^2,"")</f>
        <v>2357263.9664690443</v>
      </c>
      <c r="BG14" s="11">
        <f>tblData[[#This Row],[China LogiP(t)]]/$BF$9</f>
        <v>20.435557567426564</v>
      </c>
      <c r="BH14" s="11">
        <f>IF(ISNUMBER(tblData[Day'# Singapore]),betaSingapore/(deltaSingapore+betaPodeltaSingapore*EXP(-betaSingapore*tblData[Day'# Singapore])),"")</f>
        <v>6.4918016511144625</v>
      </c>
      <c r="BI14" s="11">
        <f>IF(AND(ISNUMBER(tblData[Singapore]),tblData[Date]&gt;=StartDt2Singapore),(tblData[[#This Row],[Singapore LogiP(t)]]-tblData[[#This Row],[Singapore]])^2,"")</f>
        <v>12.192678770725687</v>
      </c>
      <c r="BJ14" s="11">
        <f>IF(ISNUMBER(tblData[Day'# Singapore]),tblData[Singapore LogiP(t)]/$BI$9,"")</f>
        <v>11.097096839511902</v>
      </c>
      <c r="BK14" s="11">
        <f>IF(ISNUMBER(tblData[Day'# Generic]),betaGeneric/(deltaGeneric+betaPodeltaGeneric*EXP(-betaGeneric*tblData[Day'# Generic])),"")</f>
        <v>2908.0821800847111</v>
      </c>
      <c r="BL14" s="11">
        <f>IF(AND(ISNUMBER(tblData[Generic]),tblData[Date]&gt;=StartDt2Generic),(tblData[Generic LogiP(t)]-tblData[[#This Row],[Generic]])^2,"")</f>
        <v>4609961.8880373156</v>
      </c>
      <c r="BM14" s="11">
        <f>IF(ISNUMBER(tblData[Day'# Generic]),tblData[Generic LogiP(t)]/$BL$9,"")</f>
        <v>497.10806497174553</v>
      </c>
      <c r="BO14" s="11"/>
      <c r="BP14" s="11" t="str">
        <f>IF(ISNUMBER(tblData[[#This Row],[Tests]]),tblData[[#This Row],[Tests]]-BP13,"")</f>
        <v/>
      </c>
      <c r="BQ14" s="11" t="str">
        <f>IF(ISNUMBER(tblData[[#This Row],[NSW Under Investigation'']]),tblData[[#This Row],[NSW Under Investigation'']]-BO13,"")</f>
        <v/>
      </c>
      <c r="BR14" s="11"/>
      <c r="BS14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14" s="11" t="str">
        <f>IF(tblData[Tests]&gt;0,(tblData[[#This Row],[Tests]]-tblData[[#This Row],[NSW Test Logi]])^2,"")</f>
        <v/>
      </c>
      <c r="BU14" s="11" t="str">
        <f>IF(ISNUMBER(tblData[Tests]),tblData[Tests]/$BS$9/100,"")</f>
        <v/>
      </c>
      <c r="BV14" s="11" t="str">
        <f>IF(AND(tblData[[#This Row],[NSW Test Day Number]]&gt;0,ISNUMBER(tblData[[#This Row],[NSW Test Day Number]])),TestsLogestB*TestsLogestM^tblData[[#This Row],[NSW Test Day Number]],"")</f>
        <v/>
      </c>
      <c r="BW14" s="11" t="str">
        <f>IF(AND(tblData[[#This Row],[NSW Test Day Number]]&gt;0,ISNUMBER(tblData[Tests])),(tblData[Tests]-tblData[[#This Row],[NSW Test Per Capita]])^2,"")</f>
        <v/>
      </c>
      <c r="BX14" s="11"/>
      <c r="BY14" s="11"/>
      <c r="BZ14" s="26"/>
      <c r="CA14" s="25" t="s">
        <v>209</v>
      </c>
      <c r="CB14" s="77">
        <v>43916.899108796293</v>
      </c>
      <c r="CC14" s="26">
        <f>INDEX(tblPopulation[Day 0],MATCH($CA14,tblPopulation[Country],0),1)</f>
        <v>43852</v>
      </c>
      <c r="CD14" s="26">
        <f>INDEX(tblPopulation[Logistic Start2],MATCH($CA14,tblPopulation[Country],0),1)</f>
        <v>43885</v>
      </c>
      <c r="CE14" s="25">
        <v>3</v>
      </c>
      <c r="CF14" s="22">
        <v>0.27733988858891551</v>
      </c>
      <c r="CG14" s="24">
        <v>1.4801916494471641E-6</v>
      </c>
      <c r="CH14" s="98">
        <v>2.2710910481900958E-3</v>
      </c>
      <c r="CI14" s="23">
        <f>betaUS/deltaUS</f>
        <v>187367.55385189413</v>
      </c>
      <c r="CJ14" s="36">
        <f>SQRT(SUM(tblData[US Sq Err])/COUNT(tblData[US Sq Err]))</f>
        <v>1827.6216298380521</v>
      </c>
      <c r="CK14" s="97">
        <f>(betaUS/PoUS)-deltaUS</f>
        <v>122.11746660191646</v>
      </c>
      <c r="CL14" s="97">
        <f>tblRuns[d]*1000</f>
        <v>1.4801916494471641E-3</v>
      </c>
      <c r="CM14" s="26">
        <f t="array" ref="CM14">MAX(IF(ISNUMBER(tblData[US]),tblData[Date]))</f>
        <v>43915</v>
      </c>
      <c r="CN14" s="26" t="str">
        <f>Cengnotation(tblRuns[[#This Row],[Asymptote b/d]],3)</f>
        <v>187 k</v>
      </c>
      <c r="CO14" s="124">
        <f>MAX(tblData[US LogiP(t)])</f>
        <v>187367.55385189413</v>
      </c>
      <c r="CP14" s="25">
        <f>MAX(tblData[US])</f>
        <v>54916</v>
      </c>
      <c r="CQ14" s="25" t="str">
        <f>Cengnotation(CI14/(USpop/PerPerson),3)</f>
        <v>5.69 k</v>
      </c>
      <c r="CR14" s="26">
        <f t="array" ref="CR14">MAX(IF(ISNUMBER(tblData[Italy]),tblData[Date]))</f>
        <v>43915</v>
      </c>
      <c r="CS14" s="11">
        <f t="array" ref="CS14">COUNT(IF(ISNUMBER(tblData[US]),tblData[Date]))</f>
        <v>64</v>
      </c>
      <c r="CT14" s="26" t="str">
        <f t="shared" si="0"/>
        <v xml:space="preserve">b=0.277, d=1.48E-06, P0=.002 Limit=5.69 k=&gt;187 k cases </v>
      </c>
      <c r="CU14" s="25"/>
      <c r="CV14" s="25" t="str">
        <f>CA14&amp;" Limit " &amp; IF(PopScaling=0,CN14,CQ14)</f>
        <v>USA Limit 5.69 k</v>
      </c>
      <c r="CW14" s="32"/>
      <c r="CX14" s="18" t="str">
        <f t="shared" si="1"/>
        <v>COVID19 USA P(t) = b / {d+[( b/Po - d ) ]* exp(-b*t)}
b=0.277, d=1.48E-06, P0=.002 Limit=5.69 k=&gt;187 k cases 
 25-Mar, Cases per 10 M population</v>
      </c>
      <c r="CY14" s="20">
        <f>MAX(tblData[US Cases Per Capita])</f>
        <v>1668.0246627816116</v>
      </c>
      <c r="CZ14" s="26">
        <f>IF(CY14&gt;NSWMaxCasespc,INDEX(tblData[Date],1+MATCH(NSWMaxCasespc,tblData[US Cases Per Capita],1)),INDEX(tblData[Date],1+MATCH(CY14,tblData[NSW Cases per Capita],1)))</f>
        <v>43914</v>
      </c>
      <c r="DA14" s="11">
        <f t="shared" si="2"/>
        <v>2</v>
      </c>
      <c r="DB14" s="26">
        <f>IF(CY14&gt;AuMaxCasespc,INDEX(tblData[Date],1+MATCH(AuMaxCasespc,tblData[US Cases Per Capita],1)),INDEX(tblData[Date],1+MATCH(CY14,tblData[Au Cases Per Capita],1)))</f>
        <v>43913</v>
      </c>
      <c r="DC14" s="11">
        <f t="shared" si="3"/>
        <v>3</v>
      </c>
      <c r="DD14" s="25" t="str">
        <f>DD11&amp;CHAR(10)&amp;DD12</f>
        <v>At Thu 26-Mar Australia 1106 cases per 10M was 18 days behind Italy, 3 days behind USA &amp; -4 days behind China, 21 days behind South Korea, 2 days behind UK
At Thu 26-Mar NSW 1509 cases per 10M was 17 days behind Italy, 2 days behind USA &amp; -4 days behind China, 15 days behind South Korea, -1 days behind UK</v>
      </c>
      <c r="DE14" s="11">
        <f>INDEX(tblData[US LogiP(t)],MATCH(VALUE(tblRuns[AtDate])+7,tblData[Date],0))</f>
        <v>143510.40456202495</v>
      </c>
      <c r="DF14" s="19">
        <f>tblRuns[Mean Sq Err]/tblRuns[Max Cases Per Capita]</f>
        <v>1.0956802202134681</v>
      </c>
      <c r="DG14" s="19"/>
      <c r="DH14" s="11">
        <f>INDEX(tblData[US LogiP(t)],MATCH(VALUE($CM14)+7,tblData[Date],0))</f>
        <v>143510.40456202495</v>
      </c>
      <c r="DJ14" s="25"/>
      <c r="DK14" s="25"/>
      <c r="DS14" t="s">
        <v>1296</v>
      </c>
      <c r="DT14" t="s">
        <v>1297</v>
      </c>
      <c r="DV14"/>
      <c r="DW14"/>
      <c r="DX14"/>
      <c r="DY14" s="25" t="s">
        <v>48</v>
      </c>
      <c r="DZ14" s="76">
        <v>43911.866249999999</v>
      </c>
      <c r="EA14" s="26">
        <v>43855</v>
      </c>
      <c r="EB14" s="26">
        <v>43855</v>
      </c>
      <c r="EC14" s="25">
        <v>0</v>
      </c>
      <c r="ED14" s="25">
        <v>0.20648931335259277</v>
      </c>
      <c r="EE14" s="24">
        <v>1.0000000000000768E-9</v>
      </c>
      <c r="EF14" s="25">
        <v>1.0150253776574341E-2</v>
      </c>
      <c r="EG14" s="96">
        <v>206489313.35257691</v>
      </c>
      <c r="EH14" s="19">
        <v>10.992507007919523</v>
      </c>
      <c r="EI14" s="12">
        <v>20.343266078627209</v>
      </c>
      <c r="EJ14" s="98">
        <v>1.0000000000000768E-6</v>
      </c>
      <c r="EK14" s="26">
        <v>43911</v>
      </c>
      <c r="EL14" s="25" t="s">
        <v>1066</v>
      </c>
      <c r="EM14" s="25"/>
      <c r="EN14" s="98">
        <v>1068</v>
      </c>
      <c r="EO14" s="25" t="s">
        <v>1067</v>
      </c>
      <c r="EP14" s="26">
        <v>43911</v>
      </c>
      <c r="EQ14" s="25">
        <v>60</v>
      </c>
      <c r="ER14" s="25" t="s">
        <v>1068</v>
      </c>
      <c r="ET14" s="25" t="s">
        <v>1069</v>
      </c>
      <c r="EU14" s="25"/>
      <c r="EV14" s="25" t="s">
        <v>1070</v>
      </c>
      <c r="EW14" s="25">
        <v>421.06923198233716</v>
      </c>
      <c r="EX14" s="82"/>
      <c r="EY14" s="25"/>
      <c r="EZ14" s="82"/>
      <c r="FB14" s="25" t="s">
        <v>1048</v>
      </c>
      <c r="FC14" s="25"/>
      <c r="FD14" s="25"/>
      <c r="FE14" s="25"/>
    </row>
    <row r="15" spans="1:169" ht="15" customHeight="1" x14ac:dyDescent="0.25">
      <c r="B15" s="1">
        <v>43856</v>
      </c>
      <c r="C15">
        <v>0</v>
      </c>
      <c r="D15" s="25">
        <v>0</v>
      </c>
      <c r="E15">
        <v>3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 s="12">
        <f>IF(ISNUMBER(tblData[[#This Row],[NSW]]),tblData[[#This Row],[New South Wales]]/$L$9,"")</f>
        <v>3.7128712871287126</v>
      </c>
      <c r="N15" s="25" t="str">
        <f>IF(ISNUMBER(tblData[Italy]),tblData[Italy]/$N$9,"")</f>
        <v/>
      </c>
      <c r="O15">
        <v>5</v>
      </c>
      <c r="P15" s="124">
        <f>IF(ISNUMBER(tblData[US]),tblData[US]/$P$9,"")</f>
        <v>0.15187055346179726</v>
      </c>
      <c r="Q15">
        <v>3</v>
      </c>
      <c r="R15" s="19">
        <f>IF(ISNUMBER(tblData[SKorea]),tblData[SKorea]/$R$9,"")</f>
        <v>0.58365758754863817</v>
      </c>
      <c r="T15" s="25" t="str">
        <f>IF(ISNUMBER(tblData[UK]),tblData[UK]/$T$9,"")</f>
        <v/>
      </c>
      <c r="U15">
        <v>2075</v>
      </c>
      <c r="V15" s="20">
        <f>IF(ISNUMBER(tblData[China]),tblData[China]/$V$9,"")</f>
        <v>14.416492206962612</v>
      </c>
      <c r="W15">
        <v>4</v>
      </c>
      <c r="X15" s="20">
        <f>IF(ISNUMBER(tblData[Singapore]),tblData[Singapore]/$X$9,"")</f>
        <v>6.8376068376068382</v>
      </c>
      <c r="Y15">
        <v>1058</v>
      </c>
      <c r="Z15" s="20">
        <f>IF(AND(LEN(tblData[Generic])&gt;0,ISNUMBER(tblData[Generic])),tblData[Generic]/$Z$9,"")</f>
        <v>180.85470085470087</v>
      </c>
      <c r="AA15" s="25" t="str">
        <f>IF(tblData[[#This Row],[Date]]&lt;ItalyStart,"",tblData[[#This Row],[Date]]-ItalyStart)</f>
        <v/>
      </c>
      <c r="AB15" s="25">
        <f>IF(tblData[[#This Row],[Date]]&lt;USStart,"",tblData[[#This Row],[Date]]-USStart)</f>
        <v>4</v>
      </c>
      <c r="AC15" s="25">
        <f>IF(tblData[[#This Row],[Date]]&lt;ChinaStart,"",tblData[[#This Row],[Date]]-ChinaStart)</f>
        <v>4</v>
      </c>
      <c r="AD15" s="25" t="str">
        <f>IF(tblData[[#This Row],[Date]]&lt;StartDt2Korea,"",tblData[[#This Row],[Date]]-StartDt2Korea)</f>
        <v/>
      </c>
      <c r="AE15" s="25" t="str">
        <f>IF(tblData[[#This Row],[Date]]&lt;UKStart,"",tblData[[#This Row],[Date]]-UKStart)</f>
        <v/>
      </c>
      <c r="AF15" s="25">
        <f>IF(tblData[[#This Row],[Date]]&lt;SingaporeStart,"",tblData[[#This Row],[Date]]-SingaporeStart)</f>
        <v>3</v>
      </c>
      <c r="AG15" s="25">
        <f>IF(tblData[[#This Row],[Date]]&lt;GenStart,"",tblData[[#This Row],[Date]]-GenStart)</f>
        <v>4</v>
      </c>
      <c r="AH15">
        <f>IF(tblData[Date]&gt;=StartDt2Au,tblData[Date]-StartDt2Au,"")</f>
        <v>1</v>
      </c>
      <c r="AI15">
        <f>IF(tblData[New South Wales]&gt;0,SUM(tblData[[#This Row],[Australian Capital Territory]:[Western Australia]]),"")</f>
        <v>4</v>
      </c>
      <c r="AJ15" s="12">
        <f>IF(ISNUMBER(tblData[Au]),tblData[Au]/$AE$9,"")</f>
        <v>1.5770383220312254</v>
      </c>
      <c r="AK15" s="19">
        <f>IF(ISNUMBER(tblData[[#This Row],[Day'# Aust]]),betaAu/(deltaAu+betaPodeltaAu*EXP(-betaAu*tblData[[#This Row],[Day'# Aust]])),"")</f>
        <v>1.2865797773823301E-3</v>
      </c>
      <c r="AL15" s="66">
        <f>IF(ISNUMBER(tblData[Day'# Aust]),tblData[Au LogiP(t)]/$AJ$9,"")</f>
        <v>5.0724640332058433E-4</v>
      </c>
      <c r="AM15" s="11">
        <f>IF(AND(tblData[Date]&gt;=StartDt2Au,ISNUMBER(tblData[NSW])),(tblData[[#This Row],[Au LogiP(t)]]-tblData[[#This Row],[Au]])^2,"")</f>
        <v>15.989709017068463</v>
      </c>
      <c r="AN15">
        <f>IF(tblData[Date]&gt;StartDt2NSW,tblData[Date]-StartDt2NSW,"")</f>
        <v>1</v>
      </c>
      <c r="AO15">
        <f t="shared" ref="AO15:AO62" si="4">IF(E15&gt;0,E15,"")</f>
        <v>3</v>
      </c>
      <c r="AP15" s="11">
        <f>IF(tblData[Date]&gt;StartDt2NSW,betaNSW/(deltaNSW+betaPodeltaNSW*EXP(-betaNSW*tblData[[#This Row],[Day '# NSW]])),"")</f>
        <v>5.148009172429982E-3</v>
      </c>
      <c r="AQ15" s="12">
        <f>IF(AND(ISNUMBER(tblData[NSW]),tblData[Date]&gt;StartDt2NSW),(tblData[[#This Row],[NSW LogiP(t)]]-tblData[[#This Row],[NSW]])^2,"")</f>
        <v>8.9691384469638589</v>
      </c>
      <c r="AR15" s="12">
        <f>IF(AND(tblData[Date]&gt;StartDt2NSW,ISNUMBER(tblData[Day'# Aust])),tblData[NSW LogiP(t)]/$AQ$9,"")</f>
        <v>6.3712984807301754E-3</v>
      </c>
      <c r="AS15" s="11" t="str">
        <f>IF(AND(tblData[Date]&gt;StartDt2Italy,ISNUMBER(tblData[Days'# Italy])),betaItaly/(deltaItaly+betaPodeltaItaly*EXP(-betaItaly*tblData[Days'# Italy])),"")</f>
        <v/>
      </c>
      <c r="AT15" s="11" t="str">
        <f>IF(AND(tblData[Date]&gt;StartDt2Italy,ISNUMBER(tblData[Italy])),(tblData[[#This Row],[Italy LogiP(t)]]-tblData[[#This Row],[Italy]])^2,"")</f>
        <v/>
      </c>
      <c r="AU15" s="11" t="str">
        <f>IF(AND(tblData[Date]&gt;StartDt2Italy,ISNUMBER(tblData[Days'# Italy])),tblData[[#This Row],[Italy LogiP(t)]]/$AT$9,"")</f>
        <v/>
      </c>
      <c r="AV15" s="11">
        <f>IF(ISNUMBER(tblData[[#This Row],[Days'# US]]),betaUS/(deltaUS+betaPodeltaUS*EXP(-betaUS*tblData[Days'# US])),"")</f>
        <v>6.886891924198185E-3</v>
      </c>
      <c r="AW15" s="11" t="str">
        <f>IF(AND(tblData[Date]&gt;=StartDt2US,ISNUMBER(tblData[US])),(tblData[[#This Row],[US LogiP(t)]]-tblData[US])^2,"")</f>
        <v/>
      </c>
      <c r="AX15" s="11">
        <f>IF(ISNUMBER(tblData[[#This Row],[Days'# US]]),tblData[[#This Row],[US LogiP(t)]]/$AW$9,"")</f>
        <v>2.0918321763191202E-4</v>
      </c>
      <c r="AY15" s="11" t="str">
        <f>IF(tblData[Date]&gt;=StartDt2Korea,betaSKorea/(deltaSKorea+betaPodeltaSKorea*EXP(-betaSKorea*(tblData[Date]-StartDt2Korea))),"")</f>
        <v/>
      </c>
      <c r="AZ15" s="11" t="str">
        <f>IF(AND(tblData[Date]&gt;=StartDt2Korea,ISNUMBER(tblData[SKorea])),(tblData[[#This Row],[SKorea LogiP(t)]]-tblData[[#This Row],[SKorea]])^2,"")</f>
        <v/>
      </c>
      <c r="BA15" s="11" t="str">
        <f>IF(tblData[Date]&gt;=StartDt2Korea,tblData[[#This Row],[SKorea LogiP(t)]]/$AZ$9,"")</f>
        <v/>
      </c>
      <c r="BB15" s="11" t="str">
        <f>IF(ISNUMBER(tblData[Days'# UK]),betaUK/(deltaUK+betaPodeltaUK*EXP(-betaUK*tblData[Days'# UK])),"")</f>
        <v/>
      </c>
      <c r="BC15" s="11" t="str">
        <f>IF(ISNUMBER(tblData[UK]),(tblData[[#This Row],[UK LogiP(t)]]-tblData[[#This Row],[UK]])^2,"")</f>
        <v/>
      </c>
      <c r="BD15" s="11" t="str">
        <f>IF(ISNUMBER(tblData[Days'# UK]),tblData[[#This Row],[UK LogiP(t)]]/$BC$9,"")</f>
        <v/>
      </c>
      <c r="BE15" s="11">
        <f>IF(ISNUMBER(tblData[Days'# China]),betaChina/(deltaChina+betaPodeltaChina*EXP(-betaChina*tblData[Days'# China])),"")</f>
        <v>3640.1220590252901</v>
      </c>
      <c r="BF15" s="11">
        <f>IF(ISNUMBER(tblData[China]),(tblData[[#This Row],[China LogiP(t)]]-tblData[[#This Row],[China]])^2,"")</f>
        <v>2449607.0596475638</v>
      </c>
      <c r="BG15" s="11">
        <f>tblData[[#This Row],[China LogiP(t)]]/$BF$9</f>
        <v>25.290501829557009</v>
      </c>
      <c r="BH15" s="11">
        <f>IF(ISNUMBER(tblData[Day'# Singapore]),betaSingapore/(deltaSingapore+betaPodeltaSingapore*EXP(-betaSingapore*tblData[Day'# Singapore])),"")</f>
        <v>6.9937545780038075</v>
      </c>
      <c r="BI15" s="11">
        <f>IF(AND(ISNUMBER(tblData[Singapore]),tblData[Date]&gt;=StartDt2Singapore),(tblData[[#This Row],[Singapore LogiP(t)]]-tblData[[#This Row],[Singapore]])^2,"")</f>
        <v>8.9625664733187556</v>
      </c>
      <c r="BJ15" s="11">
        <f>IF(ISNUMBER(tblData[Day'# Singapore]),tblData[Singapore LogiP(t)]/$BI$9,"")</f>
        <v>11.955136030775741</v>
      </c>
      <c r="BK15" s="11">
        <f>IF(ISNUMBER(tblData[Day'# Generic]),betaGeneric/(deltaGeneric+betaPodeltaGeneric*EXP(-betaGeneric*tblData[Day'# Generic])),"")</f>
        <v>3584.7505113627603</v>
      </c>
      <c r="BL15" s="11">
        <f>IF(AND(ISNUMBER(tblData[Generic]),tblData[Date]&gt;=StartDt2Generic),(tblData[Generic LogiP(t)]-tblData[[#This Row],[Generic]])^2,"")</f>
        <v>6384468.1466719713</v>
      </c>
      <c r="BM15" s="11">
        <f>IF(ISNUMBER(tblData[Day'# Generic]),tblData[Generic LogiP(t)]/$BL$9,"")</f>
        <v>612.77786519021549</v>
      </c>
      <c r="BO15" s="11"/>
      <c r="BP15" s="11" t="str">
        <f>IF(ISNUMBER(tblData[[#This Row],[Tests]]),tblData[[#This Row],[Tests]]-BP14,"")</f>
        <v/>
      </c>
      <c r="BQ15" s="11" t="str">
        <f>IF(ISNUMBER(tblData[[#This Row],[NSW Under Investigation'']]),tblData[[#This Row],[NSW Under Investigation'']]-BO14,"")</f>
        <v/>
      </c>
      <c r="BR15" s="11"/>
      <c r="BS15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15" s="11" t="str">
        <f>IF(tblData[Tests]&gt;0,(tblData[[#This Row],[Tests]]-tblData[[#This Row],[NSW Test Logi]])^2,"")</f>
        <v/>
      </c>
      <c r="BU15" s="11" t="str">
        <f>IF(ISNUMBER(tblData[Tests]),tblData[Tests]/$BS$9/100,"")</f>
        <v/>
      </c>
      <c r="BV15" s="11" t="str">
        <f>IF(AND(tblData[[#This Row],[NSW Test Day Number]]&gt;0,ISNUMBER(tblData[[#This Row],[NSW Test Day Number]])),TestsLogestB*TestsLogestM^tblData[[#This Row],[NSW Test Day Number]],"")</f>
        <v/>
      </c>
      <c r="BW15" s="11" t="str">
        <f>IF(AND(tblData[[#This Row],[NSW Test Day Number]]&gt;0,ISNUMBER(tblData[Tests])),(tblData[Tests]-tblData[[#This Row],[NSW Test Per Capita]])^2,"")</f>
        <v/>
      </c>
      <c r="BX15" s="11"/>
      <c r="BY15" s="11"/>
      <c r="BZ15" s="26"/>
      <c r="CA15" s="25" t="s">
        <v>176</v>
      </c>
      <c r="CB15" s="77">
        <v>43916.89912037037</v>
      </c>
      <c r="CC15" s="26">
        <f>INDEX(tblPopulation[Day 0],MATCH($CA15,tblPopulation[Country],0),1)</f>
        <v>43852</v>
      </c>
      <c r="CD15" s="26">
        <f>INDEX(tblPopulation[Logistic Start2],MATCH($CA15,tblPopulation[CtryAbbrev],0),1)</f>
        <v>43852</v>
      </c>
      <c r="CE15" s="25">
        <v>4</v>
      </c>
      <c r="CF15" s="22">
        <v>0.2221429979133962</v>
      </c>
      <c r="CG15" s="24">
        <v>2.7419658379043434E-6</v>
      </c>
      <c r="CH15" s="98">
        <v>1537.6493038446686</v>
      </c>
      <c r="CI15" s="23">
        <f>betaChina/deltaChina</f>
        <v>81015.961191981085</v>
      </c>
      <c r="CJ15" s="36">
        <f>SQRT(SUM(tblData[China Sq Err])/COUNT(tblData[China Sq Err]))</f>
        <v>2021.5829170643694</v>
      </c>
      <c r="CK15" s="97">
        <f>(betaChina/PoChina)-deltaChina</f>
        <v>1.4172725569262275E-4</v>
      </c>
      <c r="CL15" s="97">
        <f>tblRuns[d]*1000</f>
        <v>2.7419658379043434E-3</v>
      </c>
      <c r="CM15" s="26">
        <f t="array" ref="CM15">MAX(IF(ISNUMBER(tblData[Italy]),tblData[Date]))</f>
        <v>43915</v>
      </c>
      <c r="CN15" s="26" t="str">
        <f>Cengnotation(tblRuns[[#This Row],[Asymptote b/d]],3)</f>
        <v>81.0 k</v>
      </c>
      <c r="CO15" s="124">
        <f>MAX(tblData[China LogiP(t)])</f>
        <v>81015.961191981085</v>
      </c>
      <c r="CP15" s="25">
        <f>MAX(tblData[China])</f>
        <v>81661</v>
      </c>
      <c r="CQ15" s="25" t="str">
        <f>Cengnotation(CI15/(ChinaPop/PerPerson),3)</f>
        <v xml:space="preserve">563  </v>
      </c>
      <c r="CR15" s="26">
        <f t="array" ref="CR15">MAX(IF(ISNUMBER(tblData[China]),tblData[Date]))</f>
        <v>43915</v>
      </c>
      <c r="CS15" s="11">
        <f t="array" ref="CS15">COUNT(IF(ISNUMBER(tblData[China]),tblData[Date]))</f>
        <v>64</v>
      </c>
      <c r="CT15" s="26" t="str">
        <f t="shared" si="0"/>
        <v xml:space="preserve">b=0.222, d=2.74E-06, P0=1537.649 Limit=563  =&gt;81.0 k cases </v>
      </c>
      <c r="CU15" s="25"/>
      <c r="CV15" s="25" t="str">
        <f>CA15&amp;" Limit " &amp; IF(PopScaling=0,CN15,CQ15)</f>
        <v xml:space="preserve">China Limit 563  </v>
      </c>
      <c r="CW15" s="25"/>
      <c r="CX15" s="18" t="str">
        <f t="shared" si="1"/>
        <v>COVID19 China P(t) = b / {d+[( b/Po - d ) ]* exp(-b*t)}
b=0.222, d=2.74E-06, P0=1537.649 Limit=563  =&gt;81.0 k cases 
 25-Mar, Cases per 10 M population</v>
      </c>
      <c r="CY15" s="20">
        <f>MAX(tblData[China Cases Per Capita])</f>
        <v>567.35670848808377</v>
      </c>
      <c r="CZ15" s="26">
        <f>IF(CY15&gt;NSWMaxCasespc,INDEX(tblData[Date],1+MATCH(NSWMaxCasespc,tblData[China Cases Per Capita],1)),INDEX(tblData[Date],1+MATCH(CY15,tblData[NSW Cases per Capita],1)))</f>
        <v>43912</v>
      </c>
      <c r="DA15" s="11">
        <f t="shared" si="2"/>
        <v>-4</v>
      </c>
      <c r="DB15" s="26">
        <f>IF(CY15&gt;AuMaxCasespc,INDEX(tblData[Date],1+MATCH(AuMaxCasespc,tblData[China Cases Per Capita],1)),INDEX(tblData[Date],1+MATCH(CY15,tblData[Au Cases Per Capita],1)))</f>
        <v>43912</v>
      </c>
      <c r="DC15" s="11">
        <f t="shared" si="3"/>
        <v>-4</v>
      </c>
      <c r="DE15" s="11">
        <f>INDEX(tblData[NSW LogiP(t)],MATCH(VALUE(tblRuns[AtDate])+7,tblData[Date],0))</f>
        <v>3240.9501455819877</v>
      </c>
      <c r="DF15" s="19">
        <f>tblRuns[Mean Sq Err]/tblRuns[Max Cases Per Capita]</f>
        <v>3.5631603307407245</v>
      </c>
      <c r="DG15" s="19"/>
      <c r="DH15" s="11">
        <f>INDEX(tblData[China LogiP(t)],MATCH(VALUE($CM15)+7,tblData[Date],0))</f>
        <v>81015.222140839353</v>
      </c>
      <c r="DJ15" s="25"/>
      <c r="DK15" s="25"/>
      <c r="DS15" s="26">
        <v>43854</v>
      </c>
      <c r="DT15">
        <v>0.1</v>
      </c>
      <c r="DV15"/>
      <c r="DW15"/>
      <c r="DX15"/>
      <c r="DY15" s="25" t="s">
        <v>48</v>
      </c>
      <c r="DZ15" s="76">
        <v>43911.898379629631</v>
      </c>
      <c r="EA15" s="26">
        <v>43855</v>
      </c>
      <c r="EB15" s="26">
        <v>43855</v>
      </c>
      <c r="EC15" s="25">
        <v>0</v>
      </c>
      <c r="ED15" s="25">
        <v>0.20648931335259277</v>
      </c>
      <c r="EE15" s="24">
        <v>1.0000000000000768E-9</v>
      </c>
      <c r="EF15" s="25">
        <v>1.0150253776574341E-2</v>
      </c>
      <c r="EG15" s="96">
        <v>206489313.35257691</v>
      </c>
      <c r="EH15" s="25">
        <v>10.992507007919523</v>
      </c>
      <c r="EI15" s="25">
        <v>20.343266078627209</v>
      </c>
      <c r="EJ15" s="98">
        <v>1.0000000000000768E-6</v>
      </c>
      <c r="EK15" s="26">
        <v>43911</v>
      </c>
      <c r="EL15" s="25" t="s">
        <v>1066</v>
      </c>
      <c r="EM15" s="25"/>
      <c r="EN15" s="98">
        <v>1068</v>
      </c>
      <c r="EO15" s="25" t="s">
        <v>1067</v>
      </c>
      <c r="EP15" s="26">
        <v>43911</v>
      </c>
      <c r="EQ15" s="25">
        <v>57</v>
      </c>
      <c r="ER15" s="25" t="s">
        <v>1068</v>
      </c>
      <c r="ES15" s="25"/>
      <c r="ET15" s="25" t="s">
        <v>1069</v>
      </c>
      <c r="EU15" s="25"/>
      <c r="EV15" s="25" t="s">
        <v>1070</v>
      </c>
      <c r="EW15" s="25">
        <v>421.06923198233716</v>
      </c>
      <c r="EX15" s="82"/>
      <c r="EY15" s="25"/>
      <c r="EZ15" s="82"/>
      <c r="FB15" t="s">
        <v>1048</v>
      </c>
      <c r="FC15" s="25"/>
      <c r="FD15" s="25"/>
      <c r="FE15" s="25"/>
    </row>
    <row r="16" spans="1:169" ht="18.75" customHeight="1" x14ac:dyDescent="0.25">
      <c r="B16" s="1">
        <v>43857</v>
      </c>
      <c r="C16">
        <v>0</v>
      </c>
      <c r="D16" s="25">
        <v>0</v>
      </c>
      <c r="E16">
        <v>4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 s="12">
        <f>IF(ISNUMBER(tblData[[#This Row],[NSW]]),tblData[[#This Row],[New South Wales]]/$L$9,"")</f>
        <v>4.9504950495049505</v>
      </c>
      <c r="N16" s="25" t="str">
        <f>IF(ISNUMBER(tblData[Italy]),tblData[Italy]/$N$9,"")</f>
        <v/>
      </c>
      <c r="O16">
        <v>5</v>
      </c>
      <c r="P16" s="124">
        <f>IF(ISNUMBER(tblData[US]),tblData[US]/$P$9,"")</f>
        <v>0.15187055346179726</v>
      </c>
      <c r="Q16">
        <v>4</v>
      </c>
      <c r="R16" s="19">
        <f>IF(ISNUMBER(tblData[SKorea]),tblData[SKorea]/$R$9,"")</f>
        <v>0.77821011673151752</v>
      </c>
      <c r="T16" s="25" t="str">
        <f>IF(ISNUMBER(tblData[UK]),tblData[UK]/$T$9,"")</f>
        <v/>
      </c>
      <c r="U16">
        <v>2877</v>
      </c>
      <c r="V16" s="20">
        <f>IF(ISNUMBER(tblData[China]),tblData[China]/$V$9,"")</f>
        <v>19.988553291292259</v>
      </c>
      <c r="W16">
        <v>5</v>
      </c>
      <c r="X16" s="20">
        <f>IF(ISNUMBER(tblData[Singapore]),tblData[Singapore]/$X$9,"")</f>
        <v>8.5470085470085468</v>
      </c>
      <c r="Y16">
        <v>1423</v>
      </c>
      <c r="Z16" s="20">
        <f>IF(AND(LEN(tblData[Generic])&gt;0,ISNUMBER(tblData[Generic])),tblData[Generic]/$Z$9,"")</f>
        <v>243.24786324786325</v>
      </c>
      <c r="AA16" s="25" t="str">
        <f>IF(tblData[[#This Row],[Date]]&lt;ItalyStart,"",tblData[[#This Row],[Date]]-ItalyStart)</f>
        <v/>
      </c>
      <c r="AB16" s="25">
        <f>IF(tblData[[#This Row],[Date]]&lt;USStart,"",tblData[[#This Row],[Date]]-USStart)</f>
        <v>5</v>
      </c>
      <c r="AC16" s="25">
        <f>IF(tblData[[#This Row],[Date]]&lt;ChinaStart,"",tblData[[#This Row],[Date]]-ChinaStart)</f>
        <v>5</v>
      </c>
      <c r="AD16" s="25" t="str">
        <f>IF(tblData[[#This Row],[Date]]&lt;StartDt2Korea,"",tblData[[#This Row],[Date]]-StartDt2Korea)</f>
        <v/>
      </c>
      <c r="AE16" s="25" t="str">
        <f>IF(tblData[[#This Row],[Date]]&lt;UKStart,"",tblData[[#This Row],[Date]]-UKStart)</f>
        <v/>
      </c>
      <c r="AF16" s="25">
        <f>IF(tblData[[#This Row],[Date]]&lt;SingaporeStart,"",tblData[[#This Row],[Date]]-SingaporeStart)</f>
        <v>4</v>
      </c>
      <c r="AG16" s="25">
        <f>IF(tblData[[#This Row],[Date]]&lt;GenStart,"",tblData[[#This Row],[Date]]-GenStart)</f>
        <v>5</v>
      </c>
      <c r="AH16">
        <f>IF(tblData[Date]&gt;=StartDt2Au,tblData[Date]-StartDt2Au,"")</f>
        <v>2</v>
      </c>
      <c r="AI16" s="25">
        <f>IF(tblData[New South Wales]&gt;0,SUM(tblData[[#This Row],[Australian Capital Territory]:[Western Australia]]),"")</f>
        <v>5</v>
      </c>
      <c r="AJ16" s="12">
        <f>IF(ISNUMBER(tblData[Au]),tblData[Au]/$AE$9,"")</f>
        <v>1.9712979025390318</v>
      </c>
      <c r="AK16" s="19">
        <f>IF(ISNUMBER(tblData[[#This Row],[Day'# Aust]]),betaAu/(deltaAu+betaPodeltaAu*EXP(-betaAu*tblData[[#This Row],[Day'# Aust]])),"")</f>
        <v>1.6552875042488869E-3</v>
      </c>
      <c r="AL16" s="66">
        <f>IF(ISNUMBER(tblData[Day'# Aust]),tblData[Au LogiP(t)]/$AJ$9,"")</f>
        <v>6.5261295704497984E-4</v>
      </c>
      <c r="AM16" s="11">
        <f>IF(AND(tblData[Date]&gt;=StartDt2Au,ISNUMBER(tblData[NSW])),(tblData[[#This Row],[Au LogiP(t)]]-tblData[[#This Row],[Au]])^2,"")</f>
        <v>24.983449864934229</v>
      </c>
      <c r="AN16">
        <f>IF(tblData[Date]&gt;StartDt2NSW,tblData[Date]-StartDt2NSW,"")</f>
        <v>2</v>
      </c>
      <c r="AO16">
        <f t="shared" si="4"/>
        <v>4</v>
      </c>
      <c r="AP16" s="11">
        <f>IF(tblData[Date]&gt;StartDt2NSW,betaNSW/(deltaNSW+betaPodeltaNSW*EXP(-betaNSW*tblData[[#This Row],[Day '# NSW]])),"")</f>
        <v>6.3418175239461959E-3</v>
      </c>
      <c r="AQ16" s="12">
        <f>IF(AND(ISNUMBER(tblData[NSW]),tblData[Date]&gt;StartDt2NSW),(tblData[[#This Row],[NSW LogiP(t)]]-tblData[[#This Row],[NSW]])^2,"")</f>
        <v>15.949305678457938</v>
      </c>
      <c r="AR16" s="12">
        <f>IF(AND(tblData[Date]&gt;StartDt2NSW,ISNUMBER(tblData[Day'# Aust])),tblData[NSW LogiP(t)]/$AQ$9,"")</f>
        <v>7.8487840642898453E-3</v>
      </c>
      <c r="AS16" s="11" t="str">
        <f>IF(AND(tblData[Date]&gt;StartDt2Italy,ISNUMBER(tblData[Days'# Italy])),betaItaly/(deltaItaly+betaPodeltaItaly*EXP(-betaItaly*tblData[Days'# Italy])),"")</f>
        <v/>
      </c>
      <c r="AT16" s="11" t="str">
        <f>IF(AND(tblData[Date]&gt;StartDt2Italy,ISNUMBER(tblData[Italy])),(tblData[[#This Row],[Italy LogiP(t)]]-tblData[[#This Row],[Italy]])^2,"")</f>
        <v/>
      </c>
      <c r="AU16" s="11" t="str">
        <f>IF(AND(tblData[Date]&gt;StartDt2Italy,ISNUMBER(tblData[Days'# Italy])),tblData[[#This Row],[Italy LogiP(t)]]/$AT$9,"")</f>
        <v/>
      </c>
      <c r="AV16" s="11">
        <f>IF(ISNUMBER(tblData[[#This Row],[Days'# US]]),betaUS/(deltaUS+betaPodeltaUS*EXP(-betaUS*tblData[Days'# US])),"")</f>
        <v>9.0880445183684662E-3</v>
      </c>
      <c r="AW16" s="11" t="str">
        <f>IF(AND(tblData[Date]&gt;=StartDt2US,ISNUMBER(tblData[US])),(tblData[[#This Row],[US LogiP(t)]]-tblData[US])^2,"")</f>
        <v/>
      </c>
      <c r="AX16" s="11">
        <f>IF(ISNUMBER(tblData[[#This Row],[Days'# US]]),tblData[[#This Row],[US LogiP(t)]]/$AW$9,"")</f>
        <v>2.7604127017801433E-4</v>
      </c>
      <c r="AY16" s="11" t="str">
        <f>IF(tblData[Date]&gt;=StartDt2Korea,betaSKorea/(deltaSKorea+betaPodeltaSKorea*EXP(-betaSKorea*(tblData[Date]-StartDt2Korea))),"")</f>
        <v/>
      </c>
      <c r="AZ16" s="11" t="str">
        <f>IF(AND(tblData[Date]&gt;=StartDt2Korea,ISNUMBER(tblData[SKorea])),(tblData[[#This Row],[SKorea LogiP(t)]]-tblData[[#This Row],[SKorea]])^2,"")</f>
        <v/>
      </c>
      <c r="BA16" s="11" t="str">
        <f>IF(tblData[Date]&gt;=StartDt2Korea,tblData[[#This Row],[SKorea LogiP(t)]]/$AZ$9,"")</f>
        <v/>
      </c>
      <c r="BB16" s="11" t="str">
        <f>IF(ISNUMBER(tblData[Days'# UK]),betaUK/(deltaUK+betaPodeltaUK*EXP(-betaUK*tblData[Days'# UK])),"")</f>
        <v/>
      </c>
      <c r="BC16" s="11" t="str">
        <f>IF(ISNUMBER(tblData[UK]),(tblData[[#This Row],[UK LogiP(t)]]-tblData[[#This Row],[UK]])^2,"")</f>
        <v/>
      </c>
      <c r="BD16" s="11" t="str">
        <f>IF(ISNUMBER(tblData[Days'# UK]),tblData[[#This Row],[UK LogiP(t)]]/$BC$9,"")</f>
        <v/>
      </c>
      <c r="BE16" s="11">
        <f>IF(ISNUMBER(tblData[Days'# China]),betaChina/(deltaChina+betaPodeltaChina*EXP(-betaChina*tblData[Days'# China])),"")</f>
        <v>4495.3595042486086</v>
      </c>
      <c r="BF16" s="11">
        <f>IF(ISNUMBER(tblData[China]),(tblData[[#This Row],[China LogiP(t)]]-tblData[[#This Row],[China]])^2,"")</f>
        <v>2619087.4849918019</v>
      </c>
      <c r="BG16" s="11">
        <f>tblData[[#This Row],[China LogiP(t)]]/$BF$9</f>
        <v>31.232441089395362</v>
      </c>
      <c r="BH16" s="11">
        <f>IF(ISNUMBER(tblData[Day'# Singapore]),betaSingapore/(deltaSingapore+betaPodeltaSingapore*EXP(-betaSingapore*tblData[Day'# Singapore])),"")</f>
        <v>7.5345190327752514</v>
      </c>
      <c r="BI16" s="11">
        <f>IF(AND(ISNUMBER(tblData[Singapore]),tblData[Date]&gt;=StartDt2Singapore),(tblData[[#This Row],[Singapore LogiP(t)]]-tblData[[#This Row],[Singapore]])^2,"")</f>
        <v>6.423786727499996</v>
      </c>
      <c r="BJ16" s="11">
        <f>IF(ISNUMBER(tblData[Day'# Singapore]),tblData[Singapore LogiP(t)]/$BI$9,"")</f>
        <v>12.879519714145729</v>
      </c>
      <c r="BK16" s="11">
        <f>IF(ISNUMBER(tblData[Day'# Generic]),betaGeneric/(deltaGeneric+betaPodeltaGeneric*EXP(-betaGeneric*tblData[Day'# Generic])),"")</f>
        <v>4408.0925721530557</v>
      </c>
      <c r="BL16" s="11">
        <f>IF(AND(ISNUMBER(tblData[Generic]),tblData[Date]&gt;=StartDt2Generic),(tblData[Generic LogiP(t)]-tblData[[#This Row],[Generic]])^2,"")</f>
        <v>8910777.6643233467</v>
      </c>
      <c r="BM16" s="11">
        <f>IF(ISNUMBER(tblData[Day'# Generic]),tblData[Generic LogiP(t)]/$BL$9,"")</f>
        <v>753.52009780394121</v>
      </c>
      <c r="BO16" s="11"/>
      <c r="BP16" s="11" t="str">
        <f>IF(ISNUMBER(tblData[[#This Row],[Tests]]),tblData[[#This Row],[Tests]]-BP15,"")</f>
        <v/>
      </c>
      <c r="BQ16" s="11" t="str">
        <f>IF(ISNUMBER(tblData[[#This Row],[NSW Under Investigation'']]),tblData[[#This Row],[NSW Under Investigation'']]-BO15,"")</f>
        <v/>
      </c>
      <c r="BR16" s="11"/>
      <c r="BS16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16" s="11" t="str">
        <f>IF(tblData[Tests]&gt;0,(tblData[[#This Row],[Tests]]-tblData[[#This Row],[NSW Test Logi]])^2,"")</f>
        <v/>
      </c>
      <c r="BU16" s="11" t="str">
        <f>IF(ISNUMBER(tblData[Tests]),tblData[Tests]/$BS$9/100,"")</f>
        <v/>
      </c>
      <c r="BV16" s="11" t="str">
        <f>IF(AND(tblData[[#This Row],[NSW Test Day Number]]&gt;0,ISNUMBER(tblData[[#This Row],[NSW Test Day Number]])),TestsLogestB*TestsLogestM^tblData[[#This Row],[NSW Test Day Number]],"")</f>
        <v/>
      </c>
      <c r="BW16" s="11" t="str">
        <f>IF(AND(tblData[[#This Row],[NSW Test Day Number]]&gt;0,ISNUMBER(tblData[Tests])),(tblData[Tests]-tblData[[#This Row],[NSW Test Per Capita]])^2,"")</f>
        <v/>
      </c>
      <c r="BX16" s="11"/>
      <c r="BY16" s="11"/>
      <c r="BZ16" s="26"/>
      <c r="CA16" s="25" t="s">
        <v>975</v>
      </c>
      <c r="CB16" s="77">
        <v>43916.899131944447</v>
      </c>
      <c r="CC16" s="26">
        <f>INDEX(tblPopulation[Day 0],MATCH($CA16,tblPopulation[CtryAbbrev],0),1)</f>
        <v>43852</v>
      </c>
      <c r="CD16" s="26">
        <f>INDEX(tblPopulation[Logistic Start2],MATCH($CA16,tblPopulation[CtryAbbrev],0),1)</f>
        <v>43880</v>
      </c>
      <c r="CE16" s="25">
        <v>5</v>
      </c>
      <c r="CF16" s="22">
        <v>0.30019712593019904</v>
      </c>
      <c r="CG16" s="24">
        <v>3.4875999994484985E-5</v>
      </c>
      <c r="CH16" s="98">
        <v>219.42182753498074</v>
      </c>
      <c r="CI16" s="23">
        <f>betaSKorea/deltaSKorea</f>
        <v>8607.5560837730773</v>
      </c>
      <c r="CJ16" s="36">
        <f t="array" ref="CJ16">SQRT(SUM(tblData[Skorea Sq Err])/COUNT(tblData[Skorea Sq Err]))</f>
        <v>234.59788490584211</v>
      </c>
      <c r="CK16" s="97">
        <f>(betaSKorea/PoSKorea)-deltaSKorea</f>
        <v>1.3332519082572176E-3</v>
      </c>
      <c r="CL16" s="97">
        <f>tblRuns[d]*1000</f>
        <v>3.4875999994484985E-2</v>
      </c>
      <c r="CM16" s="26">
        <f t="array" ref="CM16">MAX(IF(ISNUMBER(tblData[SKorea]),tblData[Date]))</f>
        <v>43915</v>
      </c>
      <c r="CN16" s="26" t="str">
        <f>Cengnotation(tblRuns[[#This Row],[Asymptote b/d]],3)</f>
        <v>8.61 k</v>
      </c>
      <c r="CO16" s="124">
        <f>MAX(tblData[SKorea LogiP(t)])</f>
        <v>8607.5560837730773</v>
      </c>
      <c r="CP16" s="25">
        <f>MAX(tblData[SKorea])</f>
        <v>9137</v>
      </c>
      <c r="CQ16" s="25" t="str">
        <f>Cengnotation(CI16/(SKoreaPop/PerPerson),3)</f>
        <v>1.67 k</v>
      </c>
      <c r="CR16" s="26">
        <f t="array" ref="CR16">MAX(IF(ISNUMBER(tblData[SKorea]),tblData[Date]))</f>
        <v>43915</v>
      </c>
      <c r="CS16" s="11">
        <f t="array" ref="CS16">COUNT(IF(ISNUMBER(tblData[SKorea]),tblData[Date]))</f>
        <v>64</v>
      </c>
      <c r="CT16" s="26" t="str">
        <f t="shared" si="0"/>
        <v xml:space="preserve">b=0.3, d=3.49E-05, P0=219.422 Limit=1.67 k=&gt;8.61 k cases , log fit from 19th Feb </v>
      </c>
      <c r="CU16" s="25"/>
      <c r="CV16" s="25" t="str">
        <f>CA16&amp;" Limit " &amp; IF(PopScaling=0,CN16,CQ16) &amp; " fr 19th Feb"</f>
        <v>Skorea Limit 1.67 k fr 19th Feb</v>
      </c>
      <c r="CW16" s="32" t="str">
        <f xml:space="preserve"> ", log fit from 19th Feb "</f>
        <v xml:space="preserve">, log fit from 19th Feb </v>
      </c>
      <c r="CX16" s="18" t="str">
        <f t="shared" si="1"/>
        <v>COVID19 Skorea P(t) = b / {d+[( b/Po - d ) ]* exp(-b*t)}
b=0.3, d=3.49E-05, P0=219.422 Limit=1.67 k=&gt;8.61 k cases , log fit from 19th Feb 
 25-Mar, Cases per 10 M population</v>
      </c>
      <c r="CY16" s="20">
        <f>MAX(tblData[SKorea Cases Per Capita])</f>
        <v>1777.626459143969</v>
      </c>
      <c r="CZ16" s="26">
        <f>IF(CY16&gt;NSWMaxCasespc,INDEX(tblData[Date],1+MATCH(NSWMaxCasespc,tblData[SKorea Cases Per Capita],1)),INDEX(tblData[Date],1+MATCH(CY16,tblData[NSW Cases per Capita],1)))</f>
        <v>43901</v>
      </c>
      <c r="DA16" s="11">
        <f t="shared" si="2"/>
        <v>15</v>
      </c>
      <c r="DB16" s="26">
        <f>IF(CY16&gt;AuMaxCasespc,INDEX(tblData[Date],1+MATCH(AuMaxCasespc,tblData[SKorea Cases Per Capita],1)),INDEX(tblData[Date],1+MATCH(CY16,tblData[Au Cases Per Capita],1)))</f>
        <v>43895</v>
      </c>
      <c r="DC16" s="11">
        <f t="shared" si="3"/>
        <v>21</v>
      </c>
      <c r="DE16" s="11">
        <f>INDEX(tblData[NSW LogiP(t)],MATCH(VALUE(tblRuns[AtDate])+7,tblData[Date],0))</f>
        <v>3240.9501455819877</v>
      </c>
      <c r="DF16" s="19">
        <f>tblRuns[Mean Sq Err]/tblRuns[Max Cases Per Capita]</f>
        <v>0.13197254333107458</v>
      </c>
      <c r="DG16" s="19"/>
      <c r="DH16" s="11">
        <f>INDEX(tblData[SKorea LogiP(t)],MATCH(VALUE($CM16)+7,tblData[Date],0))</f>
        <v>8606.4558023859081</v>
      </c>
      <c r="DI16" s="25"/>
      <c r="DJ16" s="25"/>
      <c r="DK16" s="25"/>
      <c r="DL16" s="25"/>
      <c r="DM16" s="25"/>
      <c r="DN16" s="25"/>
      <c r="DO16" s="25"/>
      <c r="DP16" s="25"/>
      <c r="DS16" s="26">
        <v>43854</v>
      </c>
      <c r="DT16" s="41">
        <v>10000000</v>
      </c>
      <c r="DV16"/>
      <c r="DW16"/>
      <c r="DX16"/>
      <c r="DY16" s="25" t="s">
        <v>48</v>
      </c>
      <c r="DZ16" s="76">
        <v>43912.326643518521</v>
      </c>
      <c r="EA16" s="26">
        <v>43855</v>
      </c>
      <c r="EB16" s="26">
        <v>43855</v>
      </c>
      <c r="EC16" s="25">
        <v>0</v>
      </c>
      <c r="ED16" s="25">
        <v>0.20700169092268883</v>
      </c>
      <c r="EE16" s="24">
        <v>1.0000000000000768E-9</v>
      </c>
      <c r="EF16" s="25">
        <v>9.888722941768591E-3</v>
      </c>
      <c r="EG16" s="96">
        <v>207001690.92267293</v>
      </c>
      <c r="EH16" s="25">
        <v>11.00426291537671</v>
      </c>
      <c r="EI16" s="25">
        <v>20.933106542853348</v>
      </c>
      <c r="EJ16" s="98">
        <v>1.0000000000000768E-6</v>
      </c>
      <c r="EK16" s="26">
        <v>43911</v>
      </c>
      <c r="EL16" s="25" t="s">
        <v>1082</v>
      </c>
      <c r="EM16" s="25"/>
      <c r="EN16" s="98">
        <v>1073</v>
      </c>
      <c r="EO16" s="25" t="s">
        <v>1083</v>
      </c>
      <c r="EP16" s="26">
        <v>43911</v>
      </c>
      <c r="EQ16" s="25">
        <v>57</v>
      </c>
      <c r="ER16" s="25" t="s">
        <v>1084</v>
      </c>
      <c r="ES16" s="25"/>
      <c r="ET16" t="s">
        <v>1085</v>
      </c>
      <c r="EU16" s="25"/>
      <c r="EV16" s="25" t="s">
        <v>1086</v>
      </c>
      <c r="EW16" s="25">
        <v>423.04052988487621</v>
      </c>
      <c r="EX16" s="82"/>
      <c r="EY16" s="25"/>
      <c r="EZ16" s="82"/>
      <c r="FB16" t="s">
        <v>1081</v>
      </c>
      <c r="FC16" s="25"/>
      <c r="FD16" s="25"/>
      <c r="FE16" s="25"/>
    </row>
    <row r="17" spans="2:163" ht="15" customHeight="1" x14ac:dyDescent="0.25">
      <c r="B17" s="1">
        <v>43858</v>
      </c>
      <c r="C17">
        <v>0</v>
      </c>
      <c r="D17" s="25">
        <v>0</v>
      </c>
      <c r="E17">
        <v>4</v>
      </c>
      <c r="F17">
        <v>0</v>
      </c>
      <c r="G17">
        <v>0</v>
      </c>
      <c r="H17">
        <v>0</v>
      </c>
      <c r="I17">
        <v>0</v>
      </c>
      <c r="J17">
        <v>1</v>
      </c>
      <c r="K17">
        <v>0</v>
      </c>
      <c r="L17" s="12">
        <f>IF(ISNUMBER(tblData[[#This Row],[NSW]]),tblData[[#This Row],[New South Wales]]/$L$9,"")</f>
        <v>4.9504950495049505</v>
      </c>
      <c r="N17" s="25" t="str">
        <f>IF(ISNUMBER(tblData[Italy]),tblData[Italy]/$N$9,"")</f>
        <v/>
      </c>
      <c r="O17">
        <v>5</v>
      </c>
      <c r="P17" s="124">
        <f>IF(ISNUMBER(tblData[US]),tblData[US]/$P$9,"")</f>
        <v>0.15187055346179726</v>
      </c>
      <c r="Q17">
        <v>4</v>
      </c>
      <c r="R17" s="19">
        <f>IF(ISNUMBER(tblData[SKorea]),tblData[SKorea]/$R$9,"")</f>
        <v>0.77821011673151752</v>
      </c>
      <c r="T17" s="25" t="str">
        <f>IF(ISNUMBER(tblData[UK]),tblData[UK]/$T$9,"")</f>
        <v/>
      </c>
      <c r="U17">
        <v>5509</v>
      </c>
      <c r="V17" s="20">
        <f>IF(ISNUMBER(tblData[China]),tblData[China]/$V$9,"")</f>
        <v>38.274918346099774</v>
      </c>
      <c r="W17">
        <v>7</v>
      </c>
      <c r="X17" s="20">
        <f>IF(ISNUMBER(tblData[Singapore]),tblData[Singapore]/$X$9,"")</f>
        <v>11.965811965811966</v>
      </c>
      <c r="Y17">
        <v>3554</v>
      </c>
      <c r="Z17" s="20">
        <f>IF(AND(LEN(tblData[Generic])&gt;0,ISNUMBER(tblData[Generic])),tblData[Generic]/$Z$9,"")</f>
        <v>607.52136752136755</v>
      </c>
      <c r="AA17" s="25" t="str">
        <f>IF(tblData[[#This Row],[Date]]&lt;ItalyStart,"",tblData[[#This Row],[Date]]-ItalyStart)</f>
        <v/>
      </c>
      <c r="AB17" s="25">
        <f>IF(tblData[[#This Row],[Date]]&lt;USStart,"",tblData[[#This Row],[Date]]-USStart)</f>
        <v>6</v>
      </c>
      <c r="AC17" s="25">
        <f>IF(tblData[[#This Row],[Date]]&lt;ChinaStart,"",tblData[[#This Row],[Date]]-ChinaStart)</f>
        <v>6</v>
      </c>
      <c r="AD17" s="25" t="str">
        <f>IF(tblData[[#This Row],[Date]]&lt;StartDt2Korea,"",tblData[[#This Row],[Date]]-StartDt2Korea)</f>
        <v/>
      </c>
      <c r="AE17" s="25" t="str">
        <f>IF(tblData[[#This Row],[Date]]&lt;UKStart,"",tblData[[#This Row],[Date]]-UKStart)</f>
        <v/>
      </c>
      <c r="AF17" s="25">
        <f>IF(tblData[[#This Row],[Date]]&lt;SingaporeStart,"",tblData[[#This Row],[Date]]-SingaporeStart)</f>
        <v>5</v>
      </c>
      <c r="AG17" s="25">
        <f>IF(tblData[[#This Row],[Date]]&lt;GenStart,"",tblData[[#This Row],[Date]]-GenStart)</f>
        <v>6</v>
      </c>
      <c r="AH17">
        <f>IF(tblData[Date]&gt;=StartDt2Au,tblData[Date]-StartDt2Au,"")</f>
        <v>3</v>
      </c>
      <c r="AI17" s="25">
        <f>IF(tblData[New South Wales]&gt;0,SUM(tblData[[#This Row],[Australian Capital Territory]:[Western Australia]]),"")</f>
        <v>5</v>
      </c>
      <c r="AJ17" s="12">
        <f>IF(ISNUMBER(tblData[Au]),tblData[Au]/$AE$9,"")</f>
        <v>1.9712979025390318</v>
      </c>
      <c r="AK17" s="19">
        <f>IF(ISNUMBER(tblData[[#This Row],[Day'# Aust]]),betaAu/(deltaAu+betaPodeltaAu*EXP(-betaAu*tblData[[#This Row],[Day'# Aust]])),"")</f>
        <v>2.1296593718825915E-3</v>
      </c>
      <c r="AL17" s="66">
        <f>IF(ISNUMBER(tblData[Day'# Aust]),tblData[Au LogiP(t)]/$AJ$9,"")</f>
        <v>8.3963861058294887E-4</v>
      </c>
      <c r="AM17" s="11">
        <f>IF(AND(tblData[Date]&gt;=StartDt2Au,ISNUMBER(tblData[NSW])),(tblData[[#This Row],[Au LogiP(t)]]-tblData[[#This Row],[Au]])^2,"")</f>
        <v>24.978707941730214</v>
      </c>
      <c r="AN17">
        <f>IF(tblData[Date]&gt;StartDt2NSW,tblData[Date]-StartDt2NSW,"")</f>
        <v>3</v>
      </c>
      <c r="AO17">
        <f t="shared" si="4"/>
        <v>4</v>
      </c>
      <c r="AP17" s="11">
        <f>IF(tblData[Date]&gt;StartDt2NSW,betaNSW/(deltaNSW+betaPodeltaNSW*EXP(-betaNSW*tblData[[#This Row],[Day '# NSW]])),"")</f>
        <v>7.8124663340909646E-3</v>
      </c>
      <c r="AQ17" s="12">
        <f>IF(AND(ISNUMBER(tblData[NSW]),tblData[Date]&gt;StartDt2NSW),(tblData[[#This Row],[NSW LogiP(t)]]-tblData[[#This Row],[NSW]])^2,"")</f>
        <v>15.937561303957494</v>
      </c>
      <c r="AR17" s="12">
        <f>IF(AND(tblData[Date]&gt;StartDt2NSW,ISNUMBER(tblData[Day'# Aust])),tblData[NSW LogiP(t)]/$AQ$9,"")</f>
        <v>9.6688939778353522E-3</v>
      </c>
      <c r="AS17" s="11" t="str">
        <f>IF(AND(tblData[Date]&gt;StartDt2Italy,ISNUMBER(tblData[Days'# Italy])),betaItaly/(deltaItaly+betaPodeltaItaly*EXP(-betaItaly*tblData[Days'# Italy])),"")</f>
        <v/>
      </c>
      <c r="AT17" s="11" t="str">
        <f>IF(AND(tblData[Date]&gt;StartDt2Italy,ISNUMBER(tblData[Italy])),(tblData[[#This Row],[Italy LogiP(t)]]-tblData[[#This Row],[Italy]])^2,"")</f>
        <v/>
      </c>
      <c r="AU17" s="11" t="str">
        <f>IF(AND(tblData[Date]&gt;StartDt2Italy,ISNUMBER(tblData[Days'# Italy])),tblData[[#This Row],[Italy LogiP(t)]]/$AT$9,"")</f>
        <v/>
      </c>
      <c r="AV17" s="11">
        <f>IF(ISNUMBER(tblData[[#This Row],[Days'# US]]),betaUS/(deltaUS+betaPodeltaUS*EXP(-betaUS*tblData[Days'# US])),"")</f>
        <v>1.1992718016603333E-2</v>
      </c>
      <c r="AW17" s="11" t="str">
        <f>IF(AND(tblData[Date]&gt;=StartDt2US,ISNUMBER(tblData[US])),(tblData[[#This Row],[US LogiP(t)]]-tblData[US])^2,"")</f>
        <v/>
      </c>
      <c r="AX17" s="11">
        <f>IF(ISNUMBER(tblData[[#This Row],[Days'# US]]),tblData[[#This Row],[US LogiP(t)]]/$AW$9,"")</f>
        <v>3.6426814453856309E-4</v>
      </c>
      <c r="AY17" s="11" t="str">
        <f>IF(tblData[Date]&gt;=StartDt2Korea,betaSKorea/(deltaSKorea+betaPodeltaSKorea*EXP(-betaSKorea*(tblData[Date]-StartDt2Korea))),"")</f>
        <v/>
      </c>
      <c r="AZ17" s="11" t="str">
        <f>IF(AND(tblData[Date]&gt;=StartDt2Korea,ISNUMBER(tblData[SKorea])),(tblData[[#This Row],[SKorea LogiP(t)]]-tblData[[#This Row],[SKorea]])^2,"")</f>
        <v/>
      </c>
      <c r="BA17" s="11" t="str">
        <f>IF(tblData[Date]&gt;=StartDt2Korea,tblData[[#This Row],[SKorea LogiP(t)]]/$AZ$9,"")</f>
        <v/>
      </c>
      <c r="BB17" s="11" t="str">
        <f>IF(ISNUMBER(tblData[Days'# UK]),betaUK/(deltaUK+betaPodeltaUK*EXP(-betaUK*tblData[Days'# UK])),"")</f>
        <v/>
      </c>
      <c r="BC17" s="11" t="str">
        <f>IF(ISNUMBER(tblData[UK]),(tblData[[#This Row],[UK LogiP(t)]]-tblData[[#This Row],[UK]])^2,"")</f>
        <v/>
      </c>
      <c r="BD17" s="11" t="str">
        <f>IF(ISNUMBER(tblData[Days'# UK]),tblData[[#This Row],[UK LogiP(t)]]/$BC$9,"")</f>
        <v/>
      </c>
      <c r="BE17" s="11">
        <f>IF(ISNUMBER(tblData[Days'# China]),betaChina/(deltaChina+betaPodeltaChina*EXP(-betaChina*tblData[Days'# China])),"")</f>
        <v>5537.1534877969307</v>
      </c>
      <c r="BF17" s="11">
        <f>IF(ISNUMBER(tblData[China]),(tblData[[#This Row],[China LogiP(t)]]-tblData[[#This Row],[China]])^2,"")</f>
        <v>792.61887513192448</v>
      </c>
      <c r="BG17" s="11">
        <f>tblData[[#This Row],[China LogiP(t)]]/$BF$9</f>
        <v>38.470520532809786</v>
      </c>
      <c r="BH17" s="11">
        <f>IF(ISNUMBER(tblData[Day'# Singapore]),betaSingapore/(deltaSingapore+betaPodeltaSingapore*EXP(-betaSingapore*tblData[Day'# Singapore])),"")</f>
        <v>8.1170959635566629</v>
      </c>
      <c r="BI17" s="11">
        <f>IF(AND(ISNUMBER(tblData[Singapore]),tblData[Date]&gt;=StartDt2Singapore),(tblData[[#This Row],[Singapore LogiP(t)]]-tblData[[#This Row],[Singapore]])^2,"")</f>
        <v>1.247903391794589</v>
      </c>
      <c r="BJ17" s="11">
        <f>IF(ISNUMBER(tblData[Day'# Singapore]),tblData[Singapore LogiP(t)]/$BI$9,"")</f>
        <v>13.875377715481475</v>
      </c>
      <c r="BK17" s="11">
        <f>IF(ISNUMBER(tblData[Day'# Generic]),betaGeneric/(deltaGeneric+betaPodeltaGeneric*EXP(-betaGeneric*tblData[Day'# Generic])),"")</f>
        <v>5404.5009870617887</v>
      </c>
      <c r="BL17" s="11">
        <f>IF(AND(ISNUMBER(tblData[Generic]),tblData[Date]&gt;=StartDt2Generic),(tblData[Generic LogiP(t)]-tblData[[#This Row],[Generic]])^2,"")</f>
        <v>3424353.9031166541</v>
      </c>
      <c r="BM17" s="11">
        <f>IF(ISNUMBER(tblData[Day'# Generic]),tblData[Generic LogiP(t)]/$BL$9,"")</f>
        <v>923.84632257466478</v>
      </c>
      <c r="BO17" s="11"/>
      <c r="BP17" s="11" t="str">
        <f>IF(ISNUMBER(tblData[[#This Row],[Tests]]),tblData[[#This Row],[Tests]]-BP16,"")</f>
        <v/>
      </c>
      <c r="BQ17" s="11" t="str">
        <f>IF(ISNUMBER(tblData[[#This Row],[NSW Under Investigation'']]),tblData[[#This Row],[NSW Under Investigation'']]-BO16,"")</f>
        <v/>
      </c>
      <c r="BR17" s="11"/>
      <c r="BS17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17" s="11" t="str">
        <f>IF(tblData[Tests]&gt;0,(tblData[[#This Row],[Tests]]-tblData[[#This Row],[NSW Test Logi]])^2,"")</f>
        <v/>
      </c>
      <c r="BU17" s="11" t="str">
        <f>IF(ISNUMBER(tblData[Tests]),tblData[Tests]/$BS$9/100,"")</f>
        <v/>
      </c>
      <c r="BV17" s="11" t="str">
        <f>IF(AND(tblData[[#This Row],[NSW Test Day Number]]&gt;0,ISNUMBER(tblData[[#This Row],[NSW Test Day Number]])),TestsLogestB*TestsLogestM^tblData[[#This Row],[NSW Test Day Number]],"")</f>
        <v/>
      </c>
      <c r="BW17" s="11" t="str">
        <f>IF(AND(tblData[[#This Row],[NSW Test Day Number]]&gt;0,ISNUMBER(tblData[Tests])),(tblData[Tests]-tblData[[#This Row],[NSW Test Per Capita]])^2,"")</f>
        <v/>
      </c>
      <c r="BX17" s="11"/>
      <c r="BY17" s="11"/>
      <c r="BZ17" s="26"/>
      <c r="CA17" s="25" t="s">
        <v>955</v>
      </c>
      <c r="CB17" s="77">
        <v>43916.899143518516</v>
      </c>
      <c r="CC17" s="26">
        <f>INDEX(tblPopulation[Day 0],MATCH($CA17,tblPopulation[CtryAbbrev],0),1)</f>
        <v>43860</v>
      </c>
      <c r="CD17" s="26">
        <f>INDEX(tblPopulation[Logistic Start2],MATCH($CA17,tblPopulation[CtryAbbrev],0),1)</f>
        <v>43860</v>
      </c>
      <c r="CE17" s="25">
        <v>6</v>
      </c>
      <c r="CF17" s="22">
        <v>0.23736203305370973</v>
      </c>
      <c r="CG17" s="24">
        <v>1.0775301857048374E-5</v>
      </c>
      <c r="CH17" s="98">
        <v>3.2261693235413211E-2</v>
      </c>
      <c r="CI17" s="23">
        <f>betaUK/deltaUK</f>
        <v>22028.341869461943</v>
      </c>
      <c r="CJ17" s="36">
        <f>SQRT(SUM(tblData[UK Sq Err])/COUNT(tblData[UK Sq Err]))</f>
        <v>142.35237698746531</v>
      </c>
      <c r="CK17" s="97">
        <f>(tblRuns[b]/tblRuns[Po])-tblRuns[d]</f>
        <v>7.3573846137647259</v>
      </c>
      <c r="CL17" s="97">
        <f>tblRuns[d]*1000</f>
        <v>1.0775301857048374E-2</v>
      </c>
      <c r="CM17" s="26">
        <f t="array" ref="CM17">MAX(IF(ISNUMBER(tblData[UK]),tblData[Date]))</f>
        <v>43915</v>
      </c>
      <c r="CN17" s="26" t="str">
        <f>Cengnotation(tblRuns[[#This Row],[Asymptote b/d]],3)</f>
        <v>22.0 k</v>
      </c>
      <c r="CO17" s="124">
        <f>MAX(tblData[UK LogiP(t)])</f>
        <v>22028.341869461943</v>
      </c>
      <c r="CP17" s="25">
        <f>MAX(tblData[UK])</f>
        <v>8365</v>
      </c>
      <c r="CQ17" s="25" t="str">
        <f>Cengnotation(CI17/(UKPop/PerPerson),3)</f>
        <v>3.32 k</v>
      </c>
      <c r="CR17" s="26">
        <f t="array" ref="CR17">MAX(IF(ISNUMBER(tblData[UK]),tblData[Date]))</f>
        <v>43915</v>
      </c>
      <c r="CS17" s="11">
        <f t="array" ref="CS17">COUNT(IF(ISNUMBER(tblData[UK]),tblData[Date]))</f>
        <v>56</v>
      </c>
      <c r="CT17" s="26" t="str">
        <f t="shared" si="0"/>
        <v xml:space="preserve">b=0.237, d=1.08E-05, P0=.032 Limit=3.32 k=&gt;22.0 k cases </v>
      </c>
      <c r="CU17" s="25"/>
      <c r="CV17" s="25" t="str">
        <f>CA17&amp;" Limit " &amp; IF(PopScaling=0,CN17,CQ17)</f>
        <v>UK Limit 3.32 k</v>
      </c>
      <c r="CW17" s="25"/>
      <c r="CX17" s="18" t="str">
        <f t="shared" si="1"/>
        <v>COVID19 UK P(t) = b / {d+[( b/Po - d ) ]* exp(-b*t)}
b=0.237, d=1.08E-05, P0=.032 Limit=3.32 k=&gt;22.0 k cases 
 25-Mar, Cases per 10 M population</v>
      </c>
      <c r="CY17" s="20">
        <f>MAX(tblData[UK Cases Per Capita])</f>
        <v>1259.0307043949429</v>
      </c>
      <c r="CZ17" s="26">
        <f>IF(CY17&gt;NSWMaxCasespc,INDEX(tblData[Date],1+MATCH(NSWMaxCasespc,tblData[UK Cases Per Capita],1)),INDEX(tblData[Date],1+MATCH(CY17,tblData[NSW Cases per Capita],1)))</f>
        <v>43915</v>
      </c>
      <c r="DA17" s="11">
        <f t="shared" si="2"/>
        <v>-1</v>
      </c>
      <c r="DB17" s="26">
        <f>IF(CY17&gt;AuMaxCasespc,INDEX(tblData[Date],1+MATCH(AuMaxCasespc,tblData[UK Cases Per Capita],1)),INDEX(tblData[Date],1+MATCH(CY17,tblData[Au Cases Per Capita],1)))</f>
        <v>43914</v>
      </c>
      <c r="DC17" s="11">
        <f t="shared" si="3"/>
        <v>2</v>
      </c>
      <c r="DE17" s="11">
        <f>INDEX(tblData[NSW LogiP(t)],MATCH(VALUE(tblRuns[AtDate])+7,tblData[Date],0))</f>
        <v>3240.9501455819877</v>
      </c>
      <c r="DF17" s="19">
        <f>tblRuns[Mean Sq Err]/tblRuns[Max Cases Per Capita]</f>
        <v>0.11306505591210035</v>
      </c>
      <c r="DG17" s="19"/>
      <c r="DH17" s="11">
        <f>INDEX(tblData[UK LogiP(t)],MATCH(VALUE($CM17)+7,tblData[Date],0))</f>
        <v>17245.39248544678</v>
      </c>
      <c r="DI17" s="25"/>
      <c r="DJ17" s="25"/>
      <c r="DK17" s="25"/>
      <c r="DL17" s="25"/>
      <c r="DM17" s="25"/>
      <c r="DN17" s="25"/>
      <c r="DO17" s="25"/>
      <c r="DP17" s="25"/>
      <c r="DS17" s="26">
        <v>43860</v>
      </c>
      <c r="DT17">
        <v>10000000</v>
      </c>
      <c r="DV17"/>
      <c r="DW17"/>
      <c r="DX17"/>
      <c r="DY17" s="25" t="s">
        <v>48</v>
      </c>
      <c r="DZ17" s="76">
        <v>43912.58866898148</v>
      </c>
      <c r="EA17" s="26">
        <v>43855</v>
      </c>
      <c r="EB17" s="26">
        <v>43855</v>
      </c>
      <c r="EC17" s="25">
        <v>0</v>
      </c>
      <c r="ED17" s="25">
        <v>0.20700168935626589</v>
      </c>
      <c r="EE17" s="24">
        <v>3.2194465727293212E-6</v>
      </c>
      <c r="EF17" s="25">
        <v>9.8887229355213678E-3</v>
      </c>
      <c r="EG17" s="96">
        <v>64297.289822945546</v>
      </c>
      <c r="EH17" s="25">
        <v>11.818703286404629</v>
      </c>
      <c r="EI17" s="25">
        <v>20.933103179226336</v>
      </c>
      <c r="EJ17" s="98">
        <v>3.2194465727293214E-3</v>
      </c>
      <c r="EK17" s="26">
        <v>43912</v>
      </c>
      <c r="EL17" s="25" t="s">
        <v>1110</v>
      </c>
      <c r="EM17" s="25"/>
      <c r="EN17" s="98">
        <v>1267</v>
      </c>
      <c r="EO17" s="25" t="s">
        <v>1111</v>
      </c>
      <c r="EP17" s="26">
        <v>43912</v>
      </c>
      <c r="EQ17" s="25">
        <v>58</v>
      </c>
      <c r="ER17" s="25" t="s">
        <v>1112</v>
      </c>
      <c r="ES17" s="25"/>
      <c r="ET17" s="25" t="s">
        <v>1113</v>
      </c>
      <c r="EU17" s="25"/>
      <c r="EV17" s="25" t="s">
        <v>1114</v>
      </c>
      <c r="EW17" s="25">
        <v>499.52688850339064</v>
      </c>
      <c r="EX17" s="82"/>
      <c r="EY17" s="25"/>
      <c r="EZ17" s="82"/>
      <c r="FB17" s="25" t="s">
        <v>1109</v>
      </c>
      <c r="FC17" s="25"/>
      <c r="FD17" s="25"/>
      <c r="FE17" s="25"/>
    </row>
    <row r="18" spans="2:163" x14ac:dyDescent="0.25">
      <c r="B18" s="1">
        <v>43859</v>
      </c>
      <c r="C18">
        <v>0</v>
      </c>
      <c r="D18" s="25">
        <v>0</v>
      </c>
      <c r="E18">
        <v>4</v>
      </c>
      <c r="F18">
        <v>0</v>
      </c>
      <c r="G18">
        <v>1</v>
      </c>
      <c r="H18">
        <v>0</v>
      </c>
      <c r="I18">
        <v>0</v>
      </c>
      <c r="J18">
        <v>1</v>
      </c>
      <c r="K18">
        <v>0</v>
      </c>
      <c r="L18" s="12">
        <f>IF(ISNUMBER(tblData[[#This Row],[NSW]]),tblData[[#This Row],[New South Wales]]/$L$9,"")</f>
        <v>4.9504950495049505</v>
      </c>
      <c r="N18" s="25" t="str">
        <f>IF(ISNUMBER(tblData[Italy]),tblData[Italy]/$N$9,"")</f>
        <v/>
      </c>
      <c r="O18">
        <v>5</v>
      </c>
      <c r="P18" s="124">
        <f>IF(ISNUMBER(tblData[US]),tblData[US]/$P$9,"")</f>
        <v>0.15187055346179726</v>
      </c>
      <c r="Q18">
        <v>4</v>
      </c>
      <c r="R18" s="19">
        <f>IF(ISNUMBER(tblData[SKorea]),tblData[SKorea]/$R$9,"")</f>
        <v>0.77821011673151752</v>
      </c>
      <c r="T18" s="25" t="str">
        <f>IF(ISNUMBER(tblData[UK]),tblData[UK]/$T$9,"")</f>
        <v/>
      </c>
      <c r="U18">
        <v>6087</v>
      </c>
      <c r="V18" s="20">
        <f>IF(ISNUMBER(tblData[China]),tblData[China]/$V$9,"")</f>
        <v>42.290693042786231</v>
      </c>
      <c r="W18">
        <v>7</v>
      </c>
      <c r="X18" s="20">
        <f>IF(ISNUMBER(tblData[Singapore]),tblData[Singapore]/$X$9,"")</f>
        <v>11.965811965811966</v>
      </c>
      <c r="Y18">
        <v>3554</v>
      </c>
      <c r="Z18" s="20">
        <f>IF(AND(LEN(tblData[Generic])&gt;0,ISNUMBER(tblData[Generic])),tblData[Generic]/$Z$9,"")</f>
        <v>607.52136752136755</v>
      </c>
      <c r="AA18" s="25" t="str">
        <f>IF(tblData[[#This Row],[Date]]&lt;ItalyStart,"",tblData[[#This Row],[Date]]-ItalyStart)</f>
        <v/>
      </c>
      <c r="AB18" s="25">
        <f>IF(tblData[[#This Row],[Date]]&lt;USStart,"",tblData[[#This Row],[Date]]-USStart)</f>
        <v>7</v>
      </c>
      <c r="AC18" s="25">
        <f>IF(tblData[[#This Row],[Date]]&lt;ChinaStart,"",tblData[[#This Row],[Date]]-ChinaStart)</f>
        <v>7</v>
      </c>
      <c r="AD18" s="25" t="str">
        <f>IF(tblData[[#This Row],[Date]]&lt;StartDt2Korea,"",tblData[[#This Row],[Date]]-StartDt2Korea)</f>
        <v/>
      </c>
      <c r="AE18" s="25" t="str">
        <f>IF(tblData[[#This Row],[Date]]&lt;UKStart,"",tblData[[#This Row],[Date]]-UKStart)</f>
        <v/>
      </c>
      <c r="AF18" s="25">
        <f>IF(tblData[[#This Row],[Date]]&lt;SingaporeStart,"",tblData[[#This Row],[Date]]-SingaporeStart)</f>
        <v>6</v>
      </c>
      <c r="AG18" s="25">
        <f>IF(tblData[[#This Row],[Date]]&lt;GenStart,"",tblData[[#This Row],[Date]]-GenStart)</f>
        <v>7</v>
      </c>
      <c r="AH18">
        <f>IF(tblData[Date]&gt;=StartDt2Au,tblData[Date]-StartDt2Au,"")</f>
        <v>4</v>
      </c>
      <c r="AI18" s="25">
        <f>IF(tblData[New South Wales]&gt;0,SUM(tblData[[#This Row],[Australian Capital Territory]:[Western Australia]]),"")</f>
        <v>6</v>
      </c>
      <c r="AJ18" s="12">
        <f>IF(ISNUMBER(tblData[Au]),tblData[Au]/$AE$9,"")</f>
        <v>2.365557483046838</v>
      </c>
      <c r="AK18" s="19">
        <f>IF(ISNUMBER(tblData[[#This Row],[Day'# Aust]]),betaAu/(deltaAu+betaPodeltaAu*EXP(-betaAu*tblData[[#This Row],[Day'# Aust]])),"")</f>
        <v>2.7399765545135651E-3</v>
      </c>
      <c r="AL18" s="66">
        <f>IF(ISNUMBER(tblData[Day'# Aust]),tblData[Au LogiP(t)]/$AJ$9,"")</f>
        <v>1.0802620069837428E-3</v>
      </c>
      <c r="AM18" s="11">
        <f>IF(AND(tblData[Date]&gt;=StartDt2Au,ISNUMBER(tblData[NSW])),(tblData[[#This Row],[Au LogiP(t)]]-tblData[[#This Row],[Au]])^2,"")</f>
        <v>35.967127788817358</v>
      </c>
      <c r="AN18">
        <f>IF(tblData[Date]&gt;StartDt2NSW,tblData[Date]-StartDt2NSW,"")</f>
        <v>4</v>
      </c>
      <c r="AO18">
        <f t="shared" si="4"/>
        <v>4</v>
      </c>
      <c r="AP18" s="11">
        <f>IF(tblData[Date]&gt;StartDt2NSW,betaNSW/(deltaNSW+betaPodeltaNSW*EXP(-betaNSW*tblData[[#This Row],[Day '# NSW]])),"")</f>
        <v>9.624153931038144E-3</v>
      </c>
      <c r="AQ18" s="12">
        <f>IF(AND(ISNUMBER(tblData[NSW]),tblData[Date]&gt;StartDt2NSW),(tblData[[#This Row],[NSW LogiP(t)]]-tblData[[#This Row],[NSW]])^2,"")</f>
        <v>15.923099392890583</v>
      </c>
      <c r="AR18" s="12">
        <f>IF(AND(tblData[Date]&gt;StartDt2NSW,ISNUMBER(tblData[Day'# Aust])),tblData[NSW LogiP(t)]/$AQ$9,"")</f>
        <v>1.1911081597819484E-2</v>
      </c>
      <c r="AS18" s="11" t="str">
        <f>IF(AND(tblData[Date]&gt;StartDt2Italy,ISNUMBER(tblData[Days'# Italy])),betaItaly/(deltaItaly+betaPodeltaItaly*EXP(-betaItaly*tblData[Days'# Italy])),"")</f>
        <v/>
      </c>
      <c r="AT18" s="11" t="str">
        <f>IF(AND(tblData[Date]&gt;StartDt2Italy,ISNUMBER(tblData[Italy])),(tblData[[#This Row],[Italy LogiP(t)]]-tblData[[#This Row],[Italy]])^2,"")</f>
        <v/>
      </c>
      <c r="AU18" s="11" t="str">
        <f>IF(AND(tblData[Date]&gt;StartDt2Italy,ISNUMBER(tblData[Days'# Italy])),tblData[[#This Row],[Italy LogiP(t)]]/$AT$9,"")</f>
        <v/>
      </c>
      <c r="AV18" s="11">
        <f>IF(ISNUMBER(tblData[[#This Row],[Days'# US]]),betaUS/(deltaUS+betaPodeltaUS*EXP(-betaUS*tblData[Days'# US])),"")</f>
        <v>1.582576806511406E-2</v>
      </c>
      <c r="AW18" s="11" t="str">
        <f>IF(AND(tblData[Date]&gt;=StartDt2US,ISNUMBER(tblData[US])),(tblData[[#This Row],[US LogiP(t)]]-tblData[US])^2,"")</f>
        <v/>
      </c>
      <c r="AX18" s="11">
        <f>IF(ISNUMBER(tblData[[#This Row],[Days'# US]]),tblData[[#This Row],[US LogiP(t)]]/$AW$9,"")</f>
        <v>4.8069363100138171E-4</v>
      </c>
      <c r="AY18" s="11" t="str">
        <f>IF(tblData[Date]&gt;=StartDt2Korea,betaSKorea/(deltaSKorea+betaPodeltaSKorea*EXP(-betaSKorea*(tblData[Date]-StartDt2Korea))),"")</f>
        <v/>
      </c>
      <c r="AZ18" s="11" t="str">
        <f>IF(AND(tblData[Date]&gt;=StartDt2Korea,ISNUMBER(tblData[SKorea])),(tblData[[#This Row],[SKorea LogiP(t)]]-tblData[[#This Row],[SKorea]])^2,"")</f>
        <v/>
      </c>
      <c r="BA18" s="11" t="str">
        <f>IF(tblData[Date]&gt;=StartDt2Korea,tblData[[#This Row],[SKorea LogiP(t)]]/$AZ$9,"")</f>
        <v/>
      </c>
      <c r="BB18" s="11" t="str">
        <f>IF(ISNUMBER(tblData[Days'# UK]),betaUK/(deltaUK+betaPodeltaUK*EXP(-betaUK*tblData[Days'# UK])),"")</f>
        <v/>
      </c>
      <c r="BC18" s="11" t="str">
        <f>IF(ISNUMBER(tblData[UK]),(tblData[[#This Row],[UK LogiP(t)]]-tblData[[#This Row],[UK]])^2,"")</f>
        <v/>
      </c>
      <c r="BD18" s="11" t="str">
        <f>IF(ISNUMBER(tblData[Days'# UK]),tblData[[#This Row],[UK LogiP(t)]]/$BC$9,"")</f>
        <v/>
      </c>
      <c r="BE18" s="11">
        <f>IF(ISNUMBER(tblData[Days'# China]),betaChina/(deltaChina+betaPodeltaChina*EXP(-betaChina*tblData[Days'# China])),"")</f>
        <v>6798.9302455887337</v>
      </c>
      <c r="BF18" s="11">
        <f>IF(ISNUMBER(tblData[China]),(tblData[[#This Row],[China LogiP(t)]]-tblData[[#This Row],[China]])^2,"")</f>
        <v>506844.67458403466</v>
      </c>
      <c r="BG18" s="11">
        <f>tblData[[#This Row],[China LogiP(t)]]/$BF$9</f>
        <v>47.236975856005962</v>
      </c>
      <c r="BH18" s="11">
        <f>IF(ISNUMBER(tblData[Day'# Singapore]),betaSingapore/(deltaSingapore+betaPodeltaSingapore*EXP(-betaSingapore*tblData[Day'# Singapore])),"")</f>
        <v>8.7447183549391383</v>
      </c>
      <c r="BI18" s="11">
        <f>IF(AND(ISNUMBER(tblData[Singapore]),tblData[Date]&gt;=StartDt2Singapore),(tblData[[#This Row],[Singapore LogiP(t)]]-tblData[[#This Row],[Singapore]])^2,"")</f>
        <v>3.044042138061533</v>
      </c>
      <c r="BJ18" s="11">
        <f>IF(ISNUMBER(tblData[Day'# Singapore]),tblData[Singapore LogiP(t)]/$BI$9,"")</f>
        <v>14.948236504169468</v>
      </c>
      <c r="BK18" s="11">
        <f>IF(ISNUMBER(tblData[Day'# Generic]),betaGeneric/(deltaGeneric+betaPodeltaGeneric*EXP(-betaGeneric*tblData[Day'# Generic])),"")</f>
        <v>6602.4967961329021</v>
      </c>
      <c r="BL18" s="11">
        <f>IF(AND(ISNUMBER(tblData[Generic]),tblData[Date]&gt;=StartDt2Generic),(tblData[Generic LogiP(t)]-tblData[[#This Row],[Generic]])^2,"")</f>
        <v>9293332.7160325684</v>
      </c>
      <c r="BM18" s="11">
        <f>IF(ISNUMBER(tblData[Day'# Generic]),tblData[Generic LogiP(t)]/$BL$9,"")</f>
        <v>1128.6319309628893</v>
      </c>
      <c r="BO18" s="11"/>
      <c r="BP18" s="11" t="str">
        <f>IF(ISNUMBER(tblData[[#This Row],[Tests]]),tblData[[#This Row],[Tests]]-BP17,"")</f>
        <v/>
      </c>
      <c r="BQ18" s="11" t="str">
        <f>IF(ISNUMBER(tblData[[#This Row],[NSW Under Investigation'']]),tblData[[#This Row],[NSW Under Investigation'']]-BO17,"")</f>
        <v/>
      </c>
      <c r="BR18" s="11"/>
      <c r="BS18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18" s="11" t="str">
        <f>IF(tblData[Tests]&gt;0,(tblData[[#This Row],[Tests]]-tblData[[#This Row],[NSW Test Logi]])^2,"")</f>
        <v/>
      </c>
      <c r="BU18" s="11" t="str">
        <f>IF(ISNUMBER(tblData[Tests]),tblData[Tests]/$BS$9/100,"")</f>
        <v/>
      </c>
      <c r="BV18" s="11" t="str">
        <f>IF(AND(tblData[[#This Row],[NSW Test Day Number]]&gt;0,ISNUMBER(tblData[[#This Row],[NSW Test Day Number]])),TestsLogestB*TestsLogestM^tblData[[#This Row],[NSW Test Day Number]],"")</f>
        <v/>
      </c>
      <c r="BW18" s="11" t="str">
        <f>IF(AND(tblData[[#This Row],[NSW Test Day Number]]&gt;0,ISNUMBER(tblData[Tests])),(tblData[Tests]-tblData[[#This Row],[NSW Test Per Capita]])^2,"")</f>
        <v/>
      </c>
      <c r="BX18" s="11"/>
      <c r="BY18" s="11"/>
      <c r="BZ18" s="26"/>
      <c r="CA18" s="25" t="s">
        <v>40</v>
      </c>
      <c r="CB18" s="77">
        <v>43916.89916666667</v>
      </c>
      <c r="CC18" s="26">
        <f>INDEX(tblPopulation[Day 0],MATCH($CA18,tblPopulation[Country],0),1)</f>
        <v>43853</v>
      </c>
      <c r="CD18" s="26">
        <f>INDEX(tblPopulation[Logistic Start2],MATCH($CA18,tblPopulation[CtryAbbrev],0),1)</f>
        <v>43853</v>
      </c>
      <c r="CE18" s="25">
        <v>7</v>
      </c>
      <c r="CF18" s="22">
        <v>7.4477451300646702E-2</v>
      </c>
      <c r="CG18" s="24">
        <v>1.0000000010863949E-12</v>
      </c>
      <c r="CH18" s="98">
        <v>5.5933880442807453</v>
      </c>
      <c r="CI18" s="23">
        <f>betaSingapore/deltaSingapore</f>
        <v>74477451219.734787</v>
      </c>
      <c r="CJ18" s="36">
        <f>SQRT(SUM(tblData[Singapore Sq Err])/COUNT(tblData[Singapore Sq Err]))</f>
        <v>25.399216597797132</v>
      </c>
      <c r="CK18" s="97">
        <f>(tblRuns[b]/tblRuns[Po])-tblRuns[d]</f>
        <v>1.3315266293960548E-2</v>
      </c>
      <c r="CL18" s="97">
        <f>tblRuns[d]*1000</f>
        <v>1.0000000010863949E-9</v>
      </c>
      <c r="CM18" s="26">
        <f t="array" ref="CM18">MAX(IF(ISNUMBER(tblData[Singapore]),tblData[Date]))</f>
        <v>43915</v>
      </c>
      <c r="CN18" s="26" t="str">
        <f>Cengnotation(tblRuns[[#This Row],[Asymptote b/d]],3)</f>
        <v>74.5 G</v>
      </c>
      <c r="CO18" s="124">
        <f t="array" ref="CO18">MAX(tblData[Singapore LogiP(t)])</f>
        <v>39993448115.747894</v>
      </c>
      <c r="CP18" s="25">
        <f>MAX(tblData[Singapore])</f>
        <v>631</v>
      </c>
      <c r="CQ18" s="25" t="str">
        <f>Cengnotation(tblRuns[[#This Row],[Asymptote b/d]]/(SingaporePop/PerPerson),3)</f>
        <v>127 G</v>
      </c>
      <c r="CR18" s="26">
        <f t="array" ref="CR18">MAX(IF(ISNUMBER(tblData[Singapore]),tblData[Date]))</f>
        <v>43915</v>
      </c>
      <c r="CS18" s="11">
        <f t="array" ref="CS18">COUNT(IF(ISNUMBER(tblData[Singapore]),tblData[Date]))</f>
        <v>64</v>
      </c>
      <c r="CT18" s="26" t="str">
        <f t="shared" si="0"/>
        <v xml:space="preserve">b=0.074, d=1.00E-12, P0=5.593 Limit=127 G=&gt;40.0 G cases </v>
      </c>
      <c r="CU18" s="25"/>
      <c r="CV18" s="25" t="str">
        <f>CA18&amp;" Limit " &amp; IF(PopScaling=0,CN18,CQ18)</f>
        <v>Singapore Limit 127 G</v>
      </c>
      <c r="CW18" s="25"/>
      <c r="CX18" s="18" t="str">
        <f t="shared" si="1"/>
        <v>COVID19 Singapore P(t) = b / {d+[( b/Po - d ) ]* exp(-b*t)}
b=0.074, d=1.00E-12, P0=5.593 Limit=127 G=&gt;40.0 G cases 
 25-Mar, Cases per 10 M population</v>
      </c>
      <c r="CY18" s="20">
        <f>MAX(tblData[Singapore Cases Per Capita])</f>
        <v>1078.6324786324788</v>
      </c>
      <c r="CZ18" s="26">
        <f>IF(CY18&gt;NSWMaxCasespc,INDEX(tblData[Date],1+MATCH(NSWMaxCasespc,tblData[Singapore Cases Per Capita],1)),INDEX(tblData[Date],1+MATCH(CY18,tblData[NSW Cases per Capita],1)))</f>
        <v>43915</v>
      </c>
      <c r="DA18" s="11">
        <f t="shared" si="2"/>
        <v>-1</v>
      </c>
      <c r="DB18" s="26">
        <f>IF(CY18&gt;AuMaxCasespc,INDEX(tblData[Date],1+MATCH(AuMaxCasespc,tblData[Singapore Cases Per Capita],1)),INDEX(tblData[Date],1+MATCH(CY18,tblData[Au Cases Per Capita],1)))</f>
        <v>43916</v>
      </c>
      <c r="DC18" s="11">
        <f t="shared" si="3"/>
        <v>0</v>
      </c>
      <c r="DE18" s="11">
        <f>INDEX(tblData[NSW LogiP(t)],MATCH(VALUE(tblRuns[AtDate])+7,tblData[Date],0))</f>
        <v>3240.9501455819877</v>
      </c>
      <c r="DF18" s="19">
        <f>tblRuns[Mean Sq Err]/tblRuns[Max Cases Per Capita]</f>
        <v>2.3547609682585294E-2</v>
      </c>
      <c r="DG18" s="19"/>
      <c r="DH18" s="11">
        <f>INDEX(tblData[Singapore LogiP(t)],MATCH(VALUE($CM18)+7,tblData[Date],0))</f>
        <v>953.87183808335737</v>
      </c>
      <c r="DI18" s="25"/>
      <c r="DJ18" s="25"/>
      <c r="DK18" s="25"/>
      <c r="DS18" s="26">
        <v>43860</v>
      </c>
      <c r="DT18">
        <v>0.1</v>
      </c>
      <c r="DV18"/>
      <c r="DW18"/>
      <c r="DX18"/>
      <c r="DY18" s="25" t="s">
        <v>48</v>
      </c>
      <c r="DZ18" s="76">
        <v>43912.787418981483</v>
      </c>
      <c r="EA18" s="26">
        <v>43855</v>
      </c>
      <c r="EB18" s="26">
        <v>43855</v>
      </c>
      <c r="EC18" s="25">
        <v>0</v>
      </c>
      <c r="ED18" s="25">
        <v>0.20992855907156063</v>
      </c>
      <c r="EE18" s="24">
        <v>9.9999999999795755E-11</v>
      </c>
      <c r="EF18" s="25">
        <v>8.4862960776543872E-3</v>
      </c>
      <c r="EG18" s="96">
        <v>2099285590.7198939</v>
      </c>
      <c r="EH18" s="25">
        <v>11.255677732956892</v>
      </c>
      <c r="EI18" s="25">
        <v>24.737359756217259</v>
      </c>
      <c r="EJ18" s="98">
        <v>9.9999999999795755E-8</v>
      </c>
      <c r="EK18" s="26">
        <v>43912</v>
      </c>
      <c r="EL18" s="25" t="s">
        <v>1132</v>
      </c>
      <c r="EM18" s="25">
        <v>2099285590.7198939</v>
      </c>
      <c r="EN18" s="98">
        <v>1349</v>
      </c>
      <c r="EO18" s="25" t="s">
        <v>1133</v>
      </c>
      <c r="EP18" s="26">
        <v>43912</v>
      </c>
      <c r="EQ18" s="25">
        <v>58</v>
      </c>
      <c r="ER18" s="25" t="s">
        <v>1134</v>
      </c>
      <c r="ES18" s="25"/>
      <c r="ET18" s="25" t="s">
        <v>1135</v>
      </c>
      <c r="EU18" s="25"/>
      <c r="EV18" s="25" t="s">
        <v>1136</v>
      </c>
      <c r="EW18" s="25">
        <v>531.85617410503073</v>
      </c>
      <c r="EX18" s="82"/>
      <c r="EY18" s="25"/>
      <c r="EZ18" s="82"/>
      <c r="FB18" s="25" t="s">
        <v>1131</v>
      </c>
      <c r="FC18" s="25"/>
      <c r="FD18" s="25"/>
      <c r="FE18" s="25"/>
    </row>
    <row r="19" spans="2:163" ht="15" customHeight="1" x14ac:dyDescent="0.25">
      <c r="B19" s="1">
        <v>43860</v>
      </c>
      <c r="C19">
        <v>0</v>
      </c>
      <c r="D19" s="25">
        <v>0</v>
      </c>
      <c r="E19">
        <v>4</v>
      </c>
      <c r="F19">
        <v>0</v>
      </c>
      <c r="G19">
        <v>3</v>
      </c>
      <c r="H19">
        <v>0</v>
      </c>
      <c r="I19">
        <v>0</v>
      </c>
      <c r="J19">
        <v>2</v>
      </c>
      <c r="K19">
        <v>0</v>
      </c>
      <c r="L19" s="12">
        <f>IF(ISNUMBER(tblData[[#This Row],[NSW]]),tblData[[#This Row],[New South Wales]]/$L$9,"")</f>
        <v>4.9504950495049505</v>
      </c>
      <c r="M19" s="25">
        <v>0</v>
      </c>
      <c r="N19" s="25">
        <f>IF(ISNUMBER(tblData[Italy]),tblData[Italy]/$N$9,"")</f>
        <v>0</v>
      </c>
      <c r="O19">
        <v>5</v>
      </c>
      <c r="P19" s="124">
        <f>IF(ISNUMBER(tblData[US]),tblData[US]/$P$9,"")</f>
        <v>0.15187055346179726</v>
      </c>
      <c r="Q19">
        <v>4</v>
      </c>
      <c r="R19" s="19">
        <f>IF(ISNUMBER(tblData[SKorea]),tblData[SKorea]/$R$9,"")</f>
        <v>0.77821011673151752</v>
      </c>
      <c r="S19">
        <v>0</v>
      </c>
      <c r="T19" s="12">
        <f>IF(ISNUMBER(tblData[UK]),tblData[UK]/$T$9,"")</f>
        <v>0</v>
      </c>
      <c r="U19">
        <v>8141</v>
      </c>
      <c r="V19" s="20">
        <f>IF(ISNUMBER(tblData[China]),tblData[China]/$V$9,"")</f>
        <v>56.561283400907293</v>
      </c>
      <c r="W19">
        <v>10</v>
      </c>
      <c r="X19" s="20">
        <f>IF(ISNUMBER(tblData[Singapore]),tblData[Singapore]/$X$9,"")</f>
        <v>17.094017094017094</v>
      </c>
      <c r="Y19">
        <v>4903</v>
      </c>
      <c r="Z19" s="20">
        <f>IF(AND(LEN(tblData[Generic])&gt;0,ISNUMBER(tblData[Generic])),tblData[Generic]/$Z$9,"")</f>
        <v>838.1196581196582</v>
      </c>
      <c r="AA19" s="25">
        <f>IF(tblData[[#This Row],[Date]]&lt;ItalyStart,"",tblData[[#This Row],[Date]]-ItalyStart)</f>
        <v>0</v>
      </c>
      <c r="AB19" s="25">
        <f>IF(tblData[[#This Row],[Date]]&lt;USStart,"",tblData[[#This Row],[Date]]-USStart)</f>
        <v>8</v>
      </c>
      <c r="AC19" s="25">
        <f>IF(tblData[[#This Row],[Date]]&lt;ChinaStart,"",tblData[[#This Row],[Date]]-ChinaStart)</f>
        <v>8</v>
      </c>
      <c r="AD19" s="25" t="str">
        <f>IF(tblData[[#This Row],[Date]]&lt;StartDt2Korea,"",tblData[[#This Row],[Date]]-StartDt2Korea)</f>
        <v/>
      </c>
      <c r="AE19" s="25">
        <f>IF(tblData[[#This Row],[Date]]&lt;UKStart,"",tblData[[#This Row],[Date]]-UKStart)</f>
        <v>0</v>
      </c>
      <c r="AF19" s="25">
        <f>IF(tblData[[#This Row],[Date]]&lt;SingaporeStart,"",tblData[[#This Row],[Date]]-SingaporeStart)</f>
        <v>7</v>
      </c>
      <c r="AG19" s="25">
        <f>IF(tblData[[#This Row],[Date]]&lt;GenStart,"",tblData[[#This Row],[Date]]-GenStart)</f>
        <v>8</v>
      </c>
      <c r="AH19">
        <f>IF(tblData[Date]&gt;=StartDt2Au,tblData[Date]-StartDt2Au,"")</f>
        <v>5</v>
      </c>
      <c r="AI19" s="25">
        <f>IF(tblData[New South Wales]&gt;0,SUM(tblData[[#This Row],[Australian Capital Territory]:[Western Australia]]),"")</f>
        <v>9</v>
      </c>
      <c r="AJ19" s="12">
        <f>IF(ISNUMBER(tblData[Au]),tblData[Au]/$AE$9,"")</f>
        <v>3.548336224570257</v>
      </c>
      <c r="AK19" s="19">
        <f>IF(ISNUMBER(tblData[[#This Row],[Day'# Aust]]),betaAu/(deltaAu+betaPodeltaAu*EXP(-betaAu*tblData[[#This Row],[Day'# Aust]])),"")</f>
        <v>3.5251981757222278E-3</v>
      </c>
      <c r="AL19" s="66">
        <f>IF(ISNUMBER(tblData[Day'# Aust]),tblData[Au LogiP(t)]/$AJ$9,"")</f>
        <v>1.3898431539671296E-3</v>
      </c>
      <c r="AM19" s="11">
        <f>IF(AND(tblData[Date]&gt;=StartDt2Au,ISNUMBER(tblData[NSW])),(tblData[[#This Row],[Au LogiP(t)]]-tblData[[#This Row],[Au]])^2,"")</f>
        <v>80.936558859859176</v>
      </c>
      <c r="AN19">
        <f>IF(tblData[Date]&gt;StartDt2NSW,tblData[Date]-StartDt2NSW,"")</f>
        <v>5</v>
      </c>
      <c r="AO19">
        <f t="shared" si="4"/>
        <v>4</v>
      </c>
      <c r="AP19" s="11">
        <f>IF(tblData[Date]&gt;StartDt2NSW,betaNSW/(deltaNSW+betaPodeltaNSW*EXP(-betaNSW*tblData[[#This Row],[Day '# NSW]])),"")</f>
        <v>1.185596594900344E-2</v>
      </c>
      <c r="AQ19" s="12">
        <f>IF(AND(ISNUMBER(tblData[NSW]),tblData[Date]&gt;StartDt2NSW),(tblData[[#This Row],[NSW LogiP(t)]]-tblData[[#This Row],[NSW]])^2,"")</f>
        <v>15.905292836336555</v>
      </c>
      <c r="AR19" s="12">
        <f>IF(AND(tblData[Date]&gt;StartDt2NSW,ISNUMBER(tblData[Day'# Aust])),tblData[NSW LogiP(t)]/$AQ$9,"")</f>
        <v>1.4673225184410197E-2</v>
      </c>
      <c r="AS19" s="11" t="str">
        <f>IF(AND(tblData[Date]&gt;StartDt2Italy,ISNUMBER(tblData[Days'# Italy])),betaItaly/(deltaItaly+betaPodeltaItaly*EXP(-betaItaly*tblData[Days'# Italy])),"")</f>
        <v/>
      </c>
      <c r="AT19" s="11" t="str">
        <f>IF(AND(tblData[Date]&gt;StartDt2Italy,ISNUMBER(tblData[Italy])),(tblData[[#This Row],[Italy LogiP(t)]]-tblData[[#This Row],[Italy]])^2,"")</f>
        <v/>
      </c>
      <c r="AU19" s="41" t="str">
        <f>IF(AND(tblData[Date]&gt;StartDt2Italy,ISNUMBER(tblData[Days'# Italy])),tblData[[#This Row],[Italy LogiP(t)]]/$AT$9,"")</f>
        <v/>
      </c>
      <c r="AV19" s="11">
        <f>IF(ISNUMBER(tblData[[#This Row],[Days'# US]]),betaUS/(deltaUS+betaPodeltaUS*EXP(-betaUS*tblData[Days'# US])),"")</f>
        <v>2.0883917462784177E-2</v>
      </c>
      <c r="AW19" s="11" t="str">
        <f>IF(AND(tblData[Date]&gt;=StartDt2US,ISNUMBER(tblData[US])),(tblData[[#This Row],[US LogiP(t)]]-tblData[US])^2,"")</f>
        <v/>
      </c>
      <c r="AX19" s="11">
        <f>IF(ISNUMBER(tblData[[#This Row],[Days'# US]]),tblData[[#This Row],[US LogiP(t)]]/$AW$9,"")</f>
        <v>6.3433042070470513E-4</v>
      </c>
      <c r="AY19" s="11" t="str">
        <f>IF(tblData[Date]&gt;=StartDt2Korea,betaSKorea/(deltaSKorea+betaPodeltaSKorea*EXP(-betaSKorea*(tblData[Date]-StartDt2Korea))),"")</f>
        <v/>
      </c>
      <c r="AZ19" s="11" t="str">
        <f>IF(AND(tblData[Date]&gt;=StartDt2Korea,ISNUMBER(tblData[SKorea])),(tblData[[#This Row],[SKorea LogiP(t)]]-tblData[[#This Row],[SKorea]])^2,"")</f>
        <v/>
      </c>
      <c r="BA19" s="11" t="str">
        <f>IF(tblData[Date]&gt;=StartDt2Korea,tblData[[#This Row],[SKorea LogiP(t)]]/$AZ$9,"")</f>
        <v/>
      </c>
      <c r="BB19" s="11">
        <f>IF(ISNUMBER(tblData[Days'# UK]),betaUK/(deltaUK+betaPodeltaUK*EXP(-betaUK*tblData[Days'# UK])),"")</f>
        <v>3.2261693235413211E-2</v>
      </c>
      <c r="BC19" s="11">
        <f>IF(ISNUMBER(tblData[UK]),(tblData[[#This Row],[UK LogiP(t)]]-tblData[[#This Row],[UK]])^2,"")</f>
        <v>1.0408168504159065E-3</v>
      </c>
      <c r="BD19" s="11">
        <f>IF(ISNUMBER(tblData[Days'# UK]),tblData[[#This Row],[UK LogiP(t)]]/$BC$9,"")</f>
        <v>4.8557635814890443E-3</v>
      </c>
      <c r="BE19" s="11">
        <f>IF(ISNUMBER(tblData[Days'# China]),betaChina/(deltaChina+betaPodeltaChina*EXP(-betaChina*tblData[Days'# China])),"")</f>
        <v>8316.5530557580641</v>
      </c>
      <c r="BF19" s="11">
        <f>IF(ISNUMBER(tblData[China]),(tblData[[#This Row],[China LogiP(t)]]-tblData[[#This Row],[China]])^2,"")</f>
        <v>30818.875385993979</v>
      </c>
      <c r="BG19" s="11">
        <f>tblData[[#This Row],[China LogiP(t)]]/$BF$9</f>
        <v>57.780974610663726</v>
      </c>
      <c r="BH19" s="11">
        <f>IF(ISNUMBER(tblData[Day'# Singapore]),betaSingapore/(deltaSingapore+betaPodeltaSingapore*EXP(-betaSingapore*tblData[Day'# Singapore])),"")</f>
        <v>9.4208691692801896</v>
      </c>
      <c r="BI19" s="11">
        <f>IF(AND(ISNUMBER(tblData[Singapore]),tblData[Date]&gt;=StartDt2Singapore),(tblData[[#This Row],[Singapore LogiP(t)]]-tblData[[#This Row],[Singapore]])^2,"")</f>
        <v>0.33539251909021772</v>
      </c>
      <c r="BJ19" s="11">
        <f>IF(ISNUMBER(tblData[Day'# Singapore]),tblData[Singapore LogiP(t)]/$BI$9,"")</f>
        <v>16.104049862017419</v>
      </c>
      <c r="BK19" s="11">
        <f>IF(ISNUMBER(tblData[Day'# Generic]),betaGeneric/(deltaGeneric+betaPodeltaGeneric*EXP(-betaGeneric*tblData[Day'# Generic])),"")</f>
        <v>8031.5943793254746</v>
      </c>
      <c r="BL19" s="11">
        <f>IF(AND(ISNUMBER(tblData[Generic]),tblData[Date]&gt;=StartDt2Generic),(tblData[Generic LogiP(t)]-tblData[[#This Row],[Generic]])^2,"")</f>
        <v>9788102.7903469522</v>
      </c>
      <c r="BM19" s="11">
        <f>IF(ISNUMBER(tblData[Day'# Generic]),tblData[Generic LogiP(t)]/$BL$9,"")</f>
        <v>1372.9221161240127</v>
      </c>
      <c r="BO19" s="11"/>
      <c r="BP19" s="11" t="str">
        <f>IF(ISNUMBER(tblData[[#This Row],[Tests]]),tblData[[#This Row],[Tests]]-BP18,"")</f>
        <v/>
      </c>
      <c r="BQ19" s="11" t="str">
        <f>IF(ISNUMBER(tblData[[#This Row],[NSW Under Investigation'']]),tblData[[#This Row],[NSW Under Investigation'']]-BO18,"")</f>
        <v/>
      </c>
      <c r="BR19" s="11"/>
      <c r="BS19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19" s="11" t="str">
        <f>IF(tblData[Tests]&gt;0,(tblData[[#This Row],[Tests]]-tblData[[#This Row],[NSW Test Logi]])^2,"")</f>
        <v/>
      </c>
      <c r="BU19" s="11" t="str">
        <f>IF(ISNUMBER(tblData[Tests]),tblData[Tests]/$BS$9/100,"")</f>
        <v/>
      </c>
      <c r="BV19" s="11" t="str">
        <f>IF(AND(tblData[[#This Row],[NSW Test Day Number]]&gt;0,ISNUMBER(tblData[[#This Row],[NSW Test Day Number]])),TestsLogestB*TestsLogestM^tblData[[#This Row],[NSW Test Day Number]],"")</f>
        <v/>
      </c>
      <c r="BW19" s="11" t="str">
        <f>IF(AND(tblData[[#This Row],[NSW Test Day Number]]&gt;0,ISNUMBER(tblData[Tests])),(tblData[Tests]-tblData[[#This Row],[NSW Test Per Capita]])^2,"")</f>
        <v/>
      </c>
      <c r="BX19" s="11"/>
      <c r="BY19" s="11"/>
      <c r="BZ19" s="26"/>
      <c r="CA19" s="25" t="s">
        <v>697</v>
      </c>
      <c r="CB19" s="77">
        <v>43916.899189814816</v>
      </c>
      <c r="CC19" s="26">
        <v>43895</v>
      </c>
      <c r="CD19" s="26">
        <v>43896</v>
      </c>
      <c r="CE19" s="25">
        <v>8</v>
      </c>
      <c r="CF19" s="22">
        <v>0.20239862152010588</v>
      </c>
      <c r="CG19" s="24">
        <v>1.8820245991676858E-6</v>
      </c>
      <c r="CH19" s="98">
        <v>3093.028561102637</v>
      </c>
      <c r="CI19" s="23">
        <f>betaTests/deltaTests</f>
        <v>107543.02659466591</v>
      </c>
      <c r="CJ19" s="36">
        <f>SQRT(SUM(tblData[NSW Test Sq Err])/COUNT(tblData[NSW Test Sq Err]))</f>
        <v>1782.8745149015201</v>
      </c>
      <c r="CK19" s="97">
        <f>(betaTests/PoTests)-deltaTests</f>
        <v>6.3555011471379494E-5</v>
      </c>
      <c r="CL19" s="97">
        <f>tblRuns[d]*1000</f>
        <v>1.8820245991676857E-3</v>
      </c>
      <c r="CM19" s="26">
        <f t="array" ref="CM19">MAX(IF(ISNUMBER(tblData[Tests]),tblData[Date]))</f>
        <v>43916</v>
      </c>
      <c r="CN19" s="26" t="str">
        <f>Cengnotation(tblRuns[[#This Row],[Asymptote b/d]],3)</f>
        <v>108 k</v>
      </c>
      <c r="CO19" s="124">
        <f>MAX(tblData[Tests])</f>
        <v>72787</v>
      </c>
      <c r="CP19" s="25">
        <f t="array" ref="CP19">MAX(tblData[Tests])</f>
        <v>72787</v>
      </c>
      <c r="CQ19" s="25" t="str">
        <f>Cengnotation(tblRuns[[#This Row],[Asymptote b/d]]/(TestsPop/PerPerson),3)</f>
        <v>133 k</v>
      </c>
      <c r="CR19" s="26">
        <f t="array" ref="CR19">MAX(IF(ISNUMBER(tblData[Tests]),tblData[Date]))</f>
        <v>43916</v>
      </c>
      <c r="CS19" s="11">
        <f t="array" ref="CS19">COUNT(IF(ISNUMBER(tblData[Tests]),tblData[Date]))</f>
        <v>22</v>
      </c>
      <c r="CT19" s="26" t="str">
        <f>"b="&amp;TEXT(CF19,"##0.###")&amp;", d="&amp;TEXT(CG19,"0.00E+00")&amp;", P0="&amp;TEXT(CH19,"#.###")&amp;" Limit = =&gt;"&amp;CN19 &amp;" cases "</f>
        <v xml:space="preserve">b=0.202, d=1.88E-06, P0=3093.029 Limit = =&gt;108 k cases </v>
      </c>
      <c r="CU19" s="25"/>
      <c r="CV19" s="25" t="str">
        <f>CA19&amp;" Limit " &amp; IF(PopScaling=0,CN19,CQ19)</f>
        <v>Tests Limit 133 k</v>
      </c>
      <c r="CW19" s="25"/>
      <c r="CX19" s="18" t="str">
        <f>"COVID19  NSW Tests" &amp;LogFormula&amp;CHAR(10)&amp;CT19&amp;CHAR(10)&amp;TEXT(CR19," dd-mmm")</f>
        <v>COVID19  NSW TestsP(t) = b / {d+[( b/Po - d ) ]* exp(-b*t)}
b=0.202, d=1.88E-06, P0=3093.029 Limit = =&gt;108 k cases 
 26-Mar</v>
      </c>
      <c r="CY19" s="20">
        <f t="array" ref="CY19">MAX(tblData[Tests])</f>
        <v>72787</v>
      </c>
      <c r="CZ19" s="26"/>
      <c r="DA19" s="11"/>
      <c r="DB19" s="26"/>
      <c r="DC19" s="11"/>
      <c r="DE19" s="11">
        <f>INDEX(tblData[NSW LogiP(t)],MATCH(VALUE(tblRuns[AtDate])+7,tblData[Date],0))</f>
        <v>3702.6389598227588</v>
      </c>
      <c r="DF19" s="19">
        <f>tblRuns[Mean Sq Err]/tblRuns[Max Cases Per Capita]</f>
        <v>2.4494408546876779E-2</v>
      </c>
      <c r="DG19" s="19"/>
      <c r="DH19" s="11">
        <f>INDEX(tblData[NSW Test Logi],MATCH(VALUE($CM19)+7,tblData[Date],0))</f>
        <v>96298.826267159937</v>
      </c>
      <c r="DI19" s="25"/>
      <c r="DJ19" s="25"/>
      <c r="DK19" s="25"/>
      <c r="DS19" s="26">
        <f>DS15+14</f>
        <v>43868</v>
      </c>
      <c r="DT19" s="25">
        <v>0.1</v>
      </c>
      <c r="DV19"/>
      <c r="DW19"/>
      <c r="DX19"/>
      <c r="DY19" s="25" t="s">
        <v>48</v>
      </c>
      <c r="DZ19" s="76">
        <v>43912.862291666665</v>
      </c>
      <c r="EA19" s="26">
        <v>43855</v>
      </c>
      <c r="EB19" s="26">
        <v>43855</v>
      </c>
      <c r="EC19" s="25">
        <v>0</v>
      </c>
      <c r="ED19" s="25">
        <v>0.21033404877431897</v>
      </c>
      <c r="EE19" s="24">
        <v>9.9999999999795755E-11</v>
      </c>
      <c r="EF19" s="25">
        <v>8.3106214738320611E-3</v>
      </c>
      <c r="EG19" s="96">
        <v>2103340487.7474856</v>
      </c>
      <c r="EH19" s="25">
        <v>11.368819454980502</v>
      </c>
      <c r="EI19" s="25">
        <v>25.309063760847966</v>
      </c>
      <c r="EJ19" s="98">
        <v>9.9999999999795755E-8</v>
      </c>
      <c r="EK19" s="26">
        <v>43912</v>
      </c>
      <c r="EL19" s="25" t="s">
        <v>1132</v>
      </c>
      <c r="EM19" s="25">
        <v>2103340487.7474856</v>
      </c>
      <c r="EN19" s="98">
        <v>1354</v>
      </c>
      <c r="EO19" s="25" t="s">
        <v>1163</v>
      </c>
      <c r="EP19" s="26">
        <v>43912</v>
      </c>
      <c r="EQ19" s="25">
        <v>58</v>
      </c>
      <c r="ER19" s="25" t="s">
        <v>1164</v>
      </c>
      <c r="ES19" s="25"/>
      <c r="ET19" s="25" t="s">
        <v>1165</v>
      </c>
      <c r="EU19" s="25"/>
      <c r="EV19" s="25" t="s">
        <v>1166</v>
      </c>
      <c r="EW19" s="25">
        <v>533.82747200756978</v>
      </c>
      <c r="EX19" s="82"/>
      <c r="EY19" s="25"/>
      <c r="EZ19" s="82"/>
      <c r="FB19" s="25" t="s">
        <v>1162</v>
      </c>
      <c r="FC19" s="25"/>
      <c r="FD19" s="25"/>
      <c r="FE19" s="25"/>
    </row>
    <row r="20" spans="2:163" ht="15" customHeight="1" x14ac:dyDescent="0.25">
      <c r="B20" s="1">
        <v>43861</v>
      </c>
      <c r="C20">
        <v>0</v>
      </c>
      <c r="D20" s="25">
        <v>0</v>
      </c>
      <c r="E20">
        <v>4</v>
      </c>
      <c r="F20">
        <v>0</v>
      </c>
      <c r="G20">
        <v>2</v>
      </c>
      <c r="H20">
        <v>0</v>
      </c>
      <c r="I20">
        <v>0</v>
      </c>
      <c r="J20">
        <v>3</v>
      </c>
      <c r="K20">
        <v>0</v>
      </c>
      <c r="L20" s="12">
        <f>IF(ISNUMBER(tblData[[#This Row],[NSW]]),tblData[[#This Row],[New South Wales]]/$L$9,"")</f>
        <v>4.9504950495049505</v>
      </c>
      <c r="M20" s="25">
        <v>2</v>
      </c>
      <c r="N20" s="46">
        <f>IF(ISNUMBER(tblData[Italy]),tblData[Italy]/$N$9,"")</f>
        <v>0.33066049433743905</v>
      </c>
      <c r="O20">
        <v>7</v>
      </c>
      <c r="P20" s="124">
        <f>IF(ISNUMBER(tblData[US]),tblData[US]/$P$9,"")</f>
        <v>0.21261877484651615</v>
      </c>
      <c r="Q20">
        <v>11</v>
      </c>
      <c r="R20" s="19">
        <f>IF(ISNUMBER(tblData[SKorea]),tblData[SKorea]/$R$9,"")</f>
        <v>2.1400778210116731</v>
      </c>
      <c r="S20">
        <v>2</v>
      </c>
      <c r="T20" s="12">
        <f>IF(ISNUMBER(tblData[UK]),tblData[UK]/$T$9,"")</f>
        <v>0.30102347983142685</v>
      </c>
      <c r="U20">
        <v>9802</v>
      </c>
      <c r="V20" s="20">
        <f>IF(ISNUMBER(tblData[China]),tblData[China]/$V$9,"")</f>
        <v>68.10142487356508</v>
      </c>
      <c r="W20">
        <v>13</v>
      </c>
      <c r="X20" s="20">
        <f>IF(ISNUMBER(tblData[Singapore]),tblData[Singapore]/$X$9,"")</f>
        <v>22.222222222222225</v>
      </c>
      <c r="Y20">
        <v>5806</v>
      </c>
      <c r="Z20" s="20">
        <f>IF(AND(LEN(tblData[Generic])&gt;0,ISNUMBER(tblData[Generic])),tblData[Generic]/$Z$9,"")</f>
        <v>992.47863247863256</v>
      </c>
      <c r="AA20" s="25">
        <f>IF(tblData[[#This Row],[Date]]&lt;ItalyStart,"",tblData[[#This Row],[Date]]-ItalyStart)</f>
        <v>1</v>
      </c>
      <c r="AB20" s="25">
        <f>IF(tblData[[#This Row],[Date]]&lt;USStart,"",tblData[[#This Row],[Date]]-USStart)</f>
        <v>9</v>
      </c>
      <c r="AC20" s="25">
        <f>IF(tblData[[#This Row],[Date]]&lt;ChinaStart,"",tblData[[#This Row],[Date]]-ChinaStart)</f>
        <v>9</v>
      </c>
      <c r="AD20" s="25" t="str">
        <f>IF(tblData[[#This Row],[Date]]&lt;StartDt2Korea,"",tblData[[#This Row],[Date]]-StartDt2Korea)</f>
        <v/>
      </c>
      <c r="AE20" s="25">
        <f>IF(tblData[[#This Row],[Date]]&lt;UKStart,"",tblData[[#This Row],[Date]]-UKStart)</f>
        <v>1</v>
      </c>
      <c r="AF20" s="25">
        <f>IF(tblData[[#This Row],[Date]]&lt;SingaporeStart,"",tblData[[#This Row],[Date]]-SingaporeStart)</f>
        <v>8</v>
      </c>
      <c r="AG20" s="25">
        <f>IF(tblData[[#This Row],[Date]]&lt;GenStart,"",tblData[[#This Row],[Date]]-GenStart)</f>
        <v>9</v>
      </c>
      <c r="AH20">
        <f>IF(tblData[Date]&gt;=StartDt2Au,tblData[Date]-StartDt2Au,"")</f>
        <v>6</v>
      </c>
      <c r="AI20" s="25">
        <f>IF(tblData[New South Wales]&gt;0,SUM(tblData[[#This Row],[Australian Capital Territory]:[Western Australia]]),"")</f>
        <v>9</v>
      </c>
      <c r="AJ20" s="12">
        <f>IF(ISNUMBER(tblData[Au]),tblData[Au]/$AE$9,"")</f>
        <v>3.548336224570257</v>
      </c>
      <c r="AK20" s="19">
        <f>IF(ISNUMBER(tblData[[#This Row],[Day'# Aust]]),betaAu/(deltaAu+betaPodeltaAu*EXP(-betaAu*tblData[[#This Row],[Day'# Aust]])),"")</f>
        <v>4.5354482176939194E-3</v>
      </c>
      <c r="AL20" s="66">
        <f>IF(ISNUMBER(tblData[Day'# Aust]),tblData[Au LogiP(t)]/$AJ$9,"")</f>
        <v>1.7881439117228826E-3</v>
      </c>
      <c r="AM20" s="11">
        <f>IF(AND(tblData[Date]&gt;=StartDt2Au,ISNUMBER(tblData[NSW])),(tblData[[#This Row],[Au LogiP(t)]]-tblData[[#This Row],[Au]])^2,"")</f>
        <v>80.918382502372026</v>
      </c>
      <c r="AN20">
        <f>IF(tblData[Date]&gt;StartDt2NSW,tblData[Date]-StartDt2NSW,"")</f>
        <v>6</v>
      </c>
      <c r="AO20">
        <f t="shared" si="4"/>
        <v>4</v>
      </c>
      <c r="AP20" s="11">
        <f>IF(tblData[Date]&gt;StartDt2NSW,betaNSW/(deltaNSW+betaPodeltaNSW*EXP(-betaNSW*tblData[[#This Row],[Day '# NSW]])),"")</f>
        <v>1.4605327596896202E-2</v>
      </c>
      <c r="AQ20" s="12">
        <f>IF(AND(ISNUMBER(tblData[NSW]),tblData[Date]&gt;StartDt2NSW),(tblData[[#This Row],[NSW LogiP(t)]]-tblData[[#This Row],[NSW]])^2,"")</f>
        <v>15.883370694819043</v>
      </c>
      <c r="AR20" s="12">
        <f>IF(AND(tblData[Date]&gt;StartDt2NSW,ISNUMBER(tblData[Day'# Aust])),tblData[NSW LogiP(t)]/$AQ$9,"")</f>
        <v>1.807590049120817E-2</v>
      </c>
      <c r="AS20" s="11">
        <f>IF(AND(tblData[Date]&gt;StartDt2Italy,ISNUMBER(tblData[Days'# Italy])),betaItaly/(deltaItaly+betaPodeltaItaly*EXP(-betaItaly*tblData[Days'# Italy])),"")</f>
        <v>0.57229171238659859</v>
      </c>
      <c r="AT20" s="11">
        <f>IF(AND(tblData[Date]&gt;StartDt2Italy,ISNUMBER(tblData[Italy])),(tblData[[#This Row],[Italy LogiP(t)]]-tblData[[#This Row],[Italy]])^2,"")</f>
        <v>2.0383509545199914</v>
      </c>
      <c r="AU20" s="41">
        <f>IF(AND(tblData[Date]&gt;StartDt2Italy,ISNUMBER(tblData[Days'# Italy])),tblData[[#This Row],[Italy LogiP(t)]]/$AT$9,"")</f>
        <v>9.461713026148609E-2</v>
      </c>
      <c r="AV20" s="11">
        <f>IF(ISNUMBER(tblData[[#This Row],[Days'# US]]),betaUS/(deltaUS+betaPodeltaUS*EXP(-betaUS*tblData[Days'# US])),"")</f>
        <v>2.7558725935752443E-2</v>
      </c>
      <c r="AW20" s="11" t="str">
        <f>IF(AND(tblData[Date]&gt;=StartDt2US,ISNUMBER(tblData[US])),(tblData[[#This Row],[US LogiP(t)]]-tblData[US])^2,"")</f>
        <v/>
      </c>
      <c r="AX20" s="11">
        <f>IF(ISNUMBER(tblData[[#This Row],[Days'# US]]),tblData[[#This Row],[US LogiP(t)]]/$AW$9,"")</f>
        <v>8.3707179211294197E-4</v>
      </c>
      <c r="AY20" s="11" t="str">
        <f>IF(tblData[Date]&gt;=StartDt2Korea,betaSKorea/(deltaSKorea+betaPodeltaSKorea*EXP(-betaSKorea*(tblData[Date]-StartDt2Korea))),"")</f>
        <v/>
      </c>
      <c r="AZ20" s="11" t="str">
        <f>IF(AND(tblData[Date]&gt;=StartDt2Korea,ISNUMBER(tblData[SKorea])),(tblData[[#This Row],[SKorea LogiP(t)]]-tblData[[#This Row],[SKorea]])^2,"")</f>
        <v/>
      </c>
      <c r="BA20" s="11" t="str">
        <f>IF(tblData[Date]&gt;=StartDt2Korea,tblData[[#This Row],[SKorea LogiP(t)]]/$AZ$9,"")</f>
        <v/>
      </c>
      <c r="BB20" s="11">
        <f>IF(ISNUMBER(tblData[Days'# UK]),betaUK/(deltaUK+betaPodeltaUK*EXP(-betaUK*tblData[Days'# UK])),"")</f>
        <v>4.0904586624433963E-2</v>
      </c>
      <c r="BC20" s="11">
        <f>IF(ISNUMBER(tblData[UK]),(tblData[[#This Row],[UK LogiP(t)]]-tblData[[#This Row],[UK]])^2,"")</f>
        <v>3.83805483870918</v>
      </c>
      <c r="BD20" s="11">
        <f>IF(ISNUMBER(tblData[Days'# UK]),tblData[[#This Row],[UK LogiP(t)]]/$BC$9,"")</f>
        <v>6.1566205033765746E-3</v>
      </c>
      <c r="BE20" s="11">
        <f>IF(ISNUMBER(tblData[Days'# China]),betaChina/(deltaChina+betaPodeltaChina*EXP(-betaChina*tblData[Days'# China])),"")</f>
        <v>10126.709615663172</v>
      </c>
      <c r="BF20" s="11">
        <f>IF(ISNUMBER(tblData[China]),(tblData[[#This Row],[China LogiP(t)]]-tblData[[#This Row],[China]])^2,"")</f>
        <v>105436.33450412512</v>
      </c>
      <c r="BG20" s="11">
        <f>tblData[[#This Row],[China LogiP(t)]]/$BF$9</f>
        <v>70.357412171750113</v>
      </c>
      <c r="BH20" s="11">
        <f>IF(ISNUMBER(tblData[Day'# Singapore]),betaSingapore/(deltaSingapore+betaPodeltaSingapore*EXP(-betaSingapore*tblData[Day'# Singapore])),"")</f>
        <v>10.149300675247352</v>
      </c>
      <c r="BI20" s="11">
        <f>IF(AND(ISNUMBER(tblData[Singapore]),tblData[Date]&gt;=StartDt2Singapore),(tblData[[#This Row],[Singapore LogiP(t)]]-tblData[[#This Row],[Singapore]])^2,"")</f>
        <v>8.1264866401452061</v>
      </c>
      <c r="BJ20" s="11">
        <f>IF(ISNUMBER(tblData[Day'# Singapore]),tblData[Singapore LogiP(t)]/$BI$9,"")</f>
        <v>17.349231923499747</v>
      </c>
      <c r="BK20" s="11">
        <f>IF(ISNUMBER(tblData[Day'# Generic]),betaGeneric/(deltaGeneric+betaPodeltaGeneric*EXP(-betaGeneric*tblData[Day'# Generic])),"")</f>
        <v>9720.4874267299092</v>
      </c>
      <c r="BL20" s="11">
        <f>IF(AND(ISNUMBER(tblData[Generic]),tblData[Date]&gt;=StartDt2Generic),(tblData[Generic LogiP(t)]-tblData[[#This Row],[Generic]])^2,"")</f>
        <v>15323211.814026546</v>
      </c>
      <c r="BM20" s="11">
        <f>IF(ISNUMBER(tblData[Day'# Generic]),tblData[Generic LogiP(t)]/$BL$9,"")</f>
        <v>1661.6217823469931</v>
      </c>
      <c r="BO20" s="11"/>
      <c r="BP20" s="11" t="str">
        <f>IF(ISNUMBER(tblData[[#This Row],[Tests]]),tblData[[#This Row],[Tests]]-BP19,"")</f>
        <v/>
      </c>
      <c r="BQ20" s="11" t="str">
        <f>IF(ISNUMBER(tblData[[#This Row],[NSW Under Investigation'']]),tblData[[#This Row],[NSW Under Investigation'']]-BO19,"")</f>
        <v/>
      </c>
      <c r="BR20" s="11"/>
      <c r="BS20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20" s="11" t="str">
        <f>IF(tblData[Tests]&gt;0,(tblData[[#This Row],[Tests]]-tblData[[#This Row],[NSW Test Logi]])^2,"")</f>
        <v/>
      </c>
      <c r="BU20" s="11" t="str">
        <f>IF(ISNUMBER(tblData[Tests]),tblData[Tests]/$BS$9/100,"")</f>
        <v/>
      </c>
      <c r="BV20" s="11" t="str">
        <f>IF(AND(tblData[[#This Row],[NSW Test Day Number]]&gt;0,ISNUMBER(tblData[[#This Row],[NSW Test Day Number]])),TestsLogestB*TestsLogestM^tblData[[#This Row],[NSW Test Day Number]],"")</f>
        <v/>
      </c>
      <c r="BW20" s="11" t="str">
        <f>IF(AND(tblData[[#This Row],[NSW Test Day Number]]&gt;0,ISNUMBER(tblData[Tests])),(tblData[Tests]-tblData[[#This Row],[NSW Test Per Capita]])^2,"")</f>
        <v/>
      </c>
      <c r="BX20" s="11"/>
      <c r="BY20" s="11"/>
      <c r="BZ20" s="26"/>
      <c r="CA20" s="25" t="s">
        <v>1428</v>
      </c>
      <c r="CB20" s="77">
        <v>43916.899212962962</v>
      </c>
      <c r="CC20" s="26">
        <f>INDEX(tblPopulation[Day 0],MATCH($CA20,tblPopulation[Country],0),1)</f>
        <v>43852</v>
      </c>
      <c r="CD20" s="26">
        <f>INDEX(tblPopulation[Logistic Start2],MATCH($CA20,tblPopulation[Country],0),1)</f>
        <v>43852</v>
      </c>
      <c r="CE20" s="25">
        <v>9</v>
      </c>
      <c r="CF20" s="22">
        <v>0.21975775563230476</v>
      </c>
      <c r="CG20" s="24">
        <v>3.264904118030584E-6</v>
      </c>
      <c r="CH20" s="98">
        <v>1536.180755147765</v>
      </c>
      <c r="CI20" s="23">
        <f>betaGeneric/deltaGeneric</f>
        <v>67309.099344964648</v>
      </c>
      <c r="CJ20" s="36">
        <f>SQRT(SUM(tblData[Generic Sq Err])/COUNT(tblData[Generic Sq Err]))</f>
        <v>3228.6152384145184</v>
      </c>
      <c r="CK20" s="97">
        <f>(tblRuns[b]/tblRuns[Po])-tblRuns[d]</f>
        <v>1.397897168280353E-4</v>
      </c>
      <c r="CL20" s="97">
        <f>tblRuns[d]*1000</f>
        <v>3.2649041180305839E-3</v>
      </c>
      <c r="CM20" s="26">
        <f t="array" ref="CM20">MAX(IF(ISNUMBER(tblData[Generic]),tblData[Date]))</f>
        <v>43914</v>
      </c>
      <c r="CN20" s="26" t="str">
        <f>Cengnotation(tblRuns[[#This Row],[Asymptote b/d]],3)</f>
        <v>67.3 k</v>
      </c>
      <c r="CO20" s="124">
        <f>MAX(tblData[Generic LogiP(t)])</f>
        <v>67309.099344964648</v>
      </c>
      <c r="CP20" s="25">
        <f t="array" ref="CP20">MAX(tblData[Generic])</f>
        <v>67801</v>
      </c>
      <c r="CQ20" s="25" t="str">
        <f>Cengnotation(tblRuns[[#This Row],[Asymptote b/d]]/(GenericPop/PerPerson),3)</f>
        <v>11.5 k</v>
      </c>
      <c r="CR20" s="26">
        <f t="array" ref="CR20">MAX(IF(ISNUMBER(tblData[Generic]),tblData[Date]))</f>
        <v>43914</v>
      </c>
      <c r="CS20" s="11">
        <f t="array" ref="CS20">COUNT(IF(ISNUMBER(tblData[Generic]),tblData[Date]))</f>
        <v>63</v>
      </c>
      <c r="CT20" s="26" t="str">
        <f>"b="&amp;TEXT(CF20,"##0.###")&amp;", d="&amp;TEXT(CG20,"0.00E+00")&amp;", P0="&amp;TEXT(CH20,"#.###")&amp;" Limit="&amp;IF(PopScaling=0,CN20,CQ20)&amp;"=&gt;"&amp;Cengnotation(CO20,3)&amp;" cases "&amp;CW20</f>
        <v xml:space="preserve">b=0.22, d=3.26E-06, P0=1536.181 Limit=11.5 k=&gt;67.3 k cases </v>
      </c>
      <c r="CU20" s="25"/>
      <c r="CV20" s="25" t="str">
        <f>GenName&amp;" Limit " &amp; IF(PopScaling=0,CN20,CQ20)</f>
        <v>Hubei Limit 11.5 k</v>
      </c>
      <c r="CW20" s="25"/>
      <c r="CX20" s="18" t="str">
        <f>"COVID19 "&amp;GenCountry&amp;" "&amp;GenState &amp; " " &amp;LogFormula&amp;CHAR(10)&amp;CT20&amp;CHAR(10)&amp;TEXT(CR20," dd-mmm")&amp;IF(PopScaling=0,"",", "&amp;PerPersonLabel)</f>
        <v>COVID19 China Hubei P(t) = b / {d+[( b/Po - d ) ]* exp(-b*t)}
b=0.22, d=3.26E-06, P0=1536.181 Limit=11.5 k=&gt;67.3 k cases 
 24-Mar, Cases per 10 M population</v>
      </c>
      <c r="CY20" s="20">
        <f t="array" ref="CY20">MAX(tblData[Generic Cases Per Capita])</f>
        <v>11589.914529914531</v>
      </c>
      <c r="CZ20" s="26"/>
      <c r="DA20" s="11"/>
      <c r="DB20" s="26"/>
      <c r="DC20" s="11"/>
      <c r="DE20" s="11">
        <f>INDEX(tblData[NSW LogiP(t)],MATCH(VALUE(tblRuns[AtDate])+7,tblData[Date],0))</f>
        <v>2809.4044959697458</v>
      </c>
      <c r="DF20" s="19">
        <f>tblRuns[Mean Sq Err]/tblRuns[Max Cases Per Capita]</f>
        <v>0.27857109990597384</v>
      </c>
      <c r="DG20" s="19"/>
      <c r="DH20" s="19"/>
      <c r="DS20" s="26">
        <f t="shared" ref="DS20:DS22" si="5">DS16+14</f>
        <v>43868</v>
      </c>
      <c r="DT20" s="41">
        <v>10000000</v>
      </c>
      <c r="DV20" s="25"/>
      <c r="DW20"/>
      <c r="DX20"/>
      <c r="DY20" s="25" t="s">
        <v>48</v>
      </c>
      <c r="DZ20" s="76">
        <v>43913.58153935185</v>
      </c>
      <c r="EA20" s="26">
        <v>43855</v>
      </c>
      <c r="EB20" s="26">
        <v>43855</v>
      </c>
      <c r="EC20" s="25">
        <v>0</v>
      </c>
      <c r="ED20" s="25">
        <v>0.21033404791007332</v>
      </c>
      <c r="EE20" s="95">
        <v>1.2749579930545968E-6</v>
      </c>
      <c r="EF20" s="25">
        <v>8.3106214710478091E-3</v>
      </c>
      <c r="EG20" s="96">
        <v>164973.31602757072</v>
      </c>
      <c r="EH20" s="25">
        <v>11.681151162686668</v>
      </c>
      <c r="EI20" s="25">
        <v>25.309062390476196</v>
      </c>
      <c r="EJ20" s="98">
        <v>1.2749579930545968E-3</v>
      </c>
      <c r="EK20" s="26">
        <v>43913</v>
      </c>
      <c r="EL20" s="25" t="s">
        <v>1300</v>
      </c>
      <c r="EM20" s="25">
        <v>164973.31602757072</v>
      </c>
      <c r="EN20" s="99">
        <v>1619</v>
      </c>
      <c r="EO20" s="25" t="s">
        <v>1301</v>
      </c>
      <c r="EP20" s="26">
        <v>43913</v>
      </c>
      <c r="EQ20" s="25">
        <v>59</v>
      </c>
      <c r="ER20" s="25" t="s">
        <v>1302</v>
      </c>
      <c r="ES20" s="25"/>
      <c r="ET20" s="25" t="s">
        <v>1303</v>
      </c>
      <c r="EU20" s="25"/>
      <c r="EV20" s="25" t="s">
        <v>1304</v>
      </c>
      <c r="EW20" s="25">
        <v>638.3062608421385</v>
      </c>
      <c r="EX20" s="82"/>
      <c r="EY20" s="25"/>
      <c r="EZ20" s="82"/>
      <c r="FB20" s="25" t="s">
        <v>1299</v>
      </c>
      <c r="FC20" s="25"/>
      <c r="FD20" s="25"/>
      <c r="FE20" s="25"/>
    </row>
    <row r="21" spans="2:163" ht="15" customHeight="1" x14ac:dyDescent="0.25">
      <c r="B21" s="1">
        <v>43862</v>
      </c>
      <c r="C21">
        <v>0</v>
      </c>
      <c r="D21" s="25">
        <v>0</v>
      </c>
      <c r="E21">
        <v>4</v>
      </c>
      <c r="F21">
        <v>0</v>
      </c>
      <c r="G21">
        <v>3</v>
      </c>
      <c r="H21">
        <v>1</v>
      </c>
      <c r="I21">
        <v>0</v>
      </c>
      <c r="J21">
        <v>4</v>
      </c>
      <c r="K21">
        <v>0</v>
      </c>
      <c r="L21" s="12">
        <f>IF(ISNUMBER(tblData[[#This Row],[NSW]]),tblData[[#This Row],[New South Wales]]/$L$9,"")</f>
        <v>4.9504950495049505</v>
      </c>
      <c r="M21" s="25">
        <v>2</v>
      </c>
      <c r="N21" s="46">
        <f>IF(ISNUMBER(tblData[Italy]),tblData[Italy]/$N$9,"")</f>
        <v>0.33066049433743905</v>
      </c>
      <c r="O21">
        <v>8</v>
      </c>
      <c r="P21" s="124">
        <f>IF(ISNUMBER(tblData[US]),tblData[US]/$P$9,"")</f>
        <v>0.2429928855388756</v>
      </c>
      <c r="Q21">
        <v>12</v>
      </c>
      <c r="R21" s="19">
        <f>IF(ISNUMBER(tblData[SKorea]),tblData[SKorea]/$R$9,"")</f>
        <v>2.3346303501945527</v>
      </c>
      <c r="S21">
        <v>2</v>
      </c>
      <c r="T21" s="12">
        <f>IF(ISNUMBER(tblData[UK]),tblData[UK]/$T$9,"")</f>
        <v>0.30102347983142685</v>
      </c>
      <c r="U21">
        <v>11891</v>
      </c>
      <c r="V21" s="20">
        <f>IF(ISNUMBER(tblData[China]),tblData[China]/$V$9,"")</f>
        <v>82.615184979755384</v>
      </c>
      <c r="W21">
        <v>16</v>
      </c>
      <c r="X21" s="20">
        <f>IF(ISNUMBER(tblData[Singapore]),tblData[Singapore]/$X$9,"")</f>
        <v>27.350427350427353</v>
      </c>
      <c r="Y21">
        <v>7153</v>
      </c>
      <c r="Z21" s="20">
        <f>IF(AND(LEN(tblData[Generic])&gt;0,ISNUMBER(tblData[Generic])),tblData[Generic]/$Z$9,"")</f>
        <v>1222.7350427350427</v>
      </c>
      <c r="AA21" s="25">
        <f>IF(tblData[[#This Row],[Date]]&lt;ItalyStart,"",tblData[[#This Row],[Date]]-ItalyStart)</f>
        <v>2</v>
      </c>
      <c r="AB21" s="25">
        <f>IF(tblData[[#This Row],[Date]]&lt;USStart,"",tblData[[#This Row],[Date]]-USStart)</f>
        <v>10</v>
      </c>
      <c r="AC21" s="25">
        <f>IF(tblData[[#This Row],[Date]]&lt;ChinaStart,"",tblData[[#This Row],[Date]]-ChinaStart)</f>
        <v>10</v>
      </c>
      <c r="AD21" s="25" t="str">
        <f>IF(tblData[[#This Row],[Date]]&lt;StartDt2Korea,"",tblData[[#This Row],[Date]]-StartDt2Korea)</f>
        <v/>
      </c>
      <c r="AE21" s="25">
        <f>IF(tblData[[#This Row],[Date]]&lt;UKStart,"",tblData[[#This Row],[Date]]-UKStart)</f>
        <v>2</v>
      </c>
      <c r="AF21" s="25">
        <f>IF(tblData[[#This Row],[Date]]&lt;SingaporeStart,"",tblData[[#This Row],[Date]]-SingaporeStart)</f>
        <v>9</v>
      </c>
      <c r="AG21" s="25">
        <f>IF(tblData[[#This Row],[Date]]&lt;GenStart,"",tblData[[#This Row],[Date]]-GenStart)</f>
        <v>10</v>
      </c>
      <c r="AH21">
        <f>IF(tblData[Date]&gt;=StartDt2Au,tblData[Date]-StartDt2Au,"")</f>
        <v>7</v>
      </c>
      <c r="AI21" s="25">
        <f>IF(tblData[New South Wales]&gt;0,SUM(tblData[[#This Row],[Australian Capital Territory]:[Western Australia]]),"")</f>
        <v>12</v>
      </c>
      <c r="AJ21" s="12">
        <f>IF(ISNUMBER(tblData[Au]),tblData[Au]/$AE$9,"")</f>
        <v>4.731114966093676</v>
      </c>
      <c r="AK21" s="19">
        <f>IF(ISNUMBER(tblData[[#This Row],[Day'# Aust]]),betaAu/(deltaAu+betaPodeltaAu*EXP(-betaAu*tblData[[#This Row],[Day'# Aust]])),"")</f>
        <v>5.8352151180243823E-3</v>
      </c>
      <c r="AL21" s="66">
        <f>IF(ISNUMBER(tblData[Day'# Aust]),tblData[Au LogiP(t)]/$AJ$9,"")</f>
        <v>2.3005894646051027E-3</v>
      </c>
      <c r="AM21" s="11">
        <f>IF(AND(tblData[Date]&gt;=StartDt2Au,ISNUMBER(tblData[NSW])),(tblData[[#This Row],[Au LogiP(t)]]-tblData[[#This Row],[Au]])^2,"")</f>
        <v>143.8599888869029</v>
      </c>
      <c r="AN21">
        <f>IF(tblData[Date]&gt;StartDt2NSW,tblData[Date]-StartDt2NSW,"")</f>
        <v>7</v>
      </c>
      <c r="AO21">
        <f t="shared" si="4"/>
        <v>4</v>
      </c>
      <c r="AP21" s="11">
        <f>IF(tblData[Date]&gt;StartDt2NSW,betaNSW/(deltaNSW+betaPodeltaNSW*EXP(-betaNSW*tblData[[#This Row],[Day '# NSW]])),"")</f>
        <v>1.7992256469267214E-2</v>
      </c>
      <c r="AQ21" s="12">
        <f>IF(AND(ISNUMBER(tblData[NSW]),tblData[Date]&gt;StartDt2NSW),(tblData[[#This Row],[NSW LogiP(t)]]-tblData[[#This Row],[NSW]])^2,"")</f>
        <v>15.856385669538719</v>
      </c>
      <c r="AR21" s="12">
        <f>IF(AND(tblData[Date]&gt;StartDt2NSW,ISNUMBER(tblData[Day'# Aust])),tblData[NSW LogiP(t)]/$AQ$9,"")</f>
        <v>2.226764414513269E-2</v>
      </c>
      <c r="AS21" s="11">
        <f>IF(AND(tblData[Date]&gt;StartDt2Italy,ISNUMBER(tblData[Days'# Italy])),betaItaly/(deltaItaly+betaPodeltaItaly*EXP(-betaItaly*tblData[Days'# Italy])),"")</f>
        <v>0.74038804564320937</v>
      </c>
      <c r="AT21" s="11">
        <f>IF(AND(tblData[Date]&gt;StartDt2Italy,ISNUMBER(tblData[Italy])),(tblData[[#This Row],[Italy LogiP(t)]]-tblData[[#This Row],[Italy]])^2,"")</f>
        <v>1.5866222755585333</v>
      </c>
      <c r="AU21" s="41">
        <f>IF(AND(tblData[Date]&gt;StartDt2Italy,ISNUMBER(tblData[Days'# Italy])),tblData[[#This Row],[Italy LogiP(t)]]/$AT$9,"")</f>
        <v>0.12240853858695699</v>
      </c>
      <c r="AV21" s="11">
        <f>IF(ISNUMBER(tblData[[#This Row],[Days'# US]]),betaUS/(deltaUS+betaPodeltaUS*EXP(-betaUS*tblData[Days'# US])),"")</f>
        <v>3.636690136837873E-2</v>
      </c>
      <c r="AW21" s="11" t="str">
        <f>IF(AND(tblData[Date]&gt;=StartDt2US,ISNUMBER(tblData[US])),(tblData[[#This Row],[US LogiP(t)]]-tblData[US])^2,"")</f>
        <v/>
      </c>
      <c r="AX21" s="11">
        <f>IF(ISNUMBER(tblData[[#This Row],[Days'# US]]),tblData[[#This Row],[US LogiP(t)]]/$AW$9,"")</f>
        <v>1.1046122877012539E-3</v>
      </c>
      <c r="AY21" s="11" t="str">
        <f>IF(tblData[Date]&gt;=StartDt2Korea,betaSKorea/(deltaSKorea+betaPodeltaSKorea*EXP(-betaSKorea*(tblData[Date]-StartDt2Korea))),"")</f>
        <v/>
      </c>
      <c r="AZ21" s="11" t="str">
        <f>IF(AND(tblData[Date]&gt;=StartDt2Korea,ISNUMBER(tblData[SKorea])),(tblData[[#This Row],[SKorea LogiP(t)]]-tblData[[#This Row],[SKorea]])^2,"")</f>
        <v/>
      </c>
      <c r="BA21" s="11" t="str">
        <f>IF(tblData[Date]&gt;=StartDt2Korea,tblData[[#This Row],[SKorea LogiP(t)]]/$AZ$9,"")</f>
        <v/>
      </c>
      <c r="BB21" s="11">
        <f>IF(ISNUMBER(tblData[Days'# UK]),betaUK/(deltaUK+betaPodeltaUK*EXP(-betaUK*tblData[Days'# UK])),"")</f>
        <v>5.1862901889114209E-2</v>
      </c>
      <c r="BC21" s="11">
        <f>IF(ISNUMBER(tblData[UK]),(tblData[[#This Row],[UK LogiP(t)]]-tblData[[#This Row],[UK]])^2,"")</f>
        <v>3.7952381530359034</v>
      </c>
      <c r="BD21" s="11">
        <f>IF(ISNUMBER(tblData[Days'# UK]),tblData[[#This Row],[UK LogiP(t)]]/$BC$9,"")</f>
        <v>7.8059756004085204E-3</v>
      </c>
      <c r="BE21" s="11">
        <f>IF(ISNUMBER(tblData[Days'# China]),betaChina/(deltaChina+betaPodeltaChina*EXP(-betaChina*tblData[Days'# China])),"")</f>
        <v>12264.392850044707</v>
      </c>
      <c r="BF21" s="11">
        <f>IF(ISNUMBER(tblData[China]),(tblData[[#This Row],[China LogiP(t)]]-tblData[[#This Row],[China]])^2,"")</f>
        <v>139422.22046450927</v>
      </c>
      <c r="BG21" s="11">
        <f>tblData[[#This Row],[China LogiP(t)]]/$BF$9</f>
        <v>85.209409130504824</v>
      </c>
      <c r="BH21" s="11">
        <f>IF(ISNUMBER(tblData[Day'# Singapore]),betaSingapore/(deltaSingapore+betaPodeltaSingapore*EXP(-betaSingapore*tblData[Day'# Singapore])),"")</f>
        <v>10.934055270865088</v>
      </c>
      <c r="BI21" s="11">
        <f>IF(AND(ISNUMBER(tblData[Singapore]),tblData[Date]&gt;=StartDt2Singapore),(tblData[[#This Row],[Singapore LogiP(t)]]-tblData[[#This Row],[Singapore]])^2,"")</f>
        <v>25.663795998649803</v>
      </c>
      <c r="BJ21" s="11">
        <f>IF(ISNUMBER(tblData[Day'# Singapore]),tblData[Singapore LogiP(t)]/$BI$9,"")</f>
        <v>18.690692770709553</v>
      </c>
      <c r="BK21" s="11">
        <f>IF(ISNUMBER(tblData[Day'# Generic]),betaGeneric/(deltaGeneric+betaPodeltaGeneric*EXP(-betaGeneric*tblData[Day'# Generic])),"")</f>
        <v>11694.459227065594</v>
      </c>
      <c r="BL21" s="11">
        <f>IF(AND(ISNUMBER(tblData[Generic]),tblData[Date]&gt;=StartDt2Generic),(tblData[Generic LogiP(t)]-tblData[[#This Row],[Generic]])^2,"")</f>
        <v>20624851.911099222</v>
      </c>
      <c r="BM21" s="11">
        <f>IF(ISNUMBER(tblData[Day'# Generic]),tblData[Generic LogiP(t)]/$BL$9,"")</f>
        <v>1999.0528593274521</v>
      </c>
      <c r="BO21" s="11"/>
      <c r="BP21" s="11" t="str">
        <f>IF(ISNUMBER(tblData[[#This Row],[Tests]]),tblData[[#This Row],[Tests]]-BP20,"")</f>
        <v/>
      </c>
      <c r="BQ21" s="11" t="str">
        <f>IF(ISNUMBER(tblData[[#This Row],[NSW Under Investigation'']]),tblData[[#This Row],[NSW Under Investigation'']]-BO20,"")</f>
        <v/>
      </c>
      <c r="BR21" s="11"/>
      <c r="BS21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21" s="11" t="str">
        <f>IF(tblData[Tests]&gt;0,(tblData[[#This Row],[Tests]]-tblData[[#This Row],[NSW Test Logi]])^2,"")</f>
        <v/>
      </c>
      <c r="BU21" s="11" t="str">
        <f>IF(ISNUMBER(tblData[Tests]),tblData[Tests]/$BS$9/100,"")</f>
        <v/>
      </c>
      <c r="BV21" s="11" t="str">
        <f>IF(AND(tblData[[#This Row],[NSW Test Day Number]]&gt;0,ISNUMBER(tblData[[#This Row],[NSW Test Day Number]])),TestsLogestB*TestsLogestM^tblData[[#This Row],[NSW Test Day Number]],"")</f>
        <v/>
      </c>
      <c r="BW21" s="11" t="str">
        <f>IF(AND(tblData[[#This Row],[NSW Test Day Number]]&gt;0,ISNUMBER(tblData[Tests])),(tblData[Tests]-tblData[[#This Row],[NSW Test Per Capita]])^2,"")</f>
        <v/>
      </c>
      <c r="BX21" s="11"/>
      <c r="BY21" s="11"/>
      <c r="BZ21" s="26"/>
      <c r="CB21" s="25"/>
      <c r="CD21" s="25"/>
      <c r="CK21"/>
      <c r="CL21"/>
      <c r="CN21" s="25"/>
      <c r="CO21" s="25"/>
      <c r="DC21"/>
      <c r="DD21"/>
      <c r="DG21" s="25"/>
      <c r="DH21" s="25"/>
      <c r="DS21" s="26">
        <f t="shared" si="5"/>
        <v>43874</v>
      </c>
      <c r="DT21" s="25">
        <v>10000000</v>
      </c>
      <c r="DV21"/>
      <c r="DW21"/>
      <c r="DX21"/>
      <c r="DY21" s="25" t="s">
        <v>48</v>
      </c>
      <c r="DZ21" s="76">
        <v>43913.686678240738</v>
      </c>
      <c r="EA21" s="26">
        <v>43855</v>
      </c>
      <c r="EB21" s="26">
        <v>43855</v>
      </c>
      <c r="EC21" s="25">
        <v>0</v>
      </c>
      <c r="ED21" s="25">
        <v>0.20946993609128423</v>
      </c>
      <c r="EE21" s="95">
        <v>1.0000000000276037E-12</v>
      </c>
      <c r="EF21" s="25">
        <v>8.7014432070134148E-3</v>
      </c>
      <c r="EG21" s="95">
        <v>209469936085.50208</v>
      </c>
      <c r="EH21" s="25">
        <v>11.322136770692364</v>
      </c>
      <c r="EI21" s="25">
        <v>24.073010776240146</v>
      </c>
      <c r="EJ21" s="97">
        <v>1.0000000000276037E-9</v>
      </c>
      <c r="EK21" s="26">
        <v>43913</v>
      </c>
      <c r="EL21" s="25" t="s">
        <v>1334</v>
      </c>
      <c r="EM21" s="25">
        <v>209469936085.50208</v>
      </c>
      <c r="EN21" s="99">
        <v>1639</v>
      </c>
      <c r="EO21" s="25" t="s">
        <v>1335</v>
      </c>
      <c r="EP21" s="26">
        <v>43913</v>
      </c>
      <c r="EQ21" s="25">
        <v>59</v>
      </c>
      <c r="ER21" s="25" t="s">
        <v>1336</v>
      </c>
      <c r="ES21" s="25"/>
      <c r="ET21" s="25" t="s">
        <v>1337</v>
      </c>
      <c r="EU21" s="25"/>
      <c r="EV21" s="25" t="s">
        <v>1338</v>
      </c>
      <c r="EW21" s="25">
        <v>646.19145245229458</v>
      </c>
      <c r="EX21" s="82"/>
      <c r="EY21" s="25"/>
      <c r="EZ21" s="82"/>
      <c r="FB21" s="25" t="s">
        <v>1333</v>
      </c>
      <c r="FC21" s="25"/>
      <c r="FD21" s="25"/>
      <c r="FE21" s="25"/>
    </row>
    <row r="22" spans="2:163" ht="18.75" customHeight="1" x14ac:dyDescent="0.25">
      <c r="B22" s="1">
        <v>43863</v>
      </c>
      <c r="C22">
        <v>0</v>
      </c>
      <c r="D22" s="25">
        <v>0</v>
      </c>
      <c r="E22">
        <v>4</v>
      </c>
      <c r="F22">
        <v>0</v>
      </c>
      <c r="G22">
        <v>2</v>
      </c>
      <c r="H22">
        <v>2</v>
      </c>
      <c r="I22">
        <v>0</v>
      </c>
      <c r="J22">
        <v>4</v>
      </c>
      <c r="K22">
        <v>0</v>
      </c>
      <c r="L22" s="12">
        <f>IF(ISNUMBER(tblData[[#This Row],[NSW]]),tblData[[#This Row],[New South Wales]]/$L$9,"")</f>
        <v>4.9504950495049505</v>
      </c>
      <c r="M22" s="25">
        <v>2</v>
      </c>
      <c r="N22" s="46">
        <f>IF(ISNUMBER(tblData[Italy]),tblData[Italy]/$N$9,"")</f>
        <v>0.33066049433743905</v>
      </c>
      <c r="O22">
        <v>8</v>
      </c>
      <c r="P22" s="124">
        <f>IF(ISNUMBER(tblData[US]),tblData[US]/$P$9,"")</f>
        <v>0.2429928855388756</v>
      </c>
      <c r="Q22">
        <v>15</v>
      </c>
      <c r="R22" s="19">
        <f>IF(ISNUMBER(tblData[SKorea]),tblData[SKorea]/$R$9,"")</f>
        <v>2.918287937743191</v>
      </c>
      <c r="S22">
        <v>2</v>
      </c>
      <c r="T22" s="12">
        <f>IF(ISNUMBER(tblData[UK]),tblData[UK]/$T$9,"")</f>
        <v>0.30102347983142685</v>
      </c>
      <c r="U22">
        <v>16630</v>
      </c>
      <c r="V22" s="20">
        <f>IF(ISNUMBER(tblData[China]),tblData[China]/$V$9,"")</f>
        <v>115.54036886833168</v>
      </c>
      <c r="W22">
        <v>18</v>
      </c>
      <c r="X22" s="20">
        <f>IF(ISNUMBER(tblData[Singapore]),tblData[Singapore]/$X$9,"")</f>
        <v>30.76923076923077</v>
      </c>
      <c r="Y22">
        <v>11177</v>
      </c>
      <c r="Z22" s="20">
        <f>IF(AND(LEN(tblData[Generic])&gt;0,ISNUMBER(tblData[Generic])),tblData[Generic]/$Z$9,"")</f>
        <v>1910.5982905982908</v>
      </c>
      <c r="AA22" s="25">
        <f>IF(tblData[[#This Row],[Date]]&lt;ItalyStart,"",tblData[[#This Row],[Date]]-ItalyStart)</f>
        <v>3</v>
      </c>
      <c r="AB22" s="25">
        <f>IF(tblData[[#This Row],[Date]]&lt;USStart,"",tblData[[#This Row],[Date]]-USStart)</f>
        <v>11</v>
      </c>
      <c r="AC22" s="25">
        <f>IF(tblData[[#This Row],[Date]]&lt;ChinaStart,"",tblData[[#This Row],[Date]]-ChinaStart)</f>
        <v>11</v>
      </c>
      <c r="AD22" s="25" t="str">
        <f>IF(tblData[[#This Row],[Date]]&lt;StartDt2Korea,"",tblData[[#This Row],[Date]]-StartDt2Korea)</f>
        <v/>
      </c>
      <c r="AE22" s="25">
        <f>IF(tblData[[#This Row],[Date]]&lt;UKStart,"",tblData[[#This Row],[Date]]-UKStart)</f>
        <v>3</v>
      </c>
      <c r="AF22" s="25">
        <f>IF(tblData[[#This Row],[Date]]&lt;SingaporeStart,"",tblData[[#This Row],[Date]]-SingaporeStart)</f>
        <v>10</v>
      </c>
      <c r="AG22" s="25">
        <f>IF(tblData[[#This Row],[Date]]&lt;GenStart,"",tblData[[#This Row],[Date]]-GenStart)</f>
        <v>11</v>
      </c>
      <c r="AH22">
        <f>IF(tblData[Date]&gt;=StartDt2Au,tblData[Date]-StartDt2Au,"")</f>
        <v>8</v>
      </c>
      <c r="AI22" s="25">
        <f>IF(tblData[New South Wales]&gt;0,SUM(tblData[[#This Row],[Australian Capital Territory]:[Western Australia]]),"")</f>
        <v>12</v>
      </c>
      <c r="AJ22" s="12">
        <f>IF(ISNUMBER(tblData[Au]),tblData[Au]/$AE$9,"")</f>
        <v>4.731114966093676</v>
      </c>
      <c r="AK22" s="19">
        <f>IF(ISNUMBER(tblData[[#This Row],[Day'# Aust]]),betaAu/(deltaAu+betaPodeltaAu*EXP(-betaAu*tblData[[#This Row],[Day'# Aust]])),"")</f>
        <v>7.50746828908571E-3</v>
      </c>
      <c r="AL22" s="66">
        <f>IF(ISNUMBER(tblData[Day'# Aust]),tblData[Au LogiP(t)]/$AJ$9,"")</f>
        <v>2.9598912983305908E-3</v>
      </c>
      <c r="AM22" s="11">
        <f>IF(AND(tblData[Date]&gt;=StartDt2Au,ISNUMBER(tblData[NSW])),(tblData[[#This Row],[Au LogiP(t)]]-tblData[[#This Row],[Au]])^2,"")</f>
        <v>143.81987712314205</v>
      </c>
      <c r="AN22">
        <f>IF(tblData[Date]&gt;StartDt2NSW,tblData[Date]-StartDt2NSW,"")</f>
        <v>8</v>
      </c>
      <c r="AO22">
        <f t="shared" si="4"/>
        <v>4</v>
      </c>
      <c r="AP22" s="11">
        <f>IF(tblData[Date]&gt;StartDt2NSW,betaNSW/(deltaNSW+betaPodeltaNSW*EXP(-betaNSW*tblData[[#This Row],[Day '# NSW]])),"")</f>
        <v>2.2164601527944947E-2</v>
      </c>
      <c r="AQ22" s="12">
        <f>IF(AND(ISNUMBER(tblData[NSW]),tblData[Date]&gt;StartDt2NSW),(tblData[[#This Row],[NSW LogiP(t)]]-tblData[[#This Row],[NSW]])^2,"")</f>
        <v>15.823174457337334</v>
      </c>
      <c r="AR22" s="12">
        <f>IF(AND(tblData[Date]&gt;StartDt2NSW,ISNUMBER(tblData[Day'# Aust])),tblData[NSW LogiP(t)]/$AQ$9,"")</f>
        <v>2.743143753458533E-2</v>
      </c>
      <c r="AS22" s="11">
        <f>IF(AND(tblData[Date]&gt;StartDt2Italy,ISNUMBER(tblData[Days'# Italy])),betaItaly/(deltaItaly+betaPodeltaItaly*EXP(-betaItaly*tblData[Days'# Italy])),"")</f>
        <v>0.95785783790208689</v>
      </c>
      <c r="AT22" s="11">
        <f>IF(AND(tblData[Date]&gt;StartDt2Italy,ISNUMBER(tblData[Italy])),(tblData[[#This Row],[Italy LogiP(t)]]-tblData[[#This Row],[Italy]])^2,"")</f>
        <v>1.0860602860221127</v>
      </c>
      <c r="AU22" s="41">
        <f>IF(AND(tblData[Date]&gt;StartDt2Italy,ISNUMBER(tblData[Days'# Italy])),tblData[[#This Row],[Italy LogiP(t)]]/$AT$9,"")</f>
        <v>0.1583628730928473</v>
      </c>
      <c r="AV22" s="11">
        <f>IF(ISNUMBER(tblData[[#This Row],[Days'# US]]),betaUS/(deltaUS+betaPodeltaUS*EXP(-betaUS*tblData[Days'# US])),"")</f>
        <v>4.7990298911100897E-2</v>
      </c>
      <c r="AW22" s="11" t="str">
        <f>IF(AND(tblData[Date]&gt;=StartDt2US,ISNUMBER(tblData[US])),(tblData[[#This Row],[US LogiP(t)]]-tblData[US])^2,"")</f>
        <v/>
      </c>
      <c r="AX22" s="11">
        <f>IF(ISNUMBER(tblData[[#This Row],[Days'# US]]),tblData[[#This Row],[US LogiP(t)]]/$AW$9,"")</f>
        <v>1.4576626512851959E-3</v>
      </c>
      <c r="AY22" s="11" t="str">
        <f>IF(tblData[Date]&gt;=StartDt2Korea,betaSKorea/(deltaSKorea+betaPodeltaSKorea*EXP(-betaSKorea*(tblData[Date]-StartDt2Korea))),"")</f>
        <v/>
      </c>
      <c r="AZ22" s="11" t="str">
        <f>IF(AND(tblData[Date]&gt;=StartDt2Korea,ISNUMBER(tblData[SKorea])),(tblData[[#This Row],[SKorea LogiP(t)]]-tblData[[#This Row],[SKorea]])^2,"")</f>
        <v/>
      </c>
      <c r="BA22" s="11" t="str">
        <f>IF(tblData[Date]&gt;=StartDt2Korea,tblData[[#This Row],[SKorea LogiP(t)]]/$AZ$9,"")</f>
        <v/>
      </c>
      <c r="BB22" s="11">
        <f>IF(ISNUMBER(tblData[Days'# UK]),betaUK/(deltaUK+betaPodeltaUK*EXP(-betaUK*tblData[Days'# UK])),"")</f>
        <v>6.5756934756236923E-2</v>
      </c>
      <c r="BC22" s="11">
        <f>IF(ISNUMBER(tblData[UK]),(tblData[[#This Row],[UK LogiP(t)]]-tblData[[#This Row],[UK]])^2,"")</f>
        <v>3.7412962354435879</v>
      </c>
      <c r="BD22" s="11">
        <f>IF(ISNUMBER(tblData[Days'# UK]),tblData[[#This Row],[UK LogiP(t)]]/$BC$9,"")</f>
        <v>9.8971906616852675E-3</v>
      </c>
      <c r="BE22" s="11">
        <f>IF(ISNUMBER(tblData[Days'# China]),betaChina/(deltaChina+betaPodeltaChina*EXP(-betaChina*tblData[Days'# China])),"")</f>
        <v>14759.375280770868</v>
      </c>
      <c r="BF22" s="11">
        <f>IF(ISNUMBER(tblData[China]),(tblData[[#This Row],[China LogiP(t)]]-tblData[[#This Row],[China]])^2,"")</f>
        <v>3499236.8401910691</v>
      </c>
      <c r="BG22" s="11">
        <f>tblData[[#This Row],[China LogiP(t)]]/$BF$9</f>
        <v>102.54381624813004</v>
      </c>
      <c r="BH22" s="11">
        <f>IF(ISNUMBER(tblData[Day'# Singapore]),betaSingapore/(deltaSingapore+betaPodeltaSingapore*EXP(-betaSingapore*tblData[Day'# Singapore])),"")</f>
        <v>11.779487916621559</v>
      </c>
      <c r="BI22" s="11">
        <f>IF(AND(ISNUMBER(tblData[Singapore]),tblData[Date]&gt;=StartDt2Singapore),(tblData[[#This Row],[Singapore LogiP(t)]]-tblData[[#This Row],[Singapore]])^2,"")</f>
        <v>38.694770579457199</v>
      </c>
      <c r="BJ22" s="11">
        <f>IF(ISNUMBER(tblData[Day'# Singapore]),tblData[Singapore LogiP(t)]/$BI$9,"")</f>
        <v>20.135876780549673</v>
      </c>
      <c r="BK22" s="11">
        <f>IF(ISNUMBER(tblData[Day'# Generic]),betaGeneric/(deltaGeneric+betaPodeltaGeneric*EXP(-betaGeneric*tblData[Day'# Generic])),"")</f>
        <v>13972.035946590142</v>
      </c>
      <c r="BL22" s="11">
        <f>IF(AND(ISNUMBER(tblData[Generic]),tblData[Date]&gt;=StartDt2Generic),(tblData[Generic LogiP(t)]-tblData[[#This Row],[Generic]])^2,"")</f>
        <v>7812225.9427310508</v>
      </c>
      <c r="BM22" s="11">
        <f>IF(ISNUMBER(tblData[Day'# Generic]),tblData[Generic LogiP(t)]/$BL$9,"")</f>
        <v>2388.3822130923322</v>
      </c>
      <c r="BO22" s="11"/>
      <c r="BP22" s="11" t="str">
        <f>IF(ISNUMBER(tblData[[#This Row],[Tests]]),tblData[[#This Row],[Tests]]-BP21,"")</f>
        <v/>
      </c>
      <c r="BQ22" s="11" t="str">
        <f>IF(ISNUMBER(tblData[[#This Row],[NSW Under Investigation'']]),tblData[[#This Row],[NSW Under Investigation'']]-BO21,"")</f>
        <v/>
      </c>
      <c r="BR22" s="11"/>
      <c r="BS22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22" s="11" t="str">
        <f>IF(tblData[Tests]&gt;0,(tblData[[#This Row],[Tests]]-tblData[[#This Row],[NSW Test Logi]])^2,"")</f>
        <v/>
      </c>
      <c r="BU22" s="11" t="str">
        <f>IF(ISNUMBER(tblData[Tests]),tblData[Tests]/$BS$9/100,"")</f>
        <v/>
      </c>
      <c r="BV22" s="11" t="str">
        <f>IF(AND(tblData[[#This Row],[NSW Test Day Number]]&gt;0,ISNUMBER(tblData[[#This Row],[NSW Test Day Number]])),TestsLogestB*TestsLogestM^tblData[[#This Row],[NSW Test Day Number]],"")</f>
        <v/>
      </c>
      <c r="BW22" s="11" t="str">
        <f>IF(AND(tblData[[#This Row],[NSW Test Day Number]]&gt;0,ISNUMBER(tblData[Tests])),(tblData[Tests]-tblData[[#This Row],[NSW Test Per Capita]])^2,"")</f>
        <v/>
      </c>
      <c r="BX22" s="11"/>
      <c r="BY22" s="11"/>
      <c r="BZ22" s="26"/>
      <c r="CB22" s="25"/>
      <c r="CD22" s="25"/>
      <c r="CK22"/>
      <c r="CL22"/>
      <c r="CN22" s="25"/>
      <c r="CO22" s="25"/>
      <c r="CP22" s="25"/>
      <c r="DC22"/>
      <c r="DD22"/>
      <c r="DG22" s="25"/>
      <c r="DH22" s="25"/>
      <c r="DS22" s="26">
        <f t="shared" si="5"/>
        <v>43874</v>
      </c>
      <c r="DT22" s="25">
        <v>0.1</v>
      </c>
      <c r="DV22"/>
      <c r="DW22"/>
      <c r="DX22"/>
      <c r="DY22" s="25" t="s">
        <v>48</v>
      </c>
      <c r="DZ22" s="76">
        <v>43913.689016203702</v>
      </c>
      <c r="EA22" s="26">
        <v>43855</v>
      </c>
      <c r="EB22" s="26">
        <v>43855</v>
      </c>
      <c r="EC22" s="25">
        <v>0</v>
      </c>
      <c r="ED22" s="25">
        <v>0.20972306828053236</v>
      </c>
      <c r="EE22" s="95">
        <v>1.0000000000276037E-12</v>
      </c>
      <c r="EF22" s="25">
        <v>8.5841244238156391E-3</v>
      </c>
      <c r="EG22" s="96">
        <v>209723068274.74323</v>
      </c>
      <c r="EH22" s="25">
        <v>11.300897407235656</v>
      </c>
      <c r="EI22" s="25">
        <v>24.431503776747679</v>
      </c>
      <c r="EJ22" s="98">
        <v>1.0000000000276037E-9</v>
      </c>
      <c r="EK22" s="26">
        <v>43913</v>
      </c>
      <c r="EL22" s="25" t="s">
        <v>1367</v>
      </c>
      <c r="EM22" s="25">
        <v>209723068274.74323</v>
      </c>
      <c r="EN22" s="99">
        <v>1642</v>
      </c>
      <c r="EO22" s="25" t="s">
        <v>1368</v>
      </c>
      <c r="EP22" s="26">
        <v>43913</v>
      </c>
      <c r="EQ22" s="25">
        <v>59</v>
      </c>
      <c r="ER22" s="25" t="s">
        <v>1369</v>
      </c>
      <c r="ES22" s="25"/>
      <c r="ET22" s="25" t="s">
        <v>1370</v>
      </c>
      <c r="EU22" s="25"/>
      <c r="EV22" s="25" t="s">
        <v>1371</v>
      </c>
      <c r="EW22" s="25">
        <v>647.37423119381799</v>
      </c>
      <c r="EX22" s="82"/>
      <c r="EY22" s="25"/>
      <c r="EZ22" s="82"/>
      <c r="FB22" s="25" t="s">
        <v>1366</v>
      </c>
      <c r="FC22" s="25"/>
      <c r="FD22" s="25"/>
      <c r="FE22" s="25"/>
    </row>
    <row r="23" spans="2:163" x14ac:dyDescent="0.25">
      <c r="B23" s="1">
        <v>43864</v>
      </c>
      <c r="C23">
        <v>0</v>
      </c>
      <c r="D23" s="25">
        <v>0</v>
      </c>
      <c r="E23">
        <v>4</v>
      </c>
      <c r="F23">
        <v>0</v>
      </c>
      <c r="G23">
        <v>2</v>
      </c>
      <c r="H23">
        <v>2</v>
      </c>
      <c r="I23">
        <v>0</v>
      </c>
      <c r="J23">
        <v>4</v>
      </c>
      <c r="K23">
        <v>0</v>
      </c>
      <c r="L23" s="12">
        <f>IF(ISNUMBER(tblData[[#This Row],[NSW]]),tblData[[#This Row],[New South Wales]]/$L$9,"")</f>
        <v>4.9504950495049505</v>
      </c>
      <c r="M23" s="25">
        <v>2</v>
      </c>
      <c r="N23" s="46">
        <f>IF(ISNUMBER(tblData[Italy]),tblData[Italy]/$N$9,"")</f>
        <v>0.33066049433743905</v>
      </c>
      <c r="O23">
        <v>11</v>
      </c>
      <c r="P23" s="124">
        <f>IF(ISNUMBER(tblData[US]),tblData[US]/$P$9,"")</f>
        <v>0.33411521761595392</v>
      </c>
      <c r="Q23">
        <v>15</v>
      </c>
      <c r="R23" s="19">
        <f>IF(ISNUMBER(tblData[SKorea]),tblData[SKorea]/$R$9,"")</f>
        <v>2.918287937743191</v>
      </c>
      <c r="S23">
        <v>2</v>
      </c>
      <c r="T23" s="12">
        <f>IF(ISNUMBER(tblData[UK]),tblData[UK]/$T$9,"")</f>
        <v>0.30102347983142685</v>
      </c>
      <c r="U23">
        <v>19716</v>
      </c>
      <c r="V23" s="20">
        <f>IF(ISNUMBER(tblData[China]),tblData[China]/$V$9,"")</f>
        <v>136.98099294095175</v>
      </c>
      <c r="W23">
        <v>18</v>
      </c>
      <c r="X23" s="20">
        <f>IF(ISNUMBER(tblData[Singapore]),tblData[Singapore]/$X$9,"")</f>
        <v>30.76923076923077</v>
      </c>
      <c r="Y23">
        <v>13522</v>
      </c>
      <c r="Z23" s="20">
        <f>IF(AND(LEN(tblData[Generic])&gt;0,ISNUMBER(tblData[Generic])),tblData[Generic]/$Z$9,"")</f>
        <v>2311.4529914529917</v>
      </c>
      <c r="AA23" s="25">
        <f>IF(tblData[[#This Row],[Date]]&lt;ItalyStart,"",tblData[[#This Row],[Date]]-ItalyStart)</f>
        <v>4</v>
      </c>
      <c r="AB23" s="25">
        <f>IF(tblData[[#This Row],[Date]]&lt;USStart,"",tblData[[#This Row],[Date]]-USStart)</f>
        <v>12</v>
      </c>
      <c r="AC23" s="25">
        <f>IF(tblData[[#This Row],[Date]]&lt;ChinaStart,"",tblData[[#This Row],[Date]]-ChinaStart)</f>
        <v>12</v>
      </c>
      <c r="AD23" s="25" t="str">
        <f>IF(tblData[[#This Row],[Date]]&lt;StartDt2Korea,"",tblData[[#This Row],[Date]]-StartDt2Korea)</f>
        <v/>
      </c>
      <c r="AE23" s="25">
        <f>IF(tblData[[#This Row],[Date]]&lt;UKStart,"",tblData[[#This Row],[Date]]-UKStart)</f>
        <v>4</v>
      </c>
      <c r="AF23" s="25">
        <f>IF(tblData[[#This Row],[Date]]&lt;SingaporeStart,"",tblData[[#This Row],[Date]]-SingaporeStart)</f>
        <v>11</v>
      </c>
      <c r="AG23" s="25">
        <f>IF(tblData[[#This Row],[Date]]&lt;GenStart,"",tblData[[#This Row],[Date]]-GenStart)</f>
        <v>12</v>
      </c>
      <c r="AH23">
        <f>IF(tblData[Date]&gt;=StartDt2Au,tblData[Date]-StartDt2Au,"")</f>
        <v>9</v>
      </c>
      <c r="AI23" s="25">
        <f>IF(tblData[New South Wales]&gt;0,SUM(tblData[[#This Row],[Australian Capital Territory]:[Western Australia]]),"")</f>
        <v>12</v>
      </c>
      <c r="AJ23" s="12">
        <f>IF(ISNUMBER(tblData[Au]),tblData[Au]/$AE$9,"")</f>
        <v>4.731114966093676</v>
      </c>
      <c r="AK23" s="19">
        <f>IF(ISNUMBER(tblData[[#This Row],[Day'# Aust]]),betaAu/(deltaAu+betaPodeltaAu*EXP(-betaAu*tblData[[#This Row],[Day'# Aust]])),"")</f>
        <v>9.6589543200966271E-3</v>
      </c>
      <c r="AL23" s="66">
        <f>IF(ISNUMBER(tblData[Day'# Aust]),tblData[Au LogiP(t)]/$AJ$9,"")</f>
        <v>3.8081352783853602E-3</v>
      </c>
      <c r="AM23" s="11">
        <f>IF(AND(tblData[Date]&gt;=StartDt2Au,ISNUMBER(tblData[NSW])),(tblData[[#This Row],[Au LogiP(t)]]-tblData[[#This Row],[Au]])^2,"")</f>
        <v>143.76827839171625</v>
      </c>
      <c r="AN23">
        <f>IF(tblData[Date]&gt;StartDt2NSW,tblData[Date]-StartDt2NSW,"")</f>
        <v>9</v>
      </c>
      <c r="AO23">
        <f t="shared" si="4"/>
        <v>4</v>
      </c>
      <c r="AP23" s="11">
        <f>IF(tblData[Date]&gt;StartDt2NSW,betaNSW/(deltaNSW+betaPodeltaNSW*EXP(-betaNSW*tblData[[#This Row],[Day '# NSW]])),"")</f>
        <v>2.7304496921619448E-2</v>
      </c>
      <c r="AQ23" s="12">
        <f>IF(AND(ISNUMBER(tblData[NSW]),tblData[Date]&gt;StartDt2NSW),(tblData[[#This Row],[NSW LogiP(t)]]-tblData[[#This Row],[NSW]])^2,"")</f>
        <v>15.782309560179188</v>
      </c>
      <c r="AR23" s="12">
        <f>IF(AND(tblData[Date]&gt;StartDt2NSW,ISNUMBER(tblData[Day'# Aust])),tblData[NSW LogiP(t)]/$AQ$9,"")</f>
        <v>3.3792694209925055E-2</v>
      </c>
      <c r="AS23" s="11">
        <f>IF(AND(tblData[Date]&gt;StartDt2Italy,ISNUMBER(tblData[Days'# Italy])),betaItaly/(deltaItaly+betaPodeltaItaly*EXP(-betaItaly*tblData[Days'# Italy])),"")</f>
        <v>1.2392027025364367</v>
      </c>
      <c r="AT23" s="11">
        <f>IF(AND(tblData[Date]&gt;StartDt2Italy,ISNUMBER(tblData[Italy])),(tblData[[#This Row],[Italy LogiP(t)]]-tblData[[#This Row],[Italy]])^2,"")</f>
        <v>0.57881252782786163</v>
      </c>
      <c r="AU23" s="41">
        <f>IF(AND(tblData[Date]&gt;StartDt2Italy,ISNUMBER(tblData[Days'# Italy])),tblData[[#This Row],[Italy LogiP(t)]]/$AT$9,"")</f>
        <v>0.20487768910249429</v>
      </c>
      <c r="AV23" s="11">
        <f>IF(ISNUMBER(tblData[[#This Row],[Days'# US]]),betaUS/(deltaUS+betaPodeltaUS*EXP(-betaUS*tblData[Days'# US])),"")</f>
        <v>6.332870432330813E-2</v>
      </c>
      <c r="AW23" s="11" t="str">
        <f>IF(AND(tblData[Date]&gt;=StartDt2US,ISNUMBER(tblData[US])),(tblData[[#This Row],[US LogiP(t)]]-tblData[US])^2,"")</f>
        <v/>
      </c>
      <c r="AX23" s="11">
        <f>IF(ISNUMBER(tblData[[#This Row],[Days'# US]]),tblData[[#This Row],[US LogiP(t)]]/$AW$9,"")</f>
        <v>1.9235530751198636E-3</v>
      </c>
      <c r="AY23" s="11" t="str">
        <f>IF(tblData[Date]&gt;=StartDt2Korea,betaSKorea/(deltaSKorea+betaPodeltaSKorea*EXP(-betaSKorea*(tblData[Date]-StartDt2Korea))),"")</f>
        <v/>
      </c>
      <c r="AZ23" s="11" t="str">
        <f>IF(AND(tblData[Date]&gt;=StartDt2Korea,ISNUMBER(tblData[SKorea])),(tblData[[#This Row],[SKorea LogiP(t)]]-tblData[[#This Row],[SKorea]])^2,"")</f>
        <v/>
      </c>
      <c r="BA23" s="11" t="str">
        <f>IF(tblData[Date]&gt;=StartDt2Korea,tblData[[#This Row],[SKorea LogiP(t)]]/$AZ$9,"")</f>
        <v/>
      </c>
      <c r="BB23" s="11">
        <f>IF(ISNUMBER(tblData[Days'# UK]),betaUK/(deltaUK+betaPodeltaUK*EXP(-betaUK*tblData[Days'# UK])),"")</f>
        <v>8.3373154613352957E-2</v>
      </c>
      <c r="BC23" s="11">
        <f>IF(ISNUMBER(tblData[UK]),(tblData[[#This Row],[UK LogiP(t)]]-tblData[[#This Row],[UK]])^2,"")</f>
        <v>3.6734584644567705</v>
      </c>
      <c r="BD23" s="11">
        <f>IF(ISNUMBER(tblData[Days'# UK]),tblData[[#This Row],[UK LogiP(t)]]/$BC$9,"")</f>
        <v>1.2548638563117543E-2</v>
      </c>
      <c r="BE23" s="11">
        <f>IF(ISNUMBER(tblData[Days'# China]),betaChina/(deltaChina+betaPodeltaChina*EXP(-betaChina*tblData[Days'# China])),"")</f>
        <v>17631.752243411858</v>
      </c>
      <c r="BF23" s="11">
        <f>IF(ISNUMBER(tblData[China]),(tblData[[#This Row],[China LogiP(t)]]-tblData[[#This Row],[China]])^2,"")</f>
        <v>4344088.7108427016</v>
      </c>
      <c r="BG23" s="11">
        <f>tblData[[#This Row],[China LogiP(t)]]/$BF$9</f>
        <v>122.50025002999644</v>
      </c>
      <c r="BH23" s="11">
        <f>IF(ISNUMBER(tblData[Day'# Singapore]),betaSingapore/(deltaSingapore+betaPodeltaSingapore*EXP(-betaSingapore*tblData[Day'# Singapore])),"")</f>
        <v>12.69029030312678</v>
      </c>
      <c r="BI23" s="11">
        <f>IF(AND(ISNUMBER(tblData[Singapore]),tblData[Date]&gt;=StartDt2Singapore),(tblData[[#This Row],[Singapore LogiP(t)]]-tblData[[#This Row],[Singapore]])^2,"")</f>
        <v>28.193017065069505</v>
      </c>
      <c r="BJ23" s="11">
        <f>IF(ISNUMBER(tblData[Day'# Singapore]),tblData[Singapore LogiP(t)]/$BI$9,"")</f>
        <v>21.692803936968854</v>
      </c>
      <c r="BK23" s="11">
        <f>IF(ISNUMBER(tblData[Day'# Generic]),betaGeneric/(deltaGeneric+betaPodeltaGeneric*EXP(-betaGeneric*tblData[Day'# Generic])),"")</f>
        <v>16561.097702417384</v>
      </c>
      <c r="BL23" s="11">
        <f>IF(AND(ISNUMBER(tblData[Generic]),tblData[Date]&gt;=StartDt2Generic),(tblData[Generic LogiP(t)]-tblData[[#This Row],[Generic]])^2,"")</f>
        <v>9236114.8448386248</v>
      </c>
      <c r="BM23" s="11">
        <f>IF(ISNUMBER(tblData[Day'# Generic]),tblData[Generic LogiP(t)]/$BL$9,"")</f>
        <v>2830.9568722080999</v>
      </c>
      <c r="BO23" s="11"/>
      <c r="BP23" s="11" t="str">
        <f>IF(ISNUMBER(tblData[[#This Row],[Tests]]),tblData[[#This Row],[Tests]]-BP22,"")</f>
        <v/>
      </c>
      <c r="BQ23" s="11" t="str">
        <f>IF(ISNUMBER(tblData[[#This Row],[NSW Under Investigation'']]),tblData[[#This Row],[NSW Under Investigation'']]-BO22,"")</f>
        <v/>
      </c>
      <c r="BR23" s="11"/>
      <c r="BS23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23" s="11" t="str">
        <f>IF(tblData[Tests]&gt;0,(tblData[[#This Row],[Tests]]-tblData[[#This Row],[NSW Test Logi]])^2,"")</f>
        <v/>
      </c>
      <c r="BU23" s="11" t="str">
        <f>IF(ISNUMBER(tblData[Tests]),tblData[Tests]/$BS$9/100,"")</f>
        <v/>
      </c>
      <c r="BV23" s="11" t="str">
        <f>IF(AND(tblData[[#This Row],[NSW Test Day Number]]&gt;0,ISNUMBER(tblData[[#This Row],[NSW Test Day Number]])),TestsLogestB*TestsLogestM^tblData[[#This Row],[NSW Test Day Number]],"")</f>
        <v/>
      </c>
      <c r="BW23" s="11" t="str">
        <f>IF(AND(tblData[[#This Row],[NSW Test Day Number]]&gt;0,ISNUMBER(tblData[Tests])),(tblData[Tests]-tblData[[#This Row],[NSW Test Per Capita]])^2,"")</f>
        <v/>
      </c>
      <c r="BX23" s="11"/>
      <c r="BY23" s="11"/>
      <c r="BZ23" s="26"/>
      <c r="CB23" s="25"/>
      <c r="CD23" s="25"/>
      <c r="CK23"/>
      <c r="CL23"/>
      <c r="CN23" s="25"/>
      <c r="CO23" s="25"/>
      <c r="CP23" s="25"/>
      <c r="DC23"/>
      <c r="DD23"/>
      <c r="DG23" s="25"/>
      <c r="DH23" s="25"/>
      <c r="DV23"/>
      <c r="DW23"/>
      <c r="DX23"/>
      <c r="DY23" s="25" t="s">
        <v>48</v>
      </c>
      <c r="DZ23" s="76">
        <v>43913.916122685187</v>
      </c>
      <c r="EA23" s="26">
        <v>43855</v>
      </c>
      <c r="EB23" s="26">
        <v>43855</v>
      </c>
      <c r="EC23" s="25">
        <v>0</v>
      </c>
      <c r="ED23" s="25">
        <v>0.21478671329488938</v>
      </c>
      <c r="EE23" s="25">
        <v>1.0000000000276037E-12</v>
      </c>
      <c r="EF23" s="25">
        <v>6.554369625399732E-3</v>
      </c>
      <c r="EG23" s="95">
        <v>214786713288.96048</v>
      </c>
      <c r="EH23" s="25">
        <v>12.341461769254712</v>
      </c>
      <c r="EI23" s="25">
        <v>32.77000315370276</v>
      </c>
      <c r="EJ23" s="97">
        <v>1.0000000000276037E-9</v>
      </c>
      <c r="EK23" s="26">
        <v>43913</v>
      </c>
      <c r="EL23" s="25" t="s">
        <v>1373</v>
      </c>
      <c r="EM23" s="25">
        <v>214786713288.96048</v>
      </c>
      <c r="EN23" s="98">
        <v>1711</v>
      </c>
      <c r="EO23" s="25" t="s">
        <v>1374</v>
      </c>
      <c r="EP23" s="26">
        <v>43913</v>
      </c>
      <c r="EQ23" s="25">
        <v>59</v>
      </c>
      <c r="ER23" s="25" t="s">
        <v>1375</v>
      </c>
      <c r="ES23" s="25"/>
      <c r="ET23" s="25" t="s">
        <v>1376</v>
      </c>
      <c r="EU23" s="25"/>
      <c r="EV23" s="25" t="s">
        <v>1377</v>
      </c>
      <c r="EW23" s="25">
        <v>674.57814224885669</v>
      </c>
      <c r="EX23" s="82"/>
      <c r="EY23" s="25"/>
      <c r="EZ23" s="82"/>
      <c r="FB23" s="25" t="s">
        <v>1372</v>
      </c>
      <c r="FC23" s="25"/>
      <c r="FD23" s="25"/>
      <c r="FE23" s="25"/>
    </row>
    <row r="24" spans="2:163" x14ac:dyDescent="0.25">
      <c r="B24" s="1">
        <v>43865</v>
      </c>
      <c r="C24">
        <v>0</v>
      </c>
      <c r="D24" s="25">
        <v>0</v>
      </c>
      <c r="E24">
        <v>4</v>
      </c>
      <c r="F24">
        <v>0</v>
      </c>
      <c r="G24">
        <v>3</v>
      </c>
      <c r="H24">
        <v>2</v>
      </c>
      <c r="I24">
        <v>0</v>
      </c>
      <c r="J24">
        <v>4</v>
      </c>
      <c r="K24">
        <v>0</v>
      </c>
      <c r="L24" s="12">
        <f>IF(ISNUMBER(tblData[[#This Row],[NSW]]),tblData[[#This Row],[New South Wales]]/$L$9,"")</f>
        <v>4.9504950495049505</v>
      </c>
      <c r="M24" s="25">
        <v>2</v>
      </c>
      <c r="N24" s="46">
        <f>IF(ISNUMBER(tblData[Italy]),tblData[Italy]/$N$9,"")</f>
        <v>0.33066049433743905</v>
      </c>
      <c r="O24">
        <v>11</v>
      </c>
      <c r="P24" s="124">
        <f>IF(ISNUMBER(tblData[US]),tblData[US]/$P$9,"")</f>
        <v>0.33411521761595392</v>
      </c>
      <c r="Q24">
        <v>16</v>
      </c>
      <c r="R24" s="19">
        <f>IF(ISNUMBER(tblData[SKorea]),tblData[SKorea]/$R$9,"")</f>
        <v>3.1128404669260701</v>
      </c>
      <c r="S24">
        <v>2</v>
      </c>
      <c r="T24" s="12">
        <f>IF(ISNUMBER(tblData[UK]),tblData[UK]/$T$9,"")</f>
        <v>0.30102347983142685</v>
      </c>
      <c r="U24">
        <v>23707</v>
      </c>
      <c r="V24" s="20">
        <f>IF(ISNUMBER(tblData[China]),tblData[China]/$V$9,"")</f>
        <v>164.7092919279338</v>
      </c>
      <c r="W24">
        <v>24</v>
      </c>
      <c r="X24" s="20">
        <f>IF(ISNUMBER(tblData[Singapore]),tblData[Singapore]/$X$9,"")</f>
        <v>41.025641025641029</v>
      </c>
      <c r="Y24">
        <v>16678</v>
      </c>
      <c r="Z24" s="20">
        <f>IF(AND(LEN(tblData[Generic])&gt;0,ISNUMBER(tblData[Generic])),tblData[Generic]/$Z$9,"")</f>
        <v>2850.9401709401709</v>
      </c>
      <c r="AA24" s="25">
        <f>IF(tblData[[#This Row],[Date]]&lt;ItalyStart,"",tblData[[#This Row],[Date]]-ItalyStart)</f>
        <v>5</v>
      </c>
      <c r="AB24" s="25">
        <f>IF(tblData[[#This Row],[Date]]&lt;USStart,"",tblData[[#This Row],[Date]]-USStart)</f>
        <v>13</v>
      </c>
      <c r="AC24" s="25">
        <f>IF(tblData[[#This Row],[Date]]&lt;ChinaStart,"",tblData[[#This Row],[Date]]-ChinaStart)</f>
        <v>13</v>
      </c>
      <c r="AD24" s="25" t="str">
        <f>IF(tblData[[#This Row],[Date]]&lt;StartDt2Korea,"",tblData[[#This Row],[Date]]-StartDt2Korea)</f>
        <v/>
      </c>
      <c r="AE24" s="25">
        <f>IF(tblData[[#This Row],[Date]]&lt;UKStart,"",tblData[[#This Row],[Date]]-UKStart)</f>
        <v>5</v>
      </c>
      <c r="AF24" s="25">
        <f>IF(tblData[[#This Row],[Date]]&lt;SingaporeStart,"",tblData[[#This Row],[Date]]-SingaporeStart)</f>
        <v>12</v>
      </c>
      <c r="AG24" s="25">
        <f>IF(tblData[[#This Row],[Date]]&lt;GenStart,"",tblData[[#This Row],[Date]]-GenStart)</f>
        <v>13</v>
      </c>
      <c r="AH24">
        <f>IF(tblData[Date]&gt;=StartDt2Au,tblData[Date]-StartDt2Au,"")</f>
        <v>10</v>
      </c>
      <c r="AI24" s="25">
        <f>IF(tblData[New South Wales]&gt;0,SUM(tblData[[#This Row],[Australian Capital Territory]:[Western Australia]]),"")</f>
        <v>13</v>
      </c>
      <c r="AJ24" s="12">
        <f>IF(ISNUMBER(tblData[Au]),tblData[Au]/$AE$9,"")</f>
        <v>5.1253745466014822</v>
      </c>
      <c r="AK24" s="19">
        <f>IF(ISNUMBER(tblData[[#This Row],[Day'# Aust]]),betaAu/(deltaAu+betaPodeltaAu*EXP(-betaAu*tblData[[#This Row],[Day'# Aust]])),"")</f>
        <v>1.2427010916349271E-2</v>
      </c>
      <c r="AL24" s="66">
        <f>IF(ISNUMBER(tblData[Day'# Aust]),tblData[Au LogiP(t)]/$AJ$9,"")</f>
        <v>4.8994681108457941E-3</v>
      </c>
      <c r="AM24" s="11">
        <f>IF(AND(tblData[Date]&gt;=StartDt2Au,ISNUMBER(tblData[NSW])),(tblData[[#This Row],[Au LogiP(t)]]-tblData[[#This Row],[Au]])^2,"")</f>
        <v>168.67705214677522</v>
      </c>
      <c r="AN24">
        <f>IF(tblData[Date]&gt;StartDt2NSW,tblData[Date]-StartDt2NSW,"")</f>
        <v>10</v>
      </c>
      <c r="AO24">
        <f t="shared" si="4"/>
        <v>4</v>
      </c>
      <c r="AP24" s="11">
        <f>IF(tblData[Date]&gt;StartDt2NSW,betaNSW/(deltaNSW+betaPodeltaNSW*EXP(-betaNSW*tblData[[#This Row],[Day '# NSW]])),"")</f>
        <v>3.363631232603307E-2</v>
      </c>
      <c r="AQ24" s="12">
        <f>IF(AND(ISNUMBER(tblData[NSW]),tblData[Date]&gt;StartDt2NSW),(tblData[[#This Row],[NSW LogiP(t)]]-tblData[[#This Row],[NSW]])^2,"")</f>
        <v>15.73204090289863</v>
      </c>
      <c r="AR24" s="12">
        <f>IF(AND(tblData[Date]&gt;StartDt2NSW,ISNUMBER(tblData[Day'# Aust])),tblData[NSW LogiP(t)]/$AQ$9,"")</f>
        <v>4.1629099413407263E-2</v>
      </c>
      <c r="AS24" s="11">
        <f>IF(AND(tblData[Date]&gt;StartDt2Italy,ISNUMBER(tblData[Days'# Italy])),betaItaly/(deltaItaly+betaPodeltaItaly*EXP(-betaItaly*tblData[Days'# Italy])),"")</f>
        <v>1.6031832791209302</v>
      </c>
      <c r="AT24" s="11">
        <f>IF(AND(tblData[Date]&gt;StartDt2Italy,ISNUMBER(tblData[Italy])),(tblData[[#This Row],[Italy LogiP(t)]]-tblData[[#This Row],[Italy]])^2,"")</f>
        <v>0.15746350996921762</v>
      </c>
      <c r="AU24" s="41">
        <f>IF(AND(tblData[Date]&gt;StartDt2Italy,ISNUMBER(tblData[Days'# Italy])),tblData[[#This Row],[Italy LogiP(t)]]/$AT$9,"")</f>
        <v>0.26505468779382163</v>
      </c>
      <c r="AV24" s="11">
        <f>IF(ISNUMBER(tblData[[#This Row],[Days'# US]]),betaUS/(deltaUS+betaPodeltaUS*EXP(-betaUS*tblData[Days'# US])),"")</f>
        <v>8.3569487528402431E-2</v>
      </c>
      <c r="AW24" s="11" t="str">
        <f>IF(AND(tblData[Date]&gt;=StartDt2US,ISNUMBER(tblData[US])),(tblData[[#This Row],[US LogiP(t)]]-tblData[US])^2,"")</f>
        <v/>
      </c>
      <c r="AX24" s="11">
        <f>IF(ISNUMBER(tblData[[#This Row],[Days'# US]]),tblData[[#This Row],[US LogiP(t)]]/$AW$9,"")</f>
        <v>2.538348864691448E-3</v>
      </c>
      <c r="AY24" s="11" t="str">
        <f>IF(tblData[Date]&gt;=StartDt2Korea,betaSKorea/(deltaSKorea+betaPodeltaSKorea*EXP(-betaSKorea*(tblData[Date]-StartDt2Korea))),"")</f>
        <v/>
      </c>
      <c r="AZ24" s="11" t="str">
        <f>IF(AND(tblData[Date]&gt;=StartDt2Korea,ISNUMBER(tblData[SKorea])),(tblData[[#This Row],[SKorea LogiP(t)]]-tblData[[#This Row],[SKorea]])^2,"")</f>
        <v/>
      </c>
      <c r="BA24" s="11" t="str">
        <f>IF(tblData[Date]&gt;=StartDt2Korea,tblData[[#This Row],[SKorea LogiP(t)]]/$AZ$9,"")</f>
        <v/>
      </c>
      <c r="BB24" s="11">
        <f>IF(ISNUMBER(tblData[Days'# UK]),betaUK/(deltaUK+betaPodeltaUK*EXP(-betaUK*tblData[Days'# UK])),"")</f>
        <v>0.1057087202549908</v>
      </c>
      <c r="BC24" s="11">
        <f>IF(ISNUMBER(tblData[UK]),(tblData[[#This Row],[UK LogiP(t)]]-tblData[[#This Row],[UK]])^2,"")</f>
        <v>3.5883394525179844</v>
      </c>
      <c r="BD24" s="11">
        <f>IF(ISNUMBER(tblData[Days'# UK]),tblData[[#This Row],[UK LogiP(t)]]/$BC$9,"")</f>
        <v>1.5910403409842084E-2</v>
      </c>
      <c r="BE24" s="11">
        <f>IF(ISNUMBER(tblData[Days'# China]),betaChina/(deltaChina+betaPodeltaChina*EXP(-betaChina*tblData[Days'# China])),"")</f>
        <v>20886.91120498901</v>
      </c>
      <c r="BF24" s="11">
        <f>IF(ISNUMBER(tblData[China]),(tblData[[#This Row],[China LogiP(t)]]-tblData[[#This Row],[China]])^2,"")</f>
        <v>7952900.8117465377</v>
      </c>
      <c r="BG24" s="11">
        <f>tblData[[#This Row],[China LogiP(t)]]/$BF$9</f>
        <v>145.11614101891283</v>
      </c>
      <c r="BH24" s="11">
        <f>IF(ISNUMBER(tblData[Day'# Singapore]),betaSingapore/(deltaSingapore+betaPodeltaSingapore*EXP(-betaSingapore*tblData[Day'# Singapore])),"")</f>
        <v>13.671516887439516</v>
      </c>
      <c r="BI24" s="11">
        <f>IF(AND(ISNUMBER(tblData[Singapore]),tblData[Date]&gt;=StartDt2Singapore),(tblData[[#This Row],[Singapore LogiP(t)]]-tblData[[#This Row],[Singapore]])^2,"")</f>
        <v>106.67756340644711</v>
      </c>
      <c r="BJ24" s="11">
        <f>IF(ISNUMBER(tblData[Day'# Singapore]),tblData[Singapore LogiP(t)]/$BI$9,"")</f>
        <v>23.370114337503448</v>
      </c>
      <c r="BK24" s="11">
        <f>IF(ISNUMBER(tblData[Day'# Generic]),betaGeneric/(deltaGeneric+betaPodeltaGeneric*EXP(-betaGeneric*tblData[Day'# Generic])),"")</f>
        <v>19454.925677471136</v>
      </c>
      <c r="BL24" s="11">
        <f>IF(AND(ISNUMBER(tblData[Generic]),tblData[Date]&gt;=StartDt2Generic),(tblData[Generic LogiP(t)]-tblData[[#This Row],[Generic]])^2,"")</f>
        <v>7711316.2181985257</v>
      </c>
      <c r="BM24" s="11">
        <f>IF(ISNUMBER(tblData[Day'# Generic]),tblData[Generic LogiP(t)]/$BL$9,"")</f>
        <v>3325.6283209352373</v>
      </c>
      <c r="BO24" s="11"/>
      <c r="BP24" s="11" t="str">
        <f>IF(ISNUMBER(tblData[[#This Row],[Tests]]),tblData[[#This Row],[Tests]]-BP23,"")</f>
        <v/>
      </c>
      <c r="BQ24" s="11" t="str">
        <f>IF(ISNUMBER(tblData[[#This Row],[NSW Under Investigation'']]),tblData[[#This Row],[NSW Under Investigation'']]-BO23,"")</f>
        <v/>
      </c>
      <c r="BR24" s="11"/>
      <c r="BS24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24" s="11" t="str">
        <f>IF(tblData[Tests]&gt;0,(tblData[[#This Row],[Tests]]-tblData[[#This Row],[NSW Test Logi]])^2,"")</f>
        <v/>
      </c>
      <c r="BU24" s="11" t="str">
        <f>IF(ISNUMBER(tblData[Tests]),tblData[Tests]/$BS$9/100,"")</f>
        <v/>
      </c>
      <c r="BV24" s="11" t="str">
        <f>IF(AND(tblData[[#This Row],[NSW Test Day Number]]&gt;0,ISNUMBER(tblData[[#This Row],[NSW Test Day Number]])),TestsLogestB*TestsLogestM^tblData[[#This Row],[NSW Test Day Number]],"")</f>
        <v/>
      </c>
      <c r="BW24" s="11" t="str">
        <f>IF(AND(tblData[[#This Row],[NSW Test Day Number]]&gt;0,ISNUMBER(tblData[Tests])),(tblData[Tests]-tblData[[#This Row],[NSW Test Per Capita]])^2,"")</f>
        <v/>
      </c>
      <c r="BX24" s="11"/>
      <c r="BY24" s="11"/>
      <c r="BZ24" s="26"/>
      <c r="CB24" s="25"/>
      <c r="CD24" s="25"/>
      <c r="CK24"/>
      <c r="CL24"/>
      <c r="CN24" s="25"/>
      <c r="CO24" s="25"/>
      <c r="CP24" s="25"/>
      <c r="DC24"/>
      <c r="DD24"/>
      <c r="DG24" s="25"/>
      <c r="DH24" s="25"/>
      <c r="DV24"/>
      <c r="DW24"/>
      <c r="DX24"/>
      <c r="DY24" s="26" t="s">
        <v>48</v>
      </c>
      <c r="DZ24" s="76">
        <v>43914.309386574074</v>
      </c>
      <c r="EA24" s="26">
        <v>43855</v>
      </c>
      <c r="EB24" s="26">
        <v>43855</v>
      </c>
      <c r="EC24" s="25">
        <v>0</v>
      </c>
      <c r="ED24" s="25">
        <v>0.21514234654205289</v>
      </c>
      <c r="EE24" s="25">
        <v>1.0000000000276037E-12</v>
      </c>
      <c r="EF24" s="25">
        <v>6.4314818913227033E-3</v>
      </c>
      <c r="EG24" s="95">
        <v>215142346536.11417</v>
      </c>
      <c r="EH24" s="25">
        <v>12.518702367489782</v>
      </c>
      <c r="EI24" s="25">
        <v>33.451442478958782</v>
      </c>
      <c r="EJ24" s="97">
        <v>1.0000000000276037E-9</v>
      </c>
      <c r="EK24" s="26">
        <v>43913</v>
      </c>
      <c r="EL24" s="25" t="s">
        <v>1373</v>
      </c>
      <c r="EM24" s="25">
        <v>215142346536.11417</v>
      </c>
      <c r="EN24" s="98">
        <v>1716</v>
      </c>
      <c r="EO24" s="25" t="s">
        <v>1399</v>
      </c>
      <c r="EP24" s="26">
        <v>43913</v>
      </c>
      <c r="EQ24" s="25">
        <v>59</v>
      </c>
      <c r="ER24" s="25" t="s">
        <v>1400</v>
      </c>
      <c r="ES24" s="25"/>
      <c r="ET24" s="25" t="s">
        <v>1401</v>
      </c>
      <c r="EU24" s="25"/>
      <c r="EV24" s="82" t="s">
        <v>1402</v>
      </c>
      <c r="EW24" s="25">
        <v>676.54944015139563</v>
      </c>
      <c r="EX24" s="82"/>
      <c r="EY24" s="25"/>
      <c r="EZ24" s="25"/>
      <c r="FB24" s="25" t="s">
        <v>1398</v>
      </c>
      <c r="FC24" s="25"/>
      <c r="FD24" s="25"/>
      <c r="FE24" s="25"/>
    </row>
    <row r="25" spans="2:163" ht="18.75" customHeight="1" x14ac:dyDescent="0.25">
      <c r="B25" s="1">
        <v>43866</v>
      </c>
      <c r="C25">
        <v>0</v>
      </c>
      <c r="D25" s="25">
        <v>0</v>
      </c>
      <c r="E25">
        <v>4</v>
      </c>
      <c r="F25">
        <v>0</v>
      </c>
      <c r="G25">
        <v>3</v>
      </c>
      <c r="H25">
        <v>2</v>
      </c>
      <c r="I25">
        <v>0</v>
      </c>
      <c r="J25">
        <v>4</v>
      </c>
      <c r="K25">
        <v>0</v>
      </c>
      <c r="L25" s="12">
        <f>IF(ISNUMBER(tblData[[#This Row],[NSW]]),tblData[[#This Row],[New South Wales]]/$L$9,"")</f>
        <v>4.9504950495049505</v>
      </c>
      <c r="M25" s="25">
        <v>2</v>
      </c>
      <c r="N25" s="46">
        <f>IF(ISNUMBER(tblData[Italy]),tblData[Italy]/$N$9,"")</f>
        <v>0.33066049433743905</v>
      </c>
      <c r="O25">
        <v>11</v>
      </c>
      <c r="P25" s="124">
        <f>IF(ISNUMBER(tblData[US]),tblData[US]/$P$9,"")</f>
        <v>0.33411521761595392</v>
      </c>
      <c r="Q25">
        <v>19</v>
      </c>
      <c r="R25" s="19">
        <f>IF(ISNUMBER(tblData[SKorea]),tblData[SKorea]/$R$9,"")</f>
        <v>3.6964980544747084</v>
      </c>
      <c r="S25">
        <v>2</v>
      </c>
      <c r="T25" s="12">
        <f>IF(ISNUMBER(tblData[UK]),tblData[UK]/$T$9,"")</f>
        <v>0.30102347983142685</v>
      </c>
      <c r="U25">
        <v>27440</v>
      </c>
      <c r="V25" s="20">
        <f>IF(ISNUMBER(tblData[China]),tblData[China]/$V$9,"")</f>
        <v>190.64508248629113</v>
      </c>
      <c r="W25">
        <v>28</v>
      </c>
      <c r="X25" s="20">
        <f>IF(ISNUMBER(tblData[Singapore]),tblData[Singapore]/$X$9,"")</f>
        <v>47.863247863247864</v>
      </c>
      <c r="Y25">
        <v>19665</v>
      </c>
      <c r="Z25" s="20">
        <f>IF(AND(LEN(tblData[Generic])&gt;0,ISNUMBER(tblData[Generic])),tblData[Generic]/$Z$9,"")</f>
        <v>3361.5384615384619</v>
      </c>
      <c r="AA25" s="25">
        <f>IF(tblData[[#This Row],[Date]]&lt;ItalyStart,"",tblData[[#This Row],[Date]]-ItalyStart)</f>
        <v>6</v>
      </c>
      <c r="AB25" s="25">
        <f>IF(tblData[[#This Row],[Date]]&lt;USStart,"",tblData[[#This Row],[Date]]-USStart)</f>
        <v>14</v>
      </c>
      <c r="AC25" s="25">
        <f>IF(tblData[[#This Row],[Date]]&lt;ChinaStart,"",tblData[[#This Row],[Date]]-ChinaStart)</f>
        <v>14</v>
      </c>
      <c r="AD25" s="25" t="str">
        <f>IF(tblData[[#This Row],[Date]]&lt;StartDt2Korea,"",tblData[[#This Row],[Date]]-StartDt2Korea)</f>
        <v/>
      </c>
      <c r="AE25" s="25">
        <f>IF(tblData[[#This Row],[Date]]&lt;UKStart,"",tblData[[#This Row],[Date]]-UKStart)</f>
        <v>6</v>
      </c>
      <c r="AF25" s="25">
        <f>IF(tblData[[#This Row],[Date]]&lt;SingaporeStart,"",tblData[[#This Row],[Date]]-SingaporeStart)</f>
        <v>13</v>
      </c>
      <c r="AG25" s="25">
        <f>IF(tblData[[#This Row],[Date]]&lt;GenStart,"",tblData[[#This Row],[Date]]-GenStart)</f>
        <v>14</v>
      </c>
      <c r="AH25">
        <f>IF(tblData[Date]&gt;=StartDt2Au,tblData[Date]-StartDt2Au,"")</f>
        <v>11</v>
      </c>
      <c r="AI25" s="25">
        <f>IF(tblData[New South Wales]&gt;0,SUM(tblData[[#This Row],[Australian Capital Territory]:[Western Australia]]),"")</f>
        <v>13</v>
      </c>
      <c r="AJ25" s="12">
        <f>IF(ISNUMBER(tblData[Au]),tblData[Au]/$AE$9,"")</f>
        <v>5.1253745466014822</v>
      </c>
      <c r="AK25" s="19">
        <f>IF(ISNUMBER(tblData[[#This Row],[Day'# Aust]]),betaAu/(deltaAu+betaPodeltaAu*EXP(-betaAu*tblData[[#This Row],[Day'# Aust]])),"")</f>
        <v>1.5988333497302182E-2</v>
      </c>
      <c r="AL25" s="66">
        <f>IF(ISNUMBER(tblData[Day'# Aust]),tblData[Au LogiP(t)]/$AJ$9,"")</f>
        <v>6.3035536576652668E-3</v>
      </c>
      <c r="AM25" s="11">
        <f>IF(AND(tblData[Date]&gt;=StartDt2Au,ISNUMBER(tblData[NSW])),(tblData[[#This Row],[Au LogiP(t)]]-tblData[[#This Row],[Au]])^2,"")</f>
        <v>168.58455895587815</v>
      </c>
      <c r="AN25">
        <f>IF(tblData[Date]&gt;StartDt2NSW,tblData[Date]-StartDt2NSW,"")</f>
        <v>11</v>
      </c>
      <c r="AO25">
        <f t="shared" si="4"/>
        <v>4</v>
      </c>
      <c r="AP25" s="11">
        <f>IF(tblData[Date]&gt;StartDt2NSW,betaNSW/(deltaNSW+betaPodeltaNSW*EXP(-betaNSW*tblData[[#This Row],[Day '# NSW]])),"")</f>
        <v>4.1436446790800677E-2</v>
      </c>
      <c r="AQ25" s="12">
        <f>IF(AND(ISNUMBER(tblData[NSW]),tblData[Date]&gt;StartDt2NSW),(tblData[[#This Row],[NSW LogiP(t)]]-tblData[[#This Row],[NSW]])^2,"")</f>
        <v>15.670225404796239</v>
      </c>
      <c r="AR25" s="12">
        <f>IF(AND(tblData[Date]&gt;StartDt2NSW,ISNUMBER(tblData[Day'# Aust])),tblData[NSW LogiP(t)]/$AQ$9,"")</f>
        <v>5.1282731176733508E-2</v>
      </c>
      <c r="AS25" s="11">
        <f>IF(AND(tblData[Date]&gt;StartDt2Italy,ISNUMBER(tblData[Days'# Italy])),betaItaly/(deltaItaly+betaPodeltaItaly*EXP(-betaItaly*tblData[Days'# Italy])),"")</f>
        <v>2.074069890605645</v>
      </c>
      <c r="AT25" s="11">
        <f>IF(AND(tblData[Date]&gt;StartDt2Italy,ISNUMBER(tblData[Italy])),(tblData[[#This Row],[Italy LogiP(t)]]-tblData[[#This Row],[Italy]])^2,"")</f>
        <v>5.48634869433221E-3</v>
      </c>
      <c r="AU25" s="41">
        <f>IF(AND(tblData[Date]&gt;StartDt2Italy,ISNUMBER(tblData[Days'# Italy])),tblData[[#This Row],[Italy LogiP(t)]]/$AT$9,"")</f>
        <v>0.34290648765903037</v>
      </c>
      <c r="AV25" s="11">
        <f>IF(ISNUMBER(tblData[[#This Row],[Days'# US]]),betaUS/(deltaUS+betaPodeltaUS*EXP(-betaUS*tblData[Days'# US])),"")</f>
        <v>0.11027951825720804</v>
      </c>
      <c r="AW25" s="11" t="str">
        <f>IF(AND(tblData[Date]&gt;=StartDt2US,ISNUMBER(tblData[US])),(tblData[[#This Row],[US LogiP(t)]]-tblData[US])^2,"")</f>
        <v/>
      </c>
      <c r="AX25" s="11">
        <f>IF(ISNUMBER(tblData[[#This Row],[Days'# US]]),tblData[[#This Row],[US LogiP(t)]]/$AW$9,"")</f>
        <v>3.3496422946445118E-3</v>
      </c>
      <c r="AY25" s="11" t="str">
        <f>IF(tblData[Date]&gt;=StartDt2Korea,betaSKorea/(deltaSKorea+betaPodeltaSKorea*EXP(-betaSKorea*(tblData[Date]-StartDt2Korea))),"")</f>
        <v/>
      </c>
      <c r="AZ25" s="11" t="str">
        <f>IF(AND(tblData[Date]&gt;=StartDt2Korea,ISNUMBER(tblData[SKorea])),(tblData[[#This Row],[SKorea LogiP(t)]]-tblData[[#This Row],[SKorea]])^2,"")</f>
        <v/>
      </c>
      <c r="BA25" s="11" t="str">
        <f>IF(tblData[Date]&gt;=StartDt2Korea,tblData[[#This Row],[SKorea LogiP(t)]]/$AZ$9,"")</f>
        <v/>
      </c>
      <c r="BB25" s="11">
        <f>IF(ISNUMBER(tblData[Days'# UK]),betaUK/(deltaUK+betaPodeltaUK*EXP(-betaUK*tblData[Days'# UK])),"")</f>
        <v>0.13402792007112679</v>
      </c>
      <c r="BC25" s="11">
        <f>IF(ISNUMBER(tblData[UK]),(tblData[[#This Row],[UK LogiP(t)]]-tblData[[#This Row],[UK]])^2,"")</f>
        <v>3.4818518030740853</v>
      </c>
      <c r="BD25" s="11">
        <f>IF(ISNUMBER(tblData[Days'# UK]),tblData[[#This Row],[UK LogiP(t)]]/$BC$9,"")</f>
        <v>2.0172775447189463E-2</v>
      </c>
      <c r="BE25" s="11">
        <f>IF(ISNUMBER(tblData[Days'# China]),betaChina/(deltaChina+betaPodeltaChina*EXP(-betaChina*tblData[Days'# China])),"")</f>
        <v>24510.642086914464</v>
      </c>
      <c r="BF25" s="11">
        <f>IF(ISNUMBER(tblData[China]),(tblData[[#This Row],[China LogiP(t)]]-tblData[[#This Row],[China]])^2,"")</f>
        <v>8581137.7829568461</v>
      </c>
      <c r="BG25" s="11">
        <f>tblData[[#This Row],[China LogiP(t)]]/$BF$9</f>
        <v>170.29276175115768</v>
      </c>
      <c r="BH25" s="11">
        <f>IF(ISNUMBER(tblData[Day'# Singapore]),betaSingapore/(deltaSingapore+betaPodeltaSingapore*EXP(-betaSingapore*tblData[Day'# Singapore])),"")</f>
        <v>14.728612942550283</v>
      </c>
      <c r="BI25" s="11">
        <f>IF(AND(ISNUMBER(tblData[Singapore]),tblData[Date]&gt;=StartDt2Singapore),(tblData[[#This Row],[Singapore LogiP(t)]]-tblData[[#This Row],[Singapore]])^2,"")</f>
        <v>176.12971442864387</v>
      </c>
      <c r="BJ25" s="11">
        <f>IF(ISNUMBER(tblData[Day'# Singapore]),tblData[Singapore LogiP(t)]/$BI$9,"")</f>
        <v>25.177116141111597</v>
      </c>
      <c r="BK25" s="11">
        <f>IF(ISNUMBER(tblData[Day'# Generic]),betaGeneric/(deltaGeneric+betaPodeltaGeneric*EXP(-betaGeneric*tblData[Day'# Generic])),"")</f>
        <v>22628.934385686971</v>
      </c>
      <c r="BL25" s="11">
        <f>IF(AND(ISNUMBER(tblData[Generic]),tblData[Date]&gt;=StartDt2Generic),(tblData[Generic LogiP(t)]-tblData[[#This Row],[Generic]])^2,"")</f>
        <v>8784907.0426576026</v>
      </c>
      <c r="BM25" s="11">
        <f>IF(ISNUMBER(tblData[Day'# Generic]),tblData[Generic LogiP(t)]/$BL$9,"")</f>
        <v>3868.193912083243</v>
      </c>
      <c r="BO25" s="11"/>
      <c r="BP25" s="11" t="str">
        <f>IF(ISNUMBER(tblData[[#This Row],[Tests]]),tblData[[#This Row],[Tests]]-BP24,"")</f>
        <v/>
      </c>
      <c r="BQ25" s="11" t="str">
        <f>IF(ISNUMBER(tblData[[#This Row],[NSW Under Investigation'']]),tblData[[#This Row],[NSW Under Investigation'']]-BO24,"")</f>
        <v/>
      </c>
      <c r="BR25" s="11"/>
      <c r="BS25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25" s="11" t="str">
        <f>IF(tblData[Tests]&gt;0,(tblData[[#This Row],[Tests]]-tblData[[#This Row],[NSW Test Logi]])^2,"")</f>
        <v/>
      </c>
      <c r="BU25" s="11" t="str">
        <f>IF(ISNUMBER(tblData[Tests]),tblData[Tests]/$BS$9/100,"")</f>
        <v/>
      </c>
      <c r="BV25" s="11" t="str">
        <f>IF(AND(tblData[[#This Row],[NSW Test Day Number]]&gt;0,ISNUMBER(tblData[[#This Row],[NSW Test Day Number]])),TestsLogestB*TestsLogestM^tblData[[#This Row],[NSW Test Day Number]],"")</f>
        <v/>
      </c>
      <c r="BW25" s="11" t="str">
        <f>IF(AND(tblData[[#This Row],[NSW Test Day Number]]&gt;0,ISNUMBER(tblData[Tests])),(tblData[Tests]-tblData[[#This Row],[NSW Test Per Capita]])^2,"")</f>
        <v/>
      </c>
      <c r="BX25" s="11"/>
      <c r="BY25" s="11"/>
      <c r="BZ25" s="26"/>
      <c r="CB25" s="25"/>
      <c r="CD25" s="25"/>
      <c r="CK25"/>
      <c r="CL25"/>
      <c r="CN25" s="25"/>
      <c r="CO25" s="25"/>
      <c r="CP25" s="25"/>
      <c r="DC25"/>
      <c r="DD25"/>
      <c r="DG25" s="25"/>
      <c r="DH25" s="25"/>
      <c r="DV25"/>
      <c r="DW25"/>
      <c r="DX25"/>
      <c r="DY25" s="26" t="s">
        <v>48</v>
      </c>
      <c r="DZ25" s="76">
        <v>43914.45108796296</v>
      </c>
      <c r="EA25" s="26">
        <v>43855</v>
      </c>
      <c r="EB25" s="26">
        <v>43855</v>
      </c>
      <c r="EC25" s="25">
        <v>0</v>
      </c>
      <c r="ED25" s="25">
        <v>0.21628365962159252</v>
      </c>
      <c r="EE25" s="25">
        <v>1.4253070268900137E-5</v>
      </c>
      <c r="EF25" s="25">
        <v>6.440673502432822E-3</v>
      </c>
      <c r="EG25" s="95">
        <v>15174.531209147151</v>
      </c>
      <c r="EH25" s="25">
        <v>20.170498206159532</v>
      </c>
      <c r="EI25" s="25">
        <v>33.580893013832195</v>
      </c>
      <c r="EJ25" s="97">
        <v>1.4253070268900136E-2</v>
      </c>
      <c r="EK25" s="26">
        <v>43914</v>
      </c>
      <c r="EL25" s="25" t="s">
        <v>1410</v>
      </c>
      <c r="EM25" s="25">
        <v>15174.531209147151</v>
      </c>
      <c r="EN25" s="98">
        <v>1886</v>
      </c>
      <c r="EO25" s="25" t="s">
        <v>1411</v>
      </c>
      <c r="EP25" s="26">
        <v>43914</v>
      </c>
      <c r="EQ25" s="25">
        <v>60</v>
      </c>
      <c r="ER25" s="25" t="s">
        <v>1412</v>
      </c>
      <c r="ES25" s="25"/>
      <c r="ET25" s="25" t="s">
        <v>1413</v>
      </c>
      <c r="EU25" s="25"/>
      <c r="EV25" s="82" t="s">
        <v>1414</v>
      </c>
      <c r="EW25" s="25">
        <v>743.57356883772275</v>
      </c>
      <c r="EX25" s="82"/>
      <c r="EY25" s="25"/>
      <c r="EZ25" s="25"/>
      <c r="FB25" s="25" t="s">
        <v>1409</v>
      </c>
      <c r="FC25" s="25"/>
      <c r="FD25" s="25"/>
      <c r="FE25" s="25"/>
    </row>
    <row r="26" spans="2:163" ht="15" customHeight="1" x14ac:dyDescent="0.25">
      <c r="B26" s="1">
        <v>43867</v>
      </c>
      <c r="C26">
        <v>0</v>
      </c>
      <c r="D26" s="25">
        <v>0</v>
      </c>
      <c r="E26">
        <v>4</v>
      </c>
      <c r="F26">
        <v>0</v>
      </c>
      <c r="G26">
        <v>4</v>
      </c>
      <c r="H26">
        <v>2</v>
      </c>
      <c r="I26">
        <v>0</v>
      </c>
      <c r="J26">
        <v>4</v>
      </c>
      <c r="K26">
        <v>0</v>
      </c>
      <c r="L26" s="12">
        <f>IF(ISNUMBER(tblData[[#This Row],[NSW]]),tblData[[#This Row],[New South Wales]]/$L$9,"")</f>
        <v>4.9504950495049505</v>
      </c>
      <c r="M26" s="25">
        <v>2</v>
      </c>
      <c r="N26" s="46">
        <f>IF(ISNUMBER(tblData[Italy]),tblData[Italy]/$N$9,"")</f>
        <v>0.33066049433743905</v>
      </c>
      <c r="O26">
        <v>11</v>
      </c>
      <c r="P26" s="124">
        <f>IF(ISNUMBER(tblData[US]),tblData[US]/$P$9,"")</f>
        <v>0.33411521761595392</v>
      </c>
      <c r="Q26">
        <v>23</v>
      </c>
      <c r="R26" s="19">
        <f>IF(ISNUMBER(tblData[SKorea]),tblData[SKorea]/$R$9,"")</f>
        <v>4.4747081712062258</v>
      </c>
      <c r="S26">
        <v>2</v>
      </c>
      <c r="T26" s="12">
        <f>IF(ISNUMBER(tblData[UK]),tblData[UK]/$T$9,"")</f>
        <v>0.30102347983142685</v>
      </c>
      <c r="U26">
        <v>30587</v>
      </c>
      <c r="V26" s="20">
        <f>IF(ISNUMBER(tblData[China]),tblData[China]/$V$9,"")</f>
        <v>212.50951669126044</v>
      </c>
      <c r="W26">
        <v>28</v>
      </c>
      <c r="X26" s="20">
        <f>IF(ISNUMBER(tblData[Singapore]),tblData[Singapore]/$X$9,"")</f>
        <v>47.863247863247864</v>
      </c>
      <c r="Y26">
        <v>22112</v>
      </c>
      <c r="Z26" s="20">
        <f>IF(AND(LEN(tblData[Generic])&gt;0,ISNUMBER(tblData[Generic])),tblData[Generic]/$Z$9,"")</f>
        <v>3779.82905982906</v>
      </c>
      <c r="AA26" s="25">
        <f>IF(tblData[[#This Row],[Date]]&lt;ItalyStart,"",tblData[[#This Row],[Date]]-ItalyStart)</f>
        <v>7</v>
      </c>
      <c r="AB26" s="25">
        <f>IF(tblData[[#This Row],[Date]]&lt;USStart,"",tblData[[#This Row],[Date]]-USStart)</f>
        <v>15</v>
      </c>
      <c r="AC26" s="25">
        <f>IF(tblData[[#This Row],[Date]]&lt;ChinaStart,"",tblData[[#This Row],[Date]]-ChinaStart)</f>
        <v>15</v>
      </c>
      <c r="AD26" s="25" t="str">
        <f>IF(tblData[[#This Row],[Date]]&lt;StartDt2Korea,"",tblData[[#This Row],[Date]]-StartDt2Korea)</f>
        <v/>
      </c>
      <c r="AE26" s="25">
        <f>IF(tblData[[#This Row],[Date]]&lt;UKStart,"",tblData[[#This Row],[Date]]-UKStart)</f>
        <v>7</v>
      </c>
      <c r="AF26" s="25">
        <f>IF(tblData[[#This Row],[Date]]&lt;SingaporeStart,"",tblData[[#This Row],[Date]]-SingaporeStart)</f>
        <v>14</v>
      </c>
      <c r="AG26" s="25">
        <f>IF(tblData[[#This Row],[Date]]&lt;GenStart,"",tblData[[#This Row],[Date]]-GenStart)</f>
        <v>15</v>
      </c>
      <c r="AH26">
        <f>IF(tblData[Date]&gt;=StartDt2Au,tblData[Date]-StartDt2Au,"")</f>
        <v>12</v>
      </c>
      <c r="AI26" s="25">
        <f>IF(tblData[New South Wales]&gt;0,SUM(tblData[[#This Row],[Australian Capital Territory]:[Western Australia]]),"")</f>
        <v>14</v>
      </c>
      <c r="AJ26" s="12">
        <f>IF(ISNUMBER(tblData[Au]),tblData[Au]/$AE$9,"")</f>
        <v>5.5196341271092884</v>
      </c>
      <c r="AK26" s="19">
        <f>IF(ISNUMBER(tblData[[#This Row],[Day'# Aust]]),betaAu/(deltaAu+betaPodeltaAu*EXP(-betaAu*tblData[[#This Row],[Day'# Aust]])),"")</f>
        <v>2.0570253994629077E-2</v>
      </c>
      <c r="AL26" s="66">
        <f>IF(ISNUMBER(tblData[Day'# Aust]),tblData[Au LogiP(t)]/$AJ$9,"")</f>
        <v>8.1100197108614873E-3</v>
      </c>
      <c r="AM26" s="11">
        <f>IF(AND(tblData[Date]&gt;=StartDt2Au,ISNUMBER(tblData[NSW])),(tblData[[#This Row],[Au LogiP(t)]]-tblData[[#This Row],[Au]])^2,"")</f>
        <v>195.4244560234998</v>
      </c>
      <c r="AN26">
        <f>IF(tblData[Date]&gt;StartDt2NSW,tblData[Date]-StartDt2NSW,"")</f>
        <v>12</v>
      </c>
      <c r="AO26">
        <f t="shared" si="4"/>
        <v>4</v>
      </c>
      <c r="AP26" s="11">
        <f>IF(tblData[Date]&gt;StartDt2NSW,betaNSW/(deltaNSW+betaPodeltaNSW*EXP(-betaNSW*tblData[[#This Row],[Day '# NSW]])),"")</f>
        <v>5.1045393516562898E-2</v>
      </c>
      <c r="AQ26" s="12">
        <f>IF(AND(ISNUMBER(tblData[NSW]),tblData[Date]&gt;StartDt2NSW),(tblData[[#This Row],[NSW LogiP(t)]]-tblData[[#This Row],[NSW]])^2,"")</f>
        <v>15.59424248406676</v>
      </c>
      <c r="AR26" s="12">
        <f>IF(AND(tblData[Date]&gt;StartDt2NSW,ISNUMBER(tblData[Day'# Aust])),tblData[NSW LogiP(t)]/$AQ$9,"")</f>
        <v>6.3174991975944172E-2</v>
      </c>
      <c r="AS26" s="11">
        <f>IF(AND(tblData[Date]&gt;StartDt2Italy,ISNUMBER(tblData[Days'# Italy])),betaItaly/(deltaItaly+betaPodeltaItaly*EXP(-betaItaly*tblData[Days'# Italy])),"")</f>
        <v>2.6832603261438894</v>
      </c>
      <c r="AT26" s="11">
        <f>IF(AND(tblData[Date]&gt;StartDt2Italy,ISNUMBER(tblData[Italy])),(tblData[[#This Row],[Italy LogiP(t)]]-tblData[[#This Row],[Italy]])^2,"")</f>
        <v>0.46684467328225415</v>
      </c>
      <c r="AU26" s="41">
        <f>IF(AND(tblData[Date]&gt;StartDt2Italy,ISNUMBER(tblData[Days'# Italy])),tblData[[#This Row],[Italy LogiP(t)]]/$AT$9,"")</f>
        <v>0.4436240929393882</v>
      </c>
      <c r="AV26" s="11">
        <f>IF(ISNUMBER(tblData[[#This Row],[Days'# US]]),betaUS/(deltaUS+betaPodeltaUS*EXP(-betaUS*tblData[Days'# US])),"")</f>
        <v>0.14552645890999225</v>
      </c>
      <c r="AW26" s="11" t="str">
        <f>IF(AND(tblData[Date]&gt;=StartDt2US,ISNUMBER(tblData[US])),(tblData[[#This Row],[US LogiP(t)]]-tblData[US])^2,"")</f>
        <v/>
      </c>
      <c r="AX26" s="11">
        <f>IF(ISNUMBER(tblData[[#This Row],[Days'# US]]),tblData[[#This Row],[US LogiP(t)]]/$AW$9,"")</f>
        <v>4.4202367715992039E-3</v>
      </c>
      <c r="AY26" s="11" t="str">
        <f>IF(tblData[Date]&gt;=StartDt2Korea,betaSKorea/(deltaSKorea+betaPodeltaSKorea*EXP(-betaSKorea*(tblData[Date]-StartDt2Korea))),"")</f>
        <v/>
      </c>
      <c r="AZ26" s="11" t="str">
        <f>IF(AND(tblData[Date]&gt;=StartDt2Korea,ISNUMBER(tblData[SKorea])),(tblData[[#This Row],[SKorea LogiP(t)]]-tblData[[#This Row],[SKorea]])^2,"")</f>
        <v/>
      </c>
      <c r="BA26" s="11" t="str">
        <f>IF(tblData[Date]&gt;=StartDt2Korea,tblData[[#This Row],[SKorea LogiP(t)]]/$AZ$9,"")</f>
        <v/>
      </c>
      <c r="BB26" s="11">
        <f>IF(ISNUMBER(tblData[Days'# UK]),betaUK/(deltaUK+betaPodeltaUK*EXP(-betaUK*tblData[Days'# UK])),"")</f>
        <v>0.16993373042944246</v>
      </c>
      <c r="BC26" s="11">
        <f>IF(ISNUMBER(tblData[UK]),(tblData[[#This Row],[UK LogiP(t)]]-tblData[[#This Row],[UK]])^2,"")</f>
        <v>3.3491425510198969</v>
      </c>
      <c r="BD26" s="11">
        <f>IF(ISNUMBER(tblData[Days'# UK]),tblData[[#This Row],[UK LogiP(t)]]/$BC$9,"")</f>
        <v>2.5577021437303199E-2</v>
      </c>
      <c r="BE26" s="11">
        <f>IF(ISNUMBER(tblData[Days'# China]),betaChina/(deltaChina+betaPodeltaChina*EXP(-betaChina*tblData[Days'# China])),"")</f>
        <v>28465.438343866383</v>
      </c>
      <c r="BF26" s="11">
        <f>IF(ISNUMBER(tblData[China]),(tblData[[#This Row],[China LogiP(t)]]-tblData[[#This Row],[China]])^2,"")</f>
        <v>4501023.860776417</v>
      </c>
      <c r="BG26" s="11">
        <f>tblData[[#This Row],[China LogiP(t)]]/$BF$9</f>
        <v>197.76952773596358</v>
      </c>
      <c r="BH26" s="11">
        <f>IF(ISNUMBER(tblData[Day'# Singapore]),betaSingapore/(deltaSingapore+betaPodeltaSingapore*EXP(-betaSingapore*tblData[Day'# Singapore])),"")</f>
        <v>15.867444775679896</v>
      </c>
      <c r="BI26" s="11">
        <f>IF(AND(ISNUMBER(tblData[Singapore]),tblData[Date]&gt;=StartDt2Singapore),(tblData[[#This Row],[Singapore LogiP(t)]]-tblData[[#This Row],[Singapore]])^2,"")</f>
        <v>147.19889627117703</v>
      </c>
      <c r="BJ26" s="11">
        <f>IF(ISNUMBER(tblData[Day'# Singapore]),tblData[Singapore LogiP(t)]/$BI$9,"")</f>
        <v>27.123837223384438</v>
      </c>
      <c r="BK26" s="11">
        <f>IF(ISNUMBER(tblData[Day'# Generic]),betaGeneric/(deltaGeneric+betaPodeltaGeneric*EXP(-betaGeneric*tblData[Day'# Generic])),"")</f>
        <v>26039.004729051172</v>
      </c>
      <c r="BL26" s="11">
        <f>IF(AND(ISNUMBER(tblData[Generic]),tblData[Date]&gt;=StartDt2Generic),(tblData[Generic LogiP(t)]-tblData[[#This Row],[Generic]])^2,"")</f>
        <v>15421366.141990269</v>
      </c>
      <c r="BM26" s="11">
        <f>IF(ISNUMBER(tblData[Day'# Generic]),tblData[Generic LogiP(t)]/$BL$9,"")</f>
        <v>4451.1119194959274</v>
      </c>
      <c r="BO26" s="11"/>
      <c r="BP26" s="11" t="str">
        <f>IF(ISNUMBER(tblData[[#This Row],[Tests]]),tblData[[#This Row],[Tests]]-BP25,"")</f>
        <v/>
      </c>
      <c r="BQ26" s="11" t="str">
        <f>IF(ISNUMBER(tblData[[#This Row],[NSW Under Investigation'']]),tblData[[#This Row],[NSW Under Investigation'']]-BO25,"")</f>
        <v/>
      </c>
      <c r="BR26" s="11"/>
      <c r="BS26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26" s="11" t="str">
        <f>IF(tblData[Tests]&gt;0,(tblData[[#This Row],[Tests]]-tblData[[#This Row],[NSW Test Logi]])^2,"")</f>
        <v/>
      </c>
      <c r="BU26" s="11" t="str">
        <f>IF(ISNUMBER(tblData[Tests]),tblData[Tests]/$BS$9/100,"")</f>
        <v/>
      </c>
      <c r="BV26" s="11" t="str">
        <f>IF(AND(tblData[[#This Row],[NSW Test Day Number]]&gt;0,ISNUMBER(tblData[[#This Row],[NSW Test Day Number]])),TestsLogestB*TestsLogestM^tblData[[#This Row],[NSW Test Day Number]],"")</f>
        <v/>
      </c>
      <c r="BW26" s="11" t="str">
        <f>IF(AND(tblData[[#This Row],[NSW Test Day Number]]&gt;0,ISNUMBER(tblData[Tests])),(tblData[Tests]-tblData[[#This Row],[NSW Test Per Capita]])^2,"")</f>
        <v/>
      </c>
      <c r="BX26" s="11"/>
      <c r="BY26" s="11"/>
      <c r="BZ26" s="26"/>
      <c r="CB26" s="25"/>
      <c r="CD26" s="25"/>
      <c r="CK26"/>
      <c r="CL26"/>
      <c r="CN26" s="25"/>
      <c r="CO26" s="25"/>
      <c r="CP26" s="25"/>
      <c r="DC26"/>
      <c r="DD26"/>
      <c r="DG26" s="25"/>
      <c r="DH26" s="25"/>
      <c r="DV26"/>
      <c r="DW26"/>
      <c r="DX26"/>
      <c r="DY26" s="26" t="s">
        <v>48</v>
      </c>
      <c r="DZ26" s="76">
        <v>43914.46266203704</v>
      </c>
      <c r="EA26" s="26">
        <v>43855</v>
      </c>
      <c r="EB26" s="26">
        <v>43855</v>
      </c>
      <c r="EC26" s="25">
        <v>0</v>
      </c>
      <c r="ED26" s="25">
        <v>0.2267210961509846</v>
      </c>
      <c r="EE26" s="25">
        <v>2.3593825272637381E-5</v>
      </c>
      <c r="EF26" s="25">
        <v>3.7861973773528883E-3</v>
      </c>
      <c r="EG26" s="95">
        <v>9609.3403054027585</v>
      </c>
      <c r="EH26" s="25">
        <v>19.856217518584224</v>
      </c>
      <c r="EI26" s="25">
        <v>59.880926487413269</v>
      </c>
      <c r="EJ26" s="97">
        <v>2.359382527263738E-2</v>
      </c>
      <c r="EK26" s="26">
        <v>43914</v>
      </c>
      <c r="EL26" s="25" t="s">
        <v>1415</v>
      </c>
      <c r="EM26" s="25">
        <v>9609.3403054027585</v>
      </c>
      <c r="EN26" s="25">
        <v>1886</v>
      </c>
      <c r="EO26" s="98" t="s">
        <v>1416</v>
      </c>
      <c r="EP26" s="26">
        <v>43914</v>
      </c>
      <c r="EQ26" s="25">
        <v>60</v>
      </c>
      <c r="ER26" s="25" t="s">
        <v>1417</v>
      </c>
      <c r="ES26" s="25"/>
      <c r="ET26" s="25" t="s">
        <v>1418</v>
      </c>
      <c r="EU26" s="25"/>
      <c r="EV26" s="25" t="s">
        <v>1419</v>
      </c>
      <c r="EW26" s="82">
        <v>743.57356883772275</v>
      </c>
      <c r="EX26" s="82"/>
      <c r="EY26" s="82"/>
      <c r="EZ26" s="25"/>
      <c r="FB26" s="25" t="s">
        <v>1409</v>
      </c>
      <c r="FC26" s="25"/>
      <c r="FD26" s="25"/>
      <c r="FE26" s="25"/>
    </row>
    <row r="27" spans="2:163" ht="18.75" customHeight="1" x14ac:dyDescent="0.25">
      <c r="B27" s="1">
        <v>43868</v>
      </c>
      <c r="C27">
        <v>0</v>
      </c>
      <c r="D27" s="25">
        <v>0</v>
      </c>
      <c r="E27">
        <v>4</v>
      </c>
      <c r="F27">
        <v>0</v>
      </c>
      <c r="G27">
        <v>5</v>
      </c>
      <c r="H27">
        <v>2</v>
      </c>
      <c r="I27">
        <v>0</v>
      </c>
      <c r="J27">
        <v>4</v>
      </c>
      <c r="K27">
        <v>0</v>
      </c>
      <c r="L27" s="12">
        <f>IF(ISNUMBER(tblData[[#This Row],[NSW]]),tblData[[#This Row],[New South Wales]]/$L$9,"")</f>
        <v>4.9504950495049505</v>
      </c>
      <c r="M27" s="25">
        <v>3</v>
      </c>
      <c r="N27" s="46">
        <f>IF(ISNUMBER(tblData[Italy]),tblData[Italy]/$N$9,"")</f>
        <v>0.49599074150615857</v>
      </c>
      <c r="O27">
        <v>11</v>
      </c>
      <c r="P27" s="124">
        <f>IF(ISNUMBER(tblData[US]),tblData[US]/$P$9,"")</f>
        <v>0.33411521761595392</v>
      </c>
      <c r="Q27">
        <v>24</v>
      </c>
      <c r="R27" s="19">
        <f>IF(ISNUMBER(tblData[SKorea]),tblData[SKorea]/$R$9,"")</f>
        <v>4.6692607003891053</v>
      </c>
      <c r="S27">
        <v>3</v>
      </c>
      <c r="T27" s="12">
        <f>IF(ISNUMBER(tblData[UK]),tblData[UK]/$T$9,"")</f>
        <v>0.45153521974714028</v>
      </c>
      <c r="U27">
        <v>34110</v>
      </c>
      <c r="V27" s="20">
        <f>IF(ISNUMBER(tblData[China]),tblData[China]/$V$9,"")</f>
        <v>236.98628876120227</v>
      </c>
      <c r="W27">
        <v>30</v>
      </c>
      <c r="X27" s="20">
        <f>IF(ISNUMBER(tblData[Singapore]),tblData[Singapore]/$X$9,"")</f>
        <v>51.282051282051285</v>
      </c>
      <c r="Y27">
        <v>24953</v>
      </c>
      <c r="Z27" s="20">
        <f>IF(AND(LEN(tblData[Generic])&gt;0,ISNUMBER(tblData[Generic])),tblData[Generic]/$Z$9,"")</f>
        <v>4265.4700854700859</v>
      </c>
      <c r="AA27" s="25">
        <f>IF(tblData[[#This Row],[Date]]&lt;ItalyStart,"",tblData[[#This Row],[Date]]-ItalyStart)</f>
        <v>8</v>
      </c>
      <c r="AB27" s="25">
        <f>IF(tblData[[#This Row],[Date]]&lt;USStart,"",tblData[[#This Row],[Date]]-USStart)</f>
        <v>16</v>
      </c>
      <c r="AC27" s="25">
        <f>IF(tblData[[#This Row],[Date]]&lt;ChinaStart,"",tblData[[#This Row],[Date]]-ChinaStart)</f>
        <v>16</v>
      </c>
      <c r="AD27" s="25" t="str">
        <f>IF(tblData[[#This Row],[Date]]&lt;StartDt2Korea,"",tblData[[#This Row],[Date]]-StartDt2Korea)</f>
        <v/>
      </c>
      <c r="AE27" s="25">
        <f>IF(tblData[[#This Row],[Date]]&lt;UKStart,"",tblData[[#This Row],[Date]]-UKStart)</f>
        <v>8</v>
      </c>
      <c r="AF27" s="25">
        <f>IF(tblData[[#This Row],[Date]]&lt;SingaporeStart,"",tblData[[#This Row],[Date]]-SingaporeStart)</f>
        <v>15</v>
      </c>
      <c r="AG27" s="25">
        <f>IF(tblData[[#This Row],[Date]]&lt;GenStart,"",tblData[[#This Row],[Date]]-GenStart)</f>
        <v>16</v>
      </c>
      <c r="AH27">
        <f>IF(tblData[Date]&gt;=StartDt2Au,tblData[Date]-StartDt2Au,"")</f>
        <v>13</v>
      </c>
      <c r="AI27" s="25">
        <f>IF(tblData[New South Wales]&gt;0,SUM(tblData[[#This Row],[Australian Capital Territory]:[Western Australia]]),"")</f>
        <v>15</v>
      </c>
      <c r="AJ27" s="12">
        <f>IF(ISNUMBER(tblData[Au]),tblData[Au]/$AE$9,"")</f>
        <v>5.9138937076170954</v>
      </c>
      <c r="AK27" s="19">
        <f>IF(ISNUMBER(tblData[[#This Row],[Day'# Aust]]),betaAu/(deltaAu+betaPodeltaAu*EXP(-betaAu*tblData[[#This Row],[Day'# Aust]])),"")</f>
        <v>2.6465251710720367E-2</v>
      </c>
      <c r="AL27" s="66">
        <f>IF(ISNUMBER(tblData[Day'# Aust]),tblData[Au LogiP(t)]/$AJ$9,"")</f>
        <v>1.0434179037502116E-2</v>
      </c>
      <c r="AM27" s="11">
        <f>IF(AND(tblData[Date]&gt;=StartDt2Au,ISNUMBER(tblData[NSW])),(tblData[[#This Row],[Au LogiP(t)]]-tblData[[#This Row],[Au]])^2,"")</f>
        <v>224.20674285822651</v>
      </c>
      <c r="AN27">
        <f>IF(tblData[Date]&gt;StartDt2NSW,tblData[Date]-StartDt2NSW,"")</f>
        <v>13</v>
      </c>
      <c r="AO27">
        <f t="shared" si="4"/>
        <v>4</v>
      </c>
      <c r="AP27" s="11">
        <f>IF(tblData[Date]&gt;StartDt2NSW,betaNSW/(deltaNSW+betaPodeltaNSW*EXP(-betaNSW*tblData[[#This Row],[Day '# NSW]])),"")</f>
        <v>6.2882602062942675E-2</v>
      </c>
      <c r="AQ27" s="12">
        <f>IF(AND(ISNUMBER(tblData[NSW]),tblData[Date]&gt;StartDt2NSW),(tblData[[#This Row],[NSW LogiP(t)]]-tblData[[#This Row],[NSW]])^2,"")</f>
        <v>15.500893405138665</v>
      </c>
      <c r="AR27" s="12">
        <f>IF(AND(tblData[Date]&gt;StartDt2NSW,ISNUMBER(tblData[Day'# Aust])),tblData[NSW LogiP(t)]/$AQ$9,"")</f>
        <v>7.7825002553146866E-2</v>
      </c>
      <c r="AS27" s="11">
        <f>IF(AND(tblData[Date]&gt;StartDt2Italy,ISNUMBER(tblData[Days'# Italy])),betaItaly/(deltaItaly+betaPodeltaItaly*EXP(-betaItaly*tblData[Days'# Italy])),"")</f>
        <v>3.4713724316054879</v>
      </c>
      <c r="AT27" s="11">
        <f>IF(AND(tblData[Date]&gt;StartDt2Italy,ISNUMBER(tblData[Italy])),(tblData[[#This Row],[Italy LogiP(t)]]-tblData[[#This Row],[Italy]])^2,"")</f>
        <v>0.22219196927767038</v>
      </c>
      <c r="AU27" s="41">
        <f>IF(AND(tblData[Date]&gt;StartDt2Italy,ISNUMBER(tblData[Days'# Italy])),tblData[[#This Row],[Italy LogiP(t)]]/$AT$9,"")</f>
        <v>0.57392286213201427</v>
      </c>
      <c r="AV27" s="11">
        <f>IF(ISNUMBER(tblData[[#This Row],[Days'# US]]),betaUS/(deltaUS+betaPodeltaUS*EXP(-betaUS*tblData[Days'# US])),"")</f>
        <v>0.19203882374755357</v>
      </c>
      <c r="AW27" s="11" t="str">
        <f>IF(AND(tblData[Date]&gt;=StartDt2US,ISNUMBER(tblData[US])),(tblData[[#This Row],[US LogiP(t)]]-tblData[US])^2,"")</f>
        <v/>
      </c>
      <c r="AX27" s="11">
        <f>IF(ISNUMBER(tblData[[#This Row],[Days'# US]]),tblData[[#This Row],[US LogiP(t)]]/$AW$9,"")</f>
        <v>5.833008489738699E-3</v>
      </c>
      <c r="AY27" s="11" t="str">
        <f>IF(tblData[Date]&gt;=StartDt2Korea,betaSKorea/(deltaSKorea+betaPodeltaSKorea*EXP(-betaSKorea*(tblData[Date]-StartDt2Korea))),"")</f>
        <v/>
      </c>
      <c r="AZ27" s="11" t="str">
        <f>IF(AND(tblData[Date]&gt;=StartDt2Korea,ISNUMBER(tblData[SKorea])),(tblData[[#This Row],[SKorea LogiP(t)]]-tblData[[#This Row],[SKorea]])^2,"")</f>
        <v/>
      </c>
      <c r="BA27" s="11" t="str">
        <f>IF(tblData[Date]&gt;=StartDt2Korea,tblData[[#This Row],[SKorea LogiP(t)]]/$AZ$9,"")</f>
        <v/>
      </c>
      <c r="BB27" s="11">
        <f>IF(ISNUMBER(tblData[Days'# UK]),betaUK/(deltaUK+betaPodeltaUK*EXP(-betaUK*tblData[Days'# UK])),"")</f>
        <v>0.2154585411186912</v>
      </c>
      <c r="BC27" s="11">
        <f>IF(ISNUMBER(tblData[UK]),(tblData[[#This Row],[UK LogiP(t)]]-tblData[[#This Row],[UK]])^2,"")</f>
        <v>7.7536711362288484</v>
      </c>
      <c r="BD27" s="11">
        <f>IF(ISNUMBER(tblData[Days'# UK]),tblData[[#This Row],[UK LogiP(t)]]/$BC$9,"")</f>
        <v>3.2429039903475496E-2</v>
      </c>
      <c r="BE27" s="11">
        <f>IF(ISNUMBER(tblData[Days'# China]),betaChina/(deltaChina+betaPodeltaChina*EXP(-betaChina*tblData[Days'# China])),"")</f>
        <v>32689.187010163347</v>
      </c>
      <c r="BF27" s="11">
        <f>IF(ISNUMBER(tblData[China]),(tblData[[#This Row],[China LogiP(t)]]-tblData[[#This Row],[China]])^2,"")</f>
        <v>2018709.5520885698</v>
      </c>
      <c r="BG27" s="11">
        <f>tblData[[#This Row],[China LogiP(t)]]/$BF$9</f>
        <v>227.11489628142812</v>
      </c>
      <c r="BH27" s="11">
        <f>IF(ISNUMBER(tblData[Day'# Singapore]),betaSingapore/(deltaSingapore+betaPodeltaSingapore*EXP(-betaSingapore*tblData[Day'# Singapore])),"")</f>
        <v>17.09433228308858</v>
      </c>
      <c r="BI27" s="11">
        <f>IF(AND(ISNUMBER(tblData[Singapore]),tblData[Date]&gt;=StartDt2Singapore),(tblData[[#This Row],[Singapore LogiP(t)]]-tblData[[#This Row],[Singapore]])^2,"")</f>
        <v>166.55625921932963</v>
      </c>
      <c r="BJ27" s="11">
        <f>IF(ISNUMBER(tblData[Day'# Singapore]),tblData[Singapore LogiP(t)]/$BI$9,"")</f>
        <v>29.221080825792445</v>
      </c>
      <c r="BK27" s="11">
        <f>IF(ISNUMBER(tblData[Day'# Generic]),betaGeneric/(deltaGeneric+betaPodeltaGeneric*EXP(-betaGeneric*tblData[Day'# Generic])),"")</f>
        <v>29622.260892495291</v>
      </c>
      <c r="BL27" s="11">
        <f>IF(AND(ISNUMBER(tblData[Generic]),tblData[Date]&gt;=StartDt2Generic),(tblData[Generic LogiP(t)]-tblData[[#This Row],[Generic]])^2,"")</f>
        <v>21801997.282185923</v>
      </c>
      <c r="BM27" s="11">
        <f>IF(ISNUMBER(tblData[Day'# Generic]),tblData[Generic LogiP(t)]/$BL$9,"")</f>
        <v>5063.6343405974858</v>
      </c>
      <c r="BO27" s="11"/>
      <c r="BP27" s="11" t="str">
        <f>IF(ISNUMBER(tblData[[#This Row],[Tests]]),tblData[[#This Row],[Tests]]-BP26,"")</f>
        <v/>
      </c>
      <c r="BQ27" s="11" t="str">
        <f>IF(ISNUMBER(tblData[[#This Row],[NSW Under Investigation'']]),tblData[[#This Row],[NSW Under Investigation'']]-BO26,"")</f>
        <v/>
      </c>
      <c r="BR27" s="11"/>
      <c r="BS27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27" s="11" t="str">
        <f>IF(tblData[Tests]&gt;0,(tblData[[#This Row],[Tests]]-tblData[[#This Row],[NSW Test Logi]])^2,"")</f>
        <v/>
      </c>
      <c r="BU27" s="11" t="str">
        <f>IF(ISNUMBER(tblData[Tests]),tblData[Tests]/$BS$9/100,"")</f>
        <v/>
      </c>
      <c r="BV27" s="11" t="str">
        <f>IF(AND(tblData[[#This Row],[NSW Test Day Number]]&gt;0,ISNUMBER(tblData[[#This Row],[NSW Test Day Number]])),TestsLogestB*TestsLogestM^tblData[[#This Row],[NSW Test Day Number]],"")</f>
        <v/>
      </c>
      <c r="BW27" s="11" t="str">
        <f>IF(AND(tblData[[#This Row],[NSW Test Day Number]]&gt;0,ISNUMBER(tblData[Tests])),(tblData[Tests]-tblData[[#This Row],[NSW Test Per Capita]])^2,"")</f>
        <v/>
      </c>
      <c r="BX27" s="11"/>
      <c r="BY27" s="11"/>
      <c r="BZ27" s="26"/>
      <c r="CB27" s="25"/>
      <c r="CD27" s="25"/>
      <c r="CK27"/>
      <c r="CL27"/>
      <c r="CN27" s="25"/>
      <c r="CO27" s="25"/>
      <c r="CP27" s="25"/>
      <c r="DC27"/>
      <c r="DD27"/>
      <c r="DG27" s="25"/>
      <c r="DH27" s="25"/>
      <c r="DV27"/>
      <c r="DW27"/>
      <c r="DX27"/>
      <c r="DY27" s="26" t="s">
        <v>48</v>
      </c>
      <c r="DZ27" s="76">
        <v>43915.873437499999</v>
      </c>
      <c r="EA27" s="26">
        <v>43855</v>
      </c>
      <c r="EB27" s="26">
        <v>43855</v>
      </c>
      <c r="EC27" s="25">
        <v>0</v>
      </c>
      <c r="ED27" s="25">
        <v>0.23936046371525532</v>
      </c>
      <c r="EE27" s="25">
        <v>2.4999857006033165E-5</v>
      </c>
      <c r="EF27" s="25">
        <v>1.909057740652589E-3</v>
      </c>
      <c r="EG27" s="95">
        <v>9574.4733122869839</v>
      </c>
      <c r="EH27" s="25">
        <v>31.065496180503203</v>
      </c>
      <c r="EI27" s="25">
        <v>125.38144388826198</v>
      </c>
      <c r="EJ27" s="97">
        <v>2.4999857006033164E-2</v>
      </c>
      <c r="EK27" s="26">
        <v>43915</v>
      </c>
      <c r="EL27" s="26" t="s">
        <v>1779</v>
      </c>
      <c r="EM27" s="25">
        <v>9574.4733122869839</v>
      </c>
      <c r="EN27" s="25">
        <v>2425</v>
      </c>
      <c r="EO27" s="98" t="s">
        <v>1780</v>
      </c>
      <c r="EP27" s="26">
        <v>43915</v>
      </c>
      <c r="EQ27" s="25">
        <v>61</v>
      </c>
      <c r="ER27" s="25" t="s">
        <v>1781</v>
      </c>
      <c r="ES27" s="25"/>
      <c r="ET27" s="25" t="s">
        <v>1782</v>
      </c>
      <c r="EU27" s="25"/>
      <c r="EV27" s="25" t="s">
        <v>1783</v>
      </c>
      <c r="EW27" s="82">
        <v>956.0794827314304</v>
      </c>
      <c r="EX27" s="25"/>
      <c r="EY27" s="82"/>
      <c r="EZ27" s="25"/>
      <c r="FB27" s="25" t="s">
        <v>1778</v>
      </c>
      <c r="FC27" s="25"/>
      <c r="FD27" s="25"/>
      <c r="FE27" s="25"/>
      <c r="FF27" s="25"/>
      <c r="FG27" s="25"/>
    </row>
    <row r="28" spans="2:163" ht="15" customHeight="1" x14ac:dyDescent="0.25">
      <c r="B28" s="1">
        <v>43869</v>
      </c>
      <c r="C28">
        <v>0</v>
      </c>
      <c r="D28" s="25">
        <v>0</v>
      </c>
      <c r="E28">
        <v>4</v>
      </c>
      <c r="F28">
        <v>0</v>
      </c>
      <c r="G28">
        <v>5</v>
      </c>
      <c r="H28">
        <v>2</v>
      </c>
      <c r="I28">
        <v>0</v>
      </c>
      <c r="J28">
        <v>4</v>
      </c>
      <c r="K28">
        <v>0</v>
      </c>
      <c r="L28" s="12">
        <f>IF(ISNUMBER(tblData[[#This Row],[NSW]]),tblData[[#This Row],[New South Wales]]/$L$9,"")</f>
        <v>4.9504950495049505</v>
      </c>
      <c r="M28" s="25">
        <v>3</v>
      </c>
      <c r="N28" s="46">
        <f>IF(ISNUMBER(tblData[Italy]),tblData[Italy]/$N$9,"")</f>
        <v>0.49599074150615857</v>
      </c>
      <c r="O28">
        <v>11</v>
      </c>
      <c r="P28" s="124">
        <f>IF(ISNUMBER(tblData[US]),tblData[US]/$P$9,"")</f>
        <v>0.33411521761595392</v>
      </c>
      <c r="Q28">
        <v>24</v>
      </c>
      <c r="R28" s="19">
        <f>IF(ISNUMBER(tblData[SKorea]),tblData[SKorea]/$R$9,"")</f>
        <v>4.6692607003891053</v>
      </c>
      <c r="S28">
        <v>3</v>
      </c>
      <c r="T28" s="12">
        <f>IF(ISNUMBER(tblData[UK]),tblData[UK]/$T$9,"")</f>
        <v>0.45153521974714028</v>
      </c>
      <c r="U28">
        <v>36814</v>
      </c>
      <c r="V28" s="20">
        <f>IF(ISNUMBER(tblData[China]),tblData[China]/$V$9,"")</f>
        <v>255.77288872632366</v>
      </c>
      <c r="W28">
        <v>33</v>
      </c>
      <c r="X28" s="20">
        <f>IF(ISNUMBER(tblData[Singapore]),tblData[Singapore]/$X$9,"")</f>
        <v>56.410256410256416</v>
      </c>
      <c r="Y28">
        <v>27100</v>
      </c>
      <c r="Z28" s="20">
        <f>IF(AND(LEN(tblData[Generic])&gt;0,ISNUMBER(tblData[Generic])),tblData[Generic]/$Z$9,"")</f>
        <v>4632.4786324786328</v>
      </c>
      <c r="AA28" s="25">
        <f>IF(tblData[[#This Row],[Date]]&lt;ItalyStart,"",tblData[[#This Row],[Date]]-ItalyStart)</f>
        <v>9</v>
      </c>
      <c r="AB28" s="25">
        <f>IF(tblData[[#This Row],[Date]]&lt;USStart,"",tblData[[#This Row],[Date]]-USStart)</f>
        <v>17</v>
      </c>
      <c r="AC28" s="25">
        <f>IF(tblData[[#This Row],[Date]]&lt;ChinaStart,"",tblData[[#This Row],[Date]]-ChinaStart)</f>
        <v>17</v>
      </c>
      <c r="AD28" s="25" t="str">
        <f>IF(tblData[[#This Row],[Date]]&lt;StartDt2Korea,"",tblData[[#This Row],[Date]]-StartDt2Korea)</f>
        <v/>
      </c>
      <c r="AE28" s="25">
        <f>IF(tblData[[#This Row],[Date]]&lt;UKStart,"",tblData[[#This Row],[Date]]-UKStart)</f>
        <v>9</v>
      </c>
      <c r="AF28" s="25">
        <f>IF(tblData[[#This Row],[Date]]&lt;SingaporeStart,"",tblData[[#This Row],[Date]]-SingaporeStart)</f>
        <v>16</v>
      </c>
      <c r="AG28" s="25">
        <f>IF(tblData[[#This Row],[Date]]&lt;GenStart,"",tblData[[#This Row],[Date]]-GenStart)</f>
        <v>17</v>
      </c>
      <c r="AH28">
        <f>IF(tblData[Date]&gt;=StartDt2Au,tblData[Date]-StartDt2Au,"")</f>
        <v>14</v>
      </c>
      <c r="AI28" s="25">
        <f>IF(tblData[New South Wales]&gt;0,SUM(tblData[[#This Row],[Australian Capital Territory]:[Western Australia]]),"")</f>
        <v>15</v>
      </c>
      <c r="AJ28" s="12">
        <f>IF(ISNUMBER(tblData[Au]),tblData[Au]/$AE$9,"")</f>
        <v>5.9138937076170954</v>
      </c>
      <c r="AK28" s="19">
        <f>IF(ISNUMBER(tblData[[#This Row],[Day'# Aust]]),betaAu/(deltaAu+betaPodeltaAu*EXP(-betaAu*tblData[[#This Row],[Day'# Aust]])),"")</f>
        <v>3.4049622339712642E-2</v>
      </c>
      <c r="AL28" s="66">
        <f>IF(ISNUMBER(tblData[Day'# Aust]),tblData[Au LogiP(t)]/$AJ$9,"")</f>
        <v>1.3424389820104337E-2</v>
      </c>
      <c r="AM28" s="11">
        <f>IF(AND(tblData[Date]&gt;=StartDt2Au,ISNUMBER(tblData[NSW])),(tblData[[#This Row],[Au LogiP(t)]]-tblData[[#This Row],[Au]])^2,"")</f>
        <v>223.97967070659013</v>
      </c>
      <c r="AN28">
        <f>IF(tblData[Date]&gt;StartDt2NSW,tblData[Date]-StartDt2NSW,"")</f>
        <v>14</v>
      </c>
      <c r="AO28">
        <f t="shared" si="4"/>
        <v>4</v>
      </c>
      <c r="AP28" s="11">
        <f>IF(tblData[Date]&gt;StartDt2NSW,betaNSW/(deltaNSW+betaPodeltaNSW*EXP(-betaNSW*tblData[[#This Row],[Day '# NSW]])),"")</f>
        <v>7.7464786518634698E-2</v>
      </c>
      <c r="AQ28" s="12">
        <f>IF(AND(ISNUMBER(tblData[NSW]),tblData[Date]&gt;StartDt2NSW),(tblData[[#This Row],[NSW LogiP(t)]]-tblData[[#This Row],[NSW]])^2,"")</f>
        <v>15.3862825010013</v>
      </c>
      <c r="AR28" s="12">
        <f>IF(AND(tblData[Date]&gt;StartDt2NSW,ISNUMBER(tblData[Day'# Aust])),tblData[NSW LogiP(t)]/$AQ$9,"")</f>
        <v>9.5872260542864726E-2</v>
      </c>
      <c r="AS28" s="11">
        <f>IF(AND(tblData[Date]&gt;StartDt2Italy,ISNUMBER(tblData[Days'# Italy])),betaItaly/(deltaItaly+betaPodeltaItaly*EXP(-betaItaly*tblData[Days'# Italy])),"")</f>
        <v>4.4909507159852344</v>
      </c>
      <c r="AT28" s="11">
        <f>IF(AND(tblData[Date]&gt;StartDt2Italy,ISNUMBER(tblData[Italy])),(tblData[[#This Row],[Italy LogiP(t)]]-tblData[[#This Row],[Italy]])^2,"")</f>
        <v>2.2229340374968833</v>
      </c>
      <c r="AU28" s="41">
        <f>IF(AND(tblData[Date]&gt;StartDt2Italy,ISNUMBER(tblData[Days'# Italy])),tblData[[#This Row],[Italy LogiP(t)]]/$AT$9,"")</f>
        <v>0.74248999189637677</v>
      </c>
      <c r="AV28" s="11">
        <f>IF(ISNUMBER(tblData[[#This Row],[Days'# US]]),betaUS/(deltaUS+betaPodeltaUS*EXP(-betaUS*tblData[Days'# US])),"")</f>
        <v>0.25341719421018011</v>
      </c>
      <c r="AW28" s="11" t="str">
        <f>IF(AND(tblData[Date]&gt;=StartDt2US,ISNUMBER(tblData[US])),(tblData[[#This Row],[US LogiP(t)]]-tblData[US])^2,"")</f>
        <v/>
      </c>
      <c r="AX28" s="11">
        <f>IF(ISNUMBER(tblData[[#This Row],[Days'# US]]),tblData[[#This Row],[US LogiP(t)]]/$AW$9,"")</f>
        <v>7.6973219082871625E-3</v>
      </c>
      <c r="AY28" s="11" t="str">
        <f>IF(tblData[Date]&gt;=StartDt2Korea,betaSKorea/(deltaSKorea+betaPodeltaSKorea*EXP(-betaSKorea*(tblData[Date]-StartDt2Korea))),"")</f>
        <v/>
      </c>
      <c r="AZ28" s="11" t="str">
        <f>IF(AND(tblData[Date]&gt;=StartDt2Korea,ISNUMBER(tblData[SKorea])),(tblData[[#This Row],[SKorea LogiP(t)]]-tblData[[#This Row],[SKorea]])^2,"")</f>
        <v/>
      </c>
      <c r="BA28" s="11" t="str">
        <f>IF(tblData[Date]&gt;=StartDt2Korea,tblData[[#This Row],[SKorea LogiP(t)]]/$AZ$9,"")</f>
        <v/>
      </c>
      <c r="BB28" s="11">
        <f>IF(ISNUMBER(tblData[Days'# UK]),betaUK/(deltaUK+betaPodeltaUK*EXP(-betaUK*tblData[Days'# UK])),"")</f>
        <v>0.27317918062392726</v>
      </c>
      <c r="BC28" s="11">
        <f>IF(ISNUMBER(tblData[UK]),(tblData[[#This Row],[UK LogiP(t)]]-tblData[[#This Row],[UK]])^2,"")</f>
        <v>7.4355517809827969</v>
      </c>
      <c r="BD28" s="11">
        <f>IF(ISNUMBER(tblData[Days'# UK]),tblData[[#This Row],[UK LogiP(t)]]/$BC$9,"")</f>
        <v>4.1116673784456242E-2</v>
      </c>
      <c r="BE28" s="11">
        <f>IF(ISNUMBER(tblData[Days'# China]),betaChina/(deltaChina+betaPodeltaChina*EXP(-betaChina*tblData[Days'# China])),"")</f>
        <v>37097.234316883063</v>
      </c>
      <c r="BF28" s="11">
        <f>IF(ISNUMBER(tblData[China]),(tblData[[#This Row],[China LogiP(t)]]-tblData[[#This Row],[China]])^2,"")</f>
        <v>80221.678260215354</v>
      </c>
      <c r="BG28" s="11">
        <f>tblData[[#This Row],[China LogiP(t)]]/$BF$9</f>
        <v>257.74071779720998</v>
      </c>
      <c r="BH28" s="11">
        <f>IF(ISNUMBER(tblData[Day'# Singapore]),betaSingapore/(deltaSingapore+betaPodeltaSingapore*EXP(-betaSingapore*tblData[Day'# Singapore])),"")</f>
        <v>18.416084022057113</v>
      </c>
      <c r="BI28" s="11">
        <f>IF(AND(ISNUMBER(tblData[Singapore]),tblData[Date]&gt;=StartDt2Singapore),(tblData[[#This Row],[Singapore LogiP(t)]]-tblData[[#This Row],[Singapore]])^2,"")</f>
        <v>212.69060525169783</v>
      </c>
      <c r="BJ28" s="11">
        <f>IF(ISNUMBER(tblData[Day'# Singapore]),tblData[Singapore LogiP(t)]/$BI$9,"")</f>
        <v>31.48048550778994</v>
      </c>
      <c r="BK28" s="11">
        <f>IF(ISNUMBER(tblData[Day'# Generic]),betaGeneric/(deltaGeneric+betaPodeltaGeneric*EXP(-betaGeneric*tblData[Day'# Generic])),"")</f>
        <v>33300.735106779539</v>
      </c>
      <c r="BL28" s="11">
        <f>IF(AND(ISNUMBER(tblData[Generic]),tblData[Date]&gt;=StartDt2Generic),(tblData[Generic LogiP(t)]-tblData[[#This Row],[Generic]])^2,"")</f>
        <v>38449115.864448257</v>
      </c>
      <c r="BM28" s="11">
        <f>IF(ISNUMBER(tblData[Day'# Generic]),tblData[Generic LogiP(t)]/$BL$9,"")</f>
        <v>5692.4333515862463</v>
      </c>
      <c r="BO28" s="11"/>
      <c r="BP28" s="11" t="str">
        <f>IF(ISNUMBER(tblData[[#This Row],[Tests]]),tblData[[#This Row],[Tests]]-BP27,"")</f>
        <v/>
      </c>
      <c r="BQ28" s="11" t="str">
        <f>IF(ISNUMBER(tblData[[#This Row],[NSW Under Investigation'']]),tblData[[#This Row],[NSW Under Investigation'']]-BO27,"")</f>
        <v/>
      </c>
      <c r="BR28" s="11"/>
      <c r="BS28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28" s="11" t="str">
        <f>IF(tblData[Tests]&gt;0,(tblData[[#This Row],[Tests]]-tblData[[#This Row],[NSW Test Logi]])^2,"")</f>
        <v/>
      </c>
      <c r="BU28" s="11" t="str">
        <f>IF(ISNUMBER(tblData[Tests]),tblData[Tests]/$BS$9/100,"")</f>
        <v/>
      </c>
      <c r="BV28" s="11" t="str">
        <f>IF(AND(tblData[[#This Row],[NSW Test Day Number]]&gt;0,ISNUMBER(tblData[[#This Row],[NSW Test Day Number]])),TestsLogestB*TestsLogestM^tblData[[#This Row],[NSW Test Day Number]],"")</f>
        <v/>
      </c>
      <c r="BW28" s="11" t="str">
        <f>IF(AND(tblData[[#This Row],[NSW Test Day Number]]&gt;0,ISNUMBER(tblData[Tests])),(tblData[Tests]-tblData[[#This Row],[NSW Test Per Capita]])^2,"")</f>
        <v/>
      </c>
      <c r="BX28" s="11"/>
      <c r="BY28" s="11"/>
      <c r="BZ28" s="26"/>
      <c r="CB28" s="25"/>
      <c r="CD28" s="25"/>
      <c r="CK28"/>
      <c r="CL28"/>
      <c r="CN28" s="25"/>
      <c r="CO28" s="25"/>
      <c r="CP28" s="25"/>
      <c r="DC28"/>
      <c r="DD28"/>
      <c r="DG28" s="25"/>
      <c r="DH28" s="25"/>
      <c r="DV28"/>
      <c r="DW28"/>
      <c r="DX28"/>
      <c r="DY28" s="26" t="s">
        <v>48</v>
      </c>
      <c r="DZ28" s="76">
        <v>43915.89570601852</v>
      </c>
      <c r="EA28" s="26">
        <v>43855</v>
      </c>
      <c r="EB28" s="26">
        <v>43855</v>
      </c>
      <c r="EC28" s="25">
        <v>0</v>
      </c>
      <c r="ED28" s="25">
        <v>0.23945207141381078</v>
      </c>
      <c r="EE28" s="25">
        <v>2.4677872777670242E-5</v>
      </c>
      <c r="EF28" s="25">
        <v>1.8969822156356662E-3</v>
      </c>
      <c r="EG28" s="95">
        <v>9703.1082691405572</v>
      </c>
      <c r="EH28" s="25">
        <v>30.998325689265126</v>
      </c>
      <c r="EI28" s="25">
        <v>126.22787004889565</v>
      </c>
      <c r="EJ28" s="97">
        <v>2.4677872777670241E-2</v>
      </c>
      <c r="EK28" s="26">
        <v>43915</v>
      </c>
      <c r="EL28" s="25" t="s">
        <v>1810</v>
      </c>
      <c r="EM28" s="25">
        <v>9703.1082691405572</v>
      </c>
      <c r="EN28" s="98">
        <v>2431</v>
      </c>
      <c r="EO28" s="25" t="s">
        <v>1811</v>
      </c>
      <c r="EP28" s="26">
        <v>43915</v>
      </c>
      <c r="EQ28" s="25">
        <v>61</v>
      </c>
      <c r="ER28" s="25" t="s">
        <v>1812</v>
      </c>
      <c r="ES28" s="25"/>
      <c r="ET28" s="25" t="s">
        <v>1813</v>
      </c>
      <c r="EU28" s="25"/>
      <c r="EV28" s="82" t="s">
        <v>1814</v>
      </c>
      <c r="EW28" s="25">
        <v>958.44504021447722</v>
      </c>
      <c r="EX28" s="82"/>
      <c r="EY28" s="25"/>
      <c r="EZ28" s="25"/>
      <c r="FB28" s="25" t="s">
        <v>1809</v>
      </c>
      <c r="FC28" s="25"/>
      <c r="FD28" s="25"/>
      <c r="FE28" s="25"/>
      <c r="FF28" s="25"/>
    </row>
    <row r="29" spans="2:163" x14ac:dyDescent="0.25">
      <c r="B29" s="1">
        <v>43870</v>
      </c>
      <c r="C29">
        <v>0</v>
      </c>
      <c r="D29" s="25">
        <v>0</v>
      </c>
      <c r="E29">
        <v>4</v>
      </c>
      <c r="F29">
        <v>0</v>
      </c>
      <c r="G29">
        <v>5</v>
      </c>
      <c r="H29">
        <v>2</v>
      </c>
      <c r="I29">
        <v>0</v>
      </c>
      <c r="J29">
        <v>4</v>
      </c>
      <c r="K29">
        <v>0</v>
      </c>
      <c r="L29" s="12">
        <f>IF(ISNUMBER(tblData[[#This Row],[NSW]]),tblData[[#This Row],[New South Wales]]/$L$9,"")</f>
        <v>4.9504950495049505</v>
      </c>
      <c r="M29" s="25">
        <v>3</v>
      </c>
      <c r="N29" s="46">
        <f>IF(ISNUMBER(tblData[Italy]),tblData[Italy]/$N$9,"")</f>
        <v>0.49599074150615857</v>
      </c>
      <c r="O29">
        <v>11</v>
      </c>
      <c r="P29" s="124">
        <f>IF(ISNUMBER(tblData[US]),tblData[US]/$P$9,"")</f>
        <v>0.33411521761595392</v>
      </c>
      <c r="Q29">
        <v>25</v>
      </c>
      <c r="R29" s="19">
        <f>IF(ISNUMBER(tblData[SKorea]),tblData[SKorea]/$R$9,"")</f>
        <v>4.8638132295719849</v>
      </c>
      <c r="S29">
        <v>3</v>
      </c>
      <c r="T29" s="12">
        <f>IF(ISNUMBER(tblData[UK]),tblData[UK]/$T$9,"")</f>
        <v>0.45153521974714028</v>
      </c>
      <c r="U29">
        <v>39829</v>
      </c>
      <c r="V29" s="20">
        <f>IF(ISNUMBER(tblData[China]),tblData[China]/$V$9,"")</f>
        <v>276.72022559571752</v>
      </c>
      <c r="W29">
        <v>40</v>
      </c>
      <c r="X29" s="20">
        <f>IF(ISNUMBER(tblData[Singapore]),tblData[Singapore]/$X$9,"")</f>
        <v>68.376068376068375</v>
      </c>
      <c r="Y29">
        <v>29631</v>
      </c>
      <c r="Z29" s="20">
        <f>IF(AND(LEN(tblData[Generic])&gt;0,ISNUMBER(tblData[Generic])),tblData[Generic]/$Z$9,"")</f>
        <v>5065.1282051282051</v>
      </c>
      <c r="AA29" s="25">
        <f>IF(tblData[[#This Row],[Date]]&lt;ItalyStart,"",tblData[[#This Row],[Date]]-ItalyStart)</f>
        <v>10</v>
      </c>
      <c r="AB29" s="25">
        <f>IF(tblData[[#This Row],[Date]]&lt;USStart,"",tblData[[#This Row],[Date]]-USStart)</f>
        <v>18</v>
      </c>
      <c r="AC29" s="25">
        <f>IF(tblData[[#This Row],[Date]]&lt;ChinaStart,"",tblData[[#This Row],[Date]]-ChinaStart)</f>
        <v>18</v>
      </c>
      <c r="AD29" s="25" t="str">
        <f>IF(tblData[[#This Row],[Date]]&lt;StartDt2Korea,"",tblData[[#This Row],[Date]]-StartDt2Korea)</f>
        <v/>
      </c>
      <c r="AE29" s="25">
        <f>IF(tblData[[#This Row],[Date]]&lt;UKStart,"",tblData[[#This Row],[Date]]-UKStart)</f>
        <v>10</v>
      </c>
      <c r="AF29" s="25">
        <f>IF(tblData[[#This Row],[Date]]&lt;SingaporeStart,"",tblData[[#This Row],[Date]]-SingaporeStart)</f>
        <v>17</v>
      </c>
      <c r="AG29" s="25">
        <f>IF(tblData[[#This Row],[Date]]&lt;GenStart,"",tblData[[#This Row],[Date]]-GenStart)</f>
        <v>18</v>
      </c>
      <c r="AH29">
        <f>IF(tblData[Date]&gt;=StartDt2Au,tblData[Date]-StartDt2Au,"")</f>
        <v>15</v>
      </c>
      <c r="AI29" s="25">
        <f>IF(tblData[New South Wales]&gt;0,SUM(tblData[[#This Row],[Australian Capital Territory]:[Western Australia]]),"")</f>
        <v>15</v>
      </c>
      <c r="AJ29" s="12">
        <f>IF(ISNUMBER(tblData[Au]),tblData[Au]/$AE$9,"")</f>
        <v>5.9138937076170954</v>
      </c>
      <c r="AK29" s="19">
        <f>IF(ISNUMBER(tblData[[#This Row],[Day'# Aust]]),betaAu/(deltaAu+betaPodeltaAu*EXP(-betaAu*tblData[[#This Row],[Day'# Aust]])),"")</f>
        <v>4.3807496562734825E-2</v>
      </c>
      <c r="AL29" s="66">
        <f>IF(ISNUMBER(tblData[Day'# Aust]),tblData[Au LogiP(t)]/$AJ$9,"")</f>
        <v>1.7271525217921E-2</v>
      </c>
      <c r="AM29" s="11">
        <f>IF(AND(tblData[Date]&gt;=StartDt2Au,ISNUMBER(tblData[NSW])),(tblData[[#This Row],[Au LogiP(t)]]-tblData[[#This Row],[Au]])^2,"")</f>
        <v>223.68769419987305</v>
      </c>
      <c r="AN29">
        <f>IF(tblData[Date]&gt;StartDt2NSW,tblData[Date]-StartDt2NSW,"")</f>
        <v>15</v>
      </c>
      <c r="AO29">
        <f t="shared" si="4"/>
        <v>4</v>
      </c>
      <c r="AP29" s="11">
        <f>IF(tblData[Date]&gt;StartDt2NSW,betaNSW/(deltaNSW+betaPodeltaNSW*EXP(-betaNSW*tblData[[#This Row],[Day '# NSW]])),"")</f>
        <v>9.5428478461755714E-2</v>
      </c>
      <c r="AQ29" s="12">
        <f>IF(AND(ISNUMBER(tblData[NSW]),tblData[Date]&gt;StartDt2NSW),(tblData[[#This Row],[NSW LogiP(t)]]-tblData[[#This Row],[NSW]])^2,"")</f>
        <v>15.245678766807481</v>
      </c>
      <c r="AR29" s="12">
        <f>IF(AND(tblData[Date]&gt;StartDt2NSW,ISNUMBER(tblData[Day'# Aust])),tblData[NSW LogiP(t)]/$AQ$9,"")</f>
        <v>0.11810455255167786</v>
      </c>
      <c r="AS29" s="11">
        <f>IF(AND(tblData[Date]&gt;StartDt2Italy,ISNUMBER(tblData[Days'# Italy])),betaItaly/(deltaItaly+betaPodeltaItaly*EXP(-betaItaly*tblData[Days'# Italy])),"")</f>
        <v>5.8099668988375726</v>
      </c>
      <c r="AT29" s="11">
        <f>IF(AND(tblData[Date]&gt;StartDt2Italy,ISNUMBER(tblData[Italy])),(tblData[[#This Row],[Italy LogiP(t)]]-tblData[[#This Row],[Italy]])^2,"")</f>
        <v>7.8959139725628447</v>
      </c>
      <c r="AU29" s="41">
        <f>IF(AND(tblData[Date]&gt;StartDt2Italy,ISNUMBER(tblData[Days'# Italy])),tblData[[#This Row],[Italy LogiP(t)]]/$AT$9,"")</f>
        <v>0.96056326342689469</v>
      </c>
      <c r="AV29" s="11">
        <f>IF(ISNUMBER(tblData[[#This Row],[Days'# US]]),betaUS/(deltaUS+betaPodeltaUS*EXP(-betaUS*tblData[Days'# US])),"")</f>
        <v>0.33441293976005182</v>
      </c>
      <c r="AW29" s="11" t="str">
        <f>IF(AND(tblData[Date]&gt;=StartDt2US,ISNUMBER(tblData[US])),(tblData[[#This Row],[US LogiP(t)]]-tblData[US])^2,"")</f>
        <v/>
      </c>
      <c r="AX29" s="11">
        <f>IF(ISNUMBER(tblData[[#This Row],[Days'# US]]),tblData[[#This Row],[US LogiP(t)]]/$AW$9,"")</f>
        <v>1.0157495649229147E-2</v>
      </c>
      <c r="AY29" s="11" t="str">
        <f>IF(tblData[Date]&gt;=StartDt2Korea,betaSKorea/(deltaSKorea+betaPodeltaSKorea*EXP(-betaSKorea*(tblData[Date]-StartDt2Korea))),"")</f>
        <v/>
      </c>
      <c r="AZ29" s="11" t="str">
        <f>IF(AND(tblData[Date]&gt;=StartDt2Korea,ISNUMBER(tblData[SKorea])),(tblData[[#This Row],[SKorea LogiP(t)]]-tblData[[#This Row],[SKorea]])^2,"")</f>
        <v/>
      </c>
      <c r="BA29" s="11" t="str">
        <f>IF(tblData[Date]&gt;=StartDt2Korea,tblData[[#This Row],[SKorea LogiP(t)]]/$AZ$9,"")</f>
        <v/>
      </c>
      <c r="BB29" s="11">
        <f>IF(ISNUMBER(tblData[Days'# UK]),betaUK/(deltaUK+betaPodeltaUK*EXP(-betaUK*tblData[Days'# UK])),"")</f>
        <v>0.34636274780665199</v>
      </c>
      <c r="BC29" s="11">
        <f>IF(ISNUMBER(tblData[UK]),(tblData[[#This Row],[UK LogiP(t)]]-tblData[[#This Row],[UK]])^2,"")</f>
        <v>7.0417906662282617</v>
      </c>
      <c r="BD29" s="11">
        <f>IF(ISNUMBER(tblData[Days'# UK]),tblData[[#This Row],[UK LogiP(t)]]/$BC$9,"")</f>
        <v>5.2131659814366647E-2</v>
      </c>
      <c r="BE29" s="11">
        <f>IF(ISNUMBER(tblData[Days'# China]),betaChina/(deltaChina+betaPodeltaChina*EXP(-betaChina*tblData[Days'# China])),"")</f>
        <v>41588.165641307663</v>
      </c>
      <c r="BF29" s="11">
        <f>IF(ISNUMBER(tblData[China]),(tblData[[#This Row],[China LogiP(t)]]-tblData[[#This Row],[China]])^2,"")</f>
        <v>3094663.7535574026</v>
      </c>
      <c r="BG29" s="11">
        <f>tblData[[#This Row],[China LogiP(t)]]/$BF$9</f>
        <v>288.9423931902565</v>
      </c>
      <c r="BH29" s="11">
        <f>IF(ISNUMBER(tblData[Day'# Singapore]),betaSingapore/(deltaSingapore+betaPodeltaSingapore*EXP(-betaSingapore*tblData[Day'# Singapore])),"")</f>
        <v>19.84003499467044</v>
      </c>
      <c r="BI29" s="11">
        <f>IF(AND(ISNUMBER(tblData[Singapore]),tblData[Date]&gt;=StartDt2Singapore),(tblData[[#This Row],[Singapore LogiP(t)]]-tblData[[#This Row],[Singapore]])^2,"")</f>
        <v>406.42418901611251</v>
      </c>
      <c r="BJ29" s="11">
        <f>IF(ISNUMBER(tblData[Day'# Singapore]),tblData[Singapore LogiP(t)]/$BI$9,"")</f>
        <v>33.914589734479385</v>
      </c>
      <c r="BK29" s="11">
        <f>IF(ISNUMBER(tblData[Day'# Generic]),betaGeneric/(deltaGeneric+betaPodeltaGeneric*EXP(-betaGeneric*tblData[Day'# Generic])),"")</f>
        <v>36987.683564231236</v>
      </c>
      <c r="BL29" s="11">
        <f>IF(AND(ISNUMBER(tblData[Generic]),tblData[Date]&gt;=StartDt2Generic),(tblData[Generic LogiP(t)]-tblData[[#This Row],[Generic]])^2,"")</f>
        <v>54120793.064230002</v>
      </c>
      <c r="BM29" s="11">
        <f>IF(ISNUMBER(tblData[Day'# Generic]),tblData[Generic LogiP(t)]/$BL$9,"")</f>
        <v>6322.680951150639</v>
      </c>
      <c r="BO29" s="11"/>
      <c r="BP29" s="11" t="str">
        <f>IF(ISNUMBER(tblData[[#This Row],[Tests]]),tblData[[#This Row],[Tests]]-BP28,"")</f>
        <v/>
      </c>
      <c r="BQ29" s="11" t="str">
        <f>IF(ISNUMBER(tblData[[#This Row],[NSW Under Investigation'']]),tblData[[#This Row],[NSW Under Investigation'']]-BO28,"")</f>
        <v/>
      </c>
      <c r="BR29" s="11"/>
      <c r="BS29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29" s="11" t="str">
        <f>IF(tblData[Tests]&gt;0,(tblData[[#This Row],[Tests]]-tblData[[#This Row],[NSW Test Logi]])^2,"")</f>
        <v/>
      </c>
      <c r="BU29" s="11" t="str">
        <f>IF(ISNUMBER(tblData[Tests]),tblData[Tests]/$BS$9/100,"")</f>
        <v/>
      </c>
      <c r="BV29" s="11" t="str">
        <f>IF(AND(tblData[[#This Row],[NSW Test Day Number]]&gt;0,ISNUMBER(tblData[[#This Row],[NSW Test Day Number]])),TestsLogestB*TestsLogestM^tblData[[#This Row],[NSW Test Day Number]],"")</f>
        <v/>
      </c>
      <c r="BW29" s="11" t="str">
        <f>IF(AND(tblData[[#This Row],[NSW Test Day Number]]&gt;0,ISNUMBER(tblData[Tests])),(tblData[Tests]-tblData[[#This Row],[NSW Test Per Capita]])^2,"")</f>
        <v/>
      </c>
      <c r="BX29" s="11"/>
      <c r="BY29" s="11"/>
      <c r="BZ29" s="26"/>
      <c r="CB29" s="25"/>
      <c r="CD29" s="25"/>
      <c r="CK29"/>
      <c r="CL29"/>
      <c r="CN29" s="25"/>
      <c r="CO29" s="25"/>
      <c r="CP29" s="25"/>
      <c r="DC29"/>
      <c r="DD29"/>
      <c r="DG29" s="25"/>
      <c r="DH29" s="25"/>
      <c r="DV29"/>
      <c r="DW29"/>
      <c r="DX29"/>
      <c r="DY29" s="26" t="s">
        <v>48</v>
      </c>
      <c r="DZ29" s="76">
        <v>43915.901145833333</v>
      </c>
      <c r="EA29" s="26">
        <v>43855</v>
      </c>
      <c r="EB29" s="26">
        <v>43855</v>
      </c>
      <c r="EC29" s="25">
        <v>0</v>
      </c>
      <c r="ED29" s="25">
        <v>0.23000638427760947</v>
      </c>
      <c r="EE29" s="25">
        <v>1.6751750240899824E-5</v>
      </c>
      <c r="EF29" s="25">
        <v>3.0502463844231313E-3</v>
      </c>
      <c r="EG29" s="95">
        <v>13730.289729131888</v>
      </c>
      <c r="EH29" s="25">
        <v>19.834905605897919</v>
      </c>
      <c r="EI29" s="25">
        <v>75.405821101938017</v>
      </c>
      <c r="EJ29" s="97">
        <v>1.6751750240899824E-2</v>
      </c>
      <c r="EK29" s="26">
        <v>43915</v>
      </c>
      <c r="EL29" s="25" t="s">
        <v>1821</v>
      </c>
      <c r="EM29" s="25">
        <v>13730.289729131888</v>
      </c>
      <c r="EN29" s="98">
        <v>2431</v>
      </c>
      <c r="EO29" s="25" t="s">
        <v>1822</v>
      </c>
      <c r="EP29" s="26">
        <v>43915</v>
      </c>
      <c r="EQ29" s="25">
        <v>61</v>
      </c>
      <c r="ER29" s="25" t="s">
        <v>1823</v>
      </c>
      <c r="ES29" s="25"/>
      <c r="ET29" s="25" t="s">
        <v>1824</v>
      </c>
      <c r="EU29" s="25"/>
      <c r="EV29" s="82" t="s">
        <v>1825</v>
      </c>
      <c r="EW29" s="25">
        <v>958.44504021447722</v>
      </c>
      <c r="EX29" s="82"/>
      <c r="EY29" s="25"/>
      <c r="EZ29" s="25"/>
      <c r="FB29" s="25" t="s">
        <v>1820</v>
      </c>
      <c r="FC29" s="25"/>
      <c r="FD29" s="25"/>
      <c r="FE29" s="25"/>
    </row>
    <row r="30" spans="2:163" ht="15" customHeight="1" x14ac:dyDescent="0.25">
      <c r="B30" s="1">
        <v>43871</v>
      </c>
      <c r="C30">
        <v>0</v>
      </c>
      <c r="D30" s="25">
        <v>0</v>
      </c>
      <c r="E30">
        <v>4</v>
      </c>
      <c r="F30">
        <v>0</v>
      </c>
      <c r="G30">
        <v>5</v>
      </c>
      <c r="H30">
        <v>2</v>
      </c>
      <c r="I30">
        <v>0</v>
      </c>
      <c r="J30">
        <v>4</v>
      </c>
      <c r="K30">
        <v>0</v>
      </c>
      <c r="L30" s="12">
        <f>IF(ISNUMBER(tblData[[#This Row],[NSW]]),tblData[[#This Row],[New South Wales]]/$L$9,"")</f>
        <v>4.9504950495049505</v>
      </c>
      <c r="M30" s="25">
        <v>3</v>
      </c>
      <c r="N30" s="46">
        <f>IF(ISNUMBER(tblData[Italy]),tblData[Italy]/$N$9,"")</f>
        <v>0.49599074150615857</v>
      </c>
      <c r="O30">
        <v>11</v>
      </c>
      <c r="P30" s="124">
        <f>IF(ISNUMBER(tblData[US]),tblData[US]/$P$9,"")</f>
        <v>0.33411521761595392</v>
      </c>
      <c r="Q30">
        <v>27</v>
      </c>
      <c r="R30" s="19">
        <f>IF(ISNUMBER(tblData[SKorea]),tblData[SKorea]/$R$9,"")</f>
        <v>5.2529182879377432</v>
      </c>
      <c r="S30">
        <v>8</v>
      </c>
      <c r="T30" s="12">
        <f>IF(ISNUMBER(tblData[UK]),tblData[UK]/$T$9,"")</f>
        <v>1.2040939193257074</v>
      </c>
      <c r="U30">
        <v>42354</v>
      </c>
      <c r="V30" s="20">
        <f>IF(ISNUMBER(tblData[China]),tblData[China]/$V$9,"")</f>
        <v>294.26318599214193</v>
      </c>
      <c r="W30">
        <v>45</v>
      </c>
      <c r="X30" s="20">
        <f>IF(ISNUMBER(tblData[Singapore]),tblData[Singapore]/$X$9,"")</f>
        <v>76.923076923076934</v>
      </c>
      <c r="Y30">
        <v>31728</v>
      </c>
      <c r="Z30" s="20">
        <f>IF(AND(LEN(tblData[Generic])&gt;0,ISNUMBER(tblData[Generic])),tblData[Generic]/$Z$9,"")</f>
        <v>5423.5897435897441</v>
      </c>
      <c r="AA30" s="25">
        <f>IF(tblData[[#This Row],[Date]]&lt;ItalyStart,"",tblData[[#This Row],[Date]]-ItalyStart)</f>
        <v>11</v>
      </c>
      <c r="AB30" s="25">
        <f>IF(tblData[[#This Row],[Date]]&lt;USStart,"",tblData[[#This Row],[Date]]-USStart)</f>
        <v>19</v>
      </c>
      <c r="AC30" s="25">
        <f>IF(tblData[[#This Row],[Date]]&lt;ChinaStart,"",tblData[[#This Row],[Date]]-ChinaStart)</f>
        <v>19</v>
      </c>
      <c r="AD30" s="25" t="str">
        <f>IF(tblData[[#This Row],[Date]]&lt;StartDt2Korea,"",tblData[[#This Row],[Date]]-StartDt2Korea)</f>
        <v/>
      </c>
      <c r="AE30" s="25">
        <f>IF(tblData[[#This Row],[Date]]&lt;UKStart,"",tblData[[#This Row],[Date]]-UKStart)</f>
        <v>11</v>
      </c>
      <c r="AF30" s="25">
        <f>IF(tblData[[#This Row],[Date]]&lt;SingaporeStart,"",tblData[[#This Row],[Date]]-SingaporeStart)</f>
        <v>18</v>
      </c>
      <c r="AG30" s="25">
        <f>IF(tblData[[#This Row],[Date]]&lt;GenStart,"",tblData[[#This Row],[Date]]-GenStart)</f>
        <v>19</v>
      </c>
      <c r="AH30">
        <f>IF(tblData[Date]&gt;=StartDt2Au,tblData[Date]-StartDt2Au,"")</f>
        <v>16</v>
      </c>
      <c r="AI30" s="25">
        <f>IF(tblData[New South Wales]&gt;0,SUM(tblData[[#This Row],[Australian Capital Territory]:[Western Australia]]),"")</f>
        <v>15</v>
      </c>
      <c r="AJ30" s="12">
        <f>IF(ISNUMBER(tblData[Au]),tblData[Au]/$AE$9,"")</f>
        <v>5.9138937076170954</v>
      </c>
      <c r="AK30" s="19">
        <f>IF(ISNUMBER(tblData[[#This Row],[Day'# Aust]]),betaAu/(deltaAu+betaPodeltaAu*EXP(-betaAu*tblData[[#This Row],[Day'# Aust]])),"")</f>
        <v>5.636174091040589E-2</v>
      </c>
      <c r="AL30" s="66">
        <f>IF(ISNUMBER(tblData[Day'# Aust]),tblData[Au LogiP(t)]/$AJ$9,"")</f>
        <v>2.2221156328026292E-2</v>
      </c>
      <c r="AM30" s="11">
        <f>IF(AND(tblData[Date]&gt;=StartDt2Au,ISNUMBER(tblData[NSW])),(tblData[[#This Row],[Au LogiP(t)]]-tblData[[#This Row],[Au]])^2,"")</f>
        <v>223.31232441852629</v>
      </c>
      <c r="AN30">
        <f>IF(tblData[Date]&gt;StartDt2NSW,tblData[Date]-StartDt2NSW,"")</f>
        <v>16</v>
      </c>
      <c r="AO30">
        <f t="shared" si="4"/>
        <v>4</v>
      </c>
      <c r="AP30" s="11">
        <f>IF(tblData[Date]&gt;StartDt2NSW,betaNSW/(deltaNSW+betaPodeltaNSW*EXP(-betaNSW*tblData[[#This Row],[Day '# NSW]])),"")</f>
        <v>0.11755780863920276</v>
      </c>
      <c r="AQ30" s="12">
        <f>IF(AND(ISNUMBER(tblData[NSW]),tblData[Date]&gt;StartDt2NSW),(tblData[[#This Row],[NSW LogiP(t)]]-tblData[[#This Row],[NSW]])^2,"")</f>
        <v>15.073357369258428</v>
      </c>
      <c r="AR30" s="12">
        <f>IF(AND(tblData[Date]&gt;StartDt2NSW,ISNUMBER(tblData[Day'# Aust])),tblData[NSW LogiP(t)]/$AQ$9,"")</f>
        <v>0.14549233742475587</v>
      </c>
      <c r="AS30" s="11">
        <f>IF(AND(tblData[Date]&gt;StartDt2Italy,ISNUMBER(tblData[Days'# Italy])),betaItaly/(deltaItaly+betaPodeltaItaly*EXP(-betaItaly*tblData[Days'# Italy])),"")</f>
        <v>7.5163468844196961</v>
      </c>
      <c r="AT30" s="11">
        <f>IF(AND(tblData[Date]&gt;StartDt2Italy,ISNUMBER(tblData[Italy])),(tblData[[#This Row],[Italy LogiP(t)]]-tblData[[#This Row],[Italy]])^2,"")</f>
        <v>20.397389180407497</v>
      </c>
      <c r="AU30" s="41">
        <f>IF(AND(tblData[Date]&gt;StartDt2Italy,ISNUMBER(tblData[Days'# Italy])),tblData[[#This Row],[Italy LogiP(t)]]/$AT$9,"")</f>
        <v>1.2426794882069432</v>
      </c>
      <c r="AV30" s="20">
        <f>IF(ISNUMBER(tblData[[#This Row],[Days'# US]]),betaUS/(deltaUS+betaPodeltaUS*EXP(-betaUS*tblData[Days'# US])),"")</f>
        <v>0.44129601851350736</v>
      </c>
      <c r="AW30" s="11" t="str">
        <f>IF(AND(tblData[Date]&gt;=StartDt2US,ISNUMBER(tblData[US])),(tblData[[#This Row],[US LogiP(t)]]-tblData[US])^2,"")</f>
        <v/>
      </c>
      <c r="AX30" s="20">
        <f>IF(ISNUMBER(tblData[[#This Row],[Days'# US]]),tblData[[#This Row],[US LogiP(t)]]/$AW$9,"")</f>
        <v>1.3403974114426778E-2</v>
      </c>
      <c r="AY30" s="20" t="str">
        <f>IF(tblData[Date]&gt;=StartDt2Korea,betaSKorea/(deltaSKorea+betaPodeltaSKorea*EXP(-betaSKorea*(tblData[Date]-StartDt2Korea))),"")</f>
        <v/>
      </c>
      <c r="AZ30" s="20" t="str">
        <f>IF(AND(tblData[Date]&gt;=StartDt2Korea,ISNUMBER(tblData[SKorea])),(tblData[[#This Row],[SKorea LogiP(t)]]-tblData[[#This Row],[SKorea]])^2,"")</f>
        <v/>
      </c>
      <c r="BA30" s="20" t="str">
        <f>IF(tblData[Date]&gt;=StartDt2Korea,tblData[[#This Row],[SKorea LogiP(t)]]/$AZ$9,"")</f>
        <v/>
      </c>
      <c r="BB30" s="11">
        <f>IF(ISNUMBER(tblData[Days'# UK]),betaUK/(deltaUK+betaPodeltaUK*EXP(-betaUK*tblData[Days'# UK])),"")</f>
        <v>0.4391514976371132</v>
      </c>
      <c r="BC30" s="20">
        <f>IF(ISNUMBER(tblData[UK]),(tblData[[#This Row],[UK LogiP(t)]]-tblData[[#This Row],[UK]])^2,"")</f>
        <v>57.166430075683103</v>
      </c>
      <c r="BD30" s="20">
        <f>IF(ISNUMBER(tblData[Days'# UK]),tblData[[#This Row],[UK LogiP(t)]]/$BC$9,"")</f>
        <v>6.6097455995953222E-2</v>
      </c>
      <c r="BE30" s="11">
        <f>IF(ISNUMBER(tblData[Days'# China]),betaChina/(deltaChina+betaPodeltaChina*EXP(-betaChina*tblData[Days'# China])),"")</f>
        <v>46052.680991669935</v>
      </c>
      <c r="BF30" s="11">
        <f>IF(ISNUMBER(tblData[China]),(tblData[[#This Row],[China LogiP(t)]]-tblData[[#This Row],[China]])^2,"")</f>
        <v>13680241.078140493</v>
      </c>
      <c r="BG30" s="11">
        <f>tblData[[#This Row],[China LogiP(t)]]/$BF$9</f>
        <v>319.96053813308185</v>
      </c>
      <c r="BH30" s="11">
        <f>IF(ISNUMBER(tblData[Day'# Singapore]),betaSingapore/(deltaSingapore+betaPodeltaSingapore*EXP(-betaSingapore*tblData[Day'# Singapore])),"")</f>
        <v>21.374087353083045</v>
      </c>
      <c r="BI30" s="11">
        <f>IF(AND(ISNUMBER(tblData[Singapore]),tblData[Date]&gt;=StartDt2Singapore),(tblData[[#This Row],[Singapore LogiP(t)]]-tblData[[#This Row],[Singapore]])^2,"")</f>
        <v>558.18374839975047</v>
      </c>
      <c r="BJ30" s="11">
        <f>IF(ISNUMBER(tblData[Day'# Singapore]),tblData[Singapore LogiP(t)]/$BI$9,"")</f>
        <v>36.536901458261617</v>
      </c>
      <c r="BK30" s="11">
        <f>IF(ISNUMBER(tblData[Day'# Generic]),betaGeneric/(deltaGeneric+betaPodeltaGeneric*EXP(-betaGeneric*tblData[Day'# Generic])),"")</f>
        <v>40595.564984063021</v>
      </c>
      <c r="BL30" s="11">
        <f>IF(AND(ISNUMBER(tblData[Generic]),tblData[Date]&gt;=StartDt2Generic),(tblData[Generic LogiP(t)]-tblData[[#This Row],[Generic]])^2,"")</f>
        <v>78633708.746580616</v>
      </c>
      <c r="BM30" s="11">
        <f>IF(ISNUMBER(tblData[Day'# Generic]),tblData[Generic LogiP(t)]/$BL$9,"")</f>
        <v>6939.4128177885514</v>
      </c>
      <c r="BO30" s="11"/>
      <c r="BP30" s="11" t="str">
        <f>IF(ISNUMBER(tblData[[#This Row],[Tests]]),tblData[[#This Row],[Tests]]-BP29,"")</f>
        <v/>
      </c>
      <c r="BQ30" s="11" t="str">
        <f>IF(ISNUMBER(tblData[[#This Row],[NSW Under Investigation'']]),tblData[[#This Row],[NSW Under Investigation'']]-BO29,"")</f>
        <v/>
      </c>
      <c r="BR30" s="11"/>
      <c r="BS30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30" s="11" t="str">
        <f>IF(tblData[Tests]&gt;0,(tblData[[#This Row],[Tests]]-tblData[[#This Row],[NSW Test Logi]])^2,"")</f>
        <v/>
      </c>
      <c r="BU30" s="11" t="str">
        <f>IF(ISNUMBER(tblData[Tests]),tblData[Tests]/$BS$9/100,"")</f>
        <v/>
      </c>
      <c r="BV30" s="11" t="str">
        <f>IF(AND(tblData[[#This Row],[NSW Test Day Number]]&gt;0,ISNUMBER(tblData[[#This Row],[NSW Test Day Number]])),TestsLogestB*TestsLogestM^tblData[[#This Row],[NSW Test Day Number]],"")</f>
        <v/>
      </c>
      <c r="BW30" s="11" t="str">
        <f>IF(AND(tblData[[#This Row],[NSW Test Day Number]]&gt;0,ISNUMBER(tblData[Tests])),(tblData[Tests]-tblData[[#This Row],[NSW Test Per Capita]])^2,"")</f>
        <v/>
      </c>
      <c r="BX30" s="11"/>
      <c r="BY30" s="11"/>
      <c r="BZ30" s="26"/>
      <c r="CB30" s="25"/>
      <c r="CD30" s="25"/>
      <c r="CK30"/>
      <c r="CL30"/>
      <c r="CN30" s="25"/>
      <c r="CO30" s="25"/>
      <c r="CP30" s="25"/>
      <c r="DC30"/>
      <c r="DD30"/>
      <c r="DG30" s="25"/>
      <c r="DH30" s="25"/>
      <c r="DV30"/>
      <c r="DW30"/>
      <c r="DX30"/>
      <c r="DY30" s="26" t="s">
        <v>48</v>
      </c>
      <c r="DZ30" s="76">
        <v>43916.456574074073</v>
      </c>
      <c r="EA30" s="26">
        <v>43855</v>
      </c>
      <c r="EB30" s="26">
        <v>43855</v>
      </c>
      <c r="EC30" s="25">
        <v>0</v>
      </c>
      <c r="ED30" s="25">
        <v>0.2525762813266027</v>
      </c>
      <c r="EE30" s="25">
        <v>4.0414292801205234E-5</v>
      </c>
      <c r="EF30" s="25">
        <v>9.999999999999998E-4</v>
      </c>
      <c r="EG30" s="95">
        <v>6249.6771270749632</v>
      </c>
      <c r="EH30" s="25">
        <v>34.603419735329808</v>
      </c>
      <c r="EI30" s="25">
        <v>252.57624091230994</v>
      </c>
      <c r="EJ30" s="97">
        <v>4.0414292801205232E-2</v>
      </c>
      <c r="EK30" s="26">
        <v>43916</v>
      </c>
      <c r="EL30" s="25" t="s">
        <v>1845</v>
      </c>
      <c r="EM30" s="25">
        <v>6249.6771270749632</v>
      </c>
      <c r="EN30" s="98">
        <v>2677</v>
      </c>
      <c r="EO30" s="25" t="s">
        <v>1846</v>
      </c>
      <c r="EP30" s="26">
        <v>43916</v>
      </c>
      <c r="EQ30" s="25">
        <v>62</v>
      </c>
      <c r="ER30" s="25" t="s">
        <v>1847</v>
      </c>
      <c r="ES30" s="25"/>
      <c r="ET30" s="25" t="s">
        <v>1848</v>
      </c>
      <c r="EU30" s="25"/>
      <c r="EV30" s="82" t="s">
        <v>1849</v>
      </c>
      <c r="EW30" s="25">
        <v>1055.4328970193976</v>
      </c>
      <c r="EX30" s="82"/>
      <c r="EY30" s="25"/>
      <c r="EZ30" s="25"/>
      <c r="FB30" s="25" t="s">
        <v>1844</v>
      </c>
      <c r="FC30" s="25"/>
    </row>
    <row r="31" spans="2:163" ht="15" customHeight="1" x14ac:dyDescent="0.25">
      <c r="B31" s="1">
        <v>43872</v>
      </c>
      <c r="C31">
        <v>0</v>
      </c>
      <c r="D31" s="25">
        <v>0</v>
      </c>
      <c r="E31">
        <v>4</v>
      </c>
      <c r="F31">
        <v>0</v>
      </c>
      <c r="G31">
        <v>5</v>
      </c>
      <c r="H31">
        <v>2</v>
      </c>
      <c r="I31">
        <v>0</v>
      </c>
      <c r="J31">
        <v>4</v>
      </c>
      <c r="K31">
        <v>0</v>
      </c>
      <c r="L31" s="12">
        <f>IF(ISNUMBER(tblData[[#This Row],[NSW]]),tblData[[#This Row],[New South Wales]]/$L$9,"")</f>
        <v>4.9504950495049505</v>
      </c>
      <c r="M31" s="25">
        <v>3</v>
      </c>
      <c r="N31" s="46">
        <f>IF(ISNUMBER(tblData[Italy]),tblData[Italy]/$N$9,"")</f>
        <v>0.49599074150615857</v>
      </c>
      <c r="O31">
        <v>12</v>
      </c>
      <c r="P31" s="124">
        <f>IF(ISNUMBER(tblData[US]),tblData[US]/$P$9,"")</f>
        <v>0.36448932830831338</v>
      </c>
      <c r="Q31">
        <v>28</v>
      </c>
      <c r="R31" s="19">
        <f>IF(ISNUMBER(tblData[SKorea]),tblData[SKorea]/$R$9,"")</f>
        <v>5.4474708171206228</v>
      </c>
      <c r="S31">
        <v>8</v>
      </c>
      <c r="T31" s="12">
        <f>IF(ISNUMBER(tblData[UK]),tblData[UK]/$T$9,"")</f>
        <v>1.2040939193257074</v>
      </c>
      <c r="U31">
        <v>44386</v>
      </c>
      <c r="V31" s="20">
        <f>IF(ISNUMBER(tblData[China]),tblData[China]/$V$9,"")</f>
        <v>308.38092679433373</v>
      </c>
      <c r="W31">
        <v>47</v>
      </c>
      <c r="X31" s="20">
        <f>IF(ISNUMBER(tblData[Singapore]),tblData[Singapore]/$X$9,"")</f>
        <v>80.341880341880341</v>
      </c>
      <c r="Y31">
        <v>33366</v>
      </c>
      <c r="Z31" s="20">
        <f>IF(AND(LEN(tblData[Generic])&gt;0,ISNUMBER(tblData[Generic])),tblData[Generic]/$Z$9,"")</f>
        <v>5703.5897435897441</v>
      </c>
      <c r="AA31" s="25">
        <f>IF(tblData[[#This Row],[Date]]&lt;ItalyStart,"",tblData[[#This Row],[Date]]-ItalyStart)</f>
        <v>12</v>
      </c>
      <c r="AB31" s="25">
        <f>IF(tblData[[#This Row],[Date]]&lt;USStart,"",tblData[[#This Row],[Date]]-USStart)</f>
        <v>20</v>
      </c>
      <c r="AC31" s="25">
        <f>IF(tblData[[#This Row],[Date]]&lt;ChinaStart,"",tblData[[#This Row],[Date]]-ChinaStart)</f>
        <v>20</v>
      </c>
      <c r="AD31" s="25" t="str">
        <f>IF(tblData[[#This Row],[Date]]&lt;StartDt2Korea,"",tblData[[#This Row],[Date]]-StartDt2Korea)</f>
        <v/>
      </c>
      <c r="AE31" s="25">
        <f>IF(tblData[[#This Row],[Date]]&lt;UKStart,"",tblData[[#This Row],[Date]]-UKStart)</f>
        <v>12</v>
      </c>
      <c r="AF31" s="25">
        <f>IF(tblData[[#This Row],[Date]]&lt;SingaporeStart,"",tblData[[#This Row],[Date]]-SingaporeStart)</f>
        <v>19</v>
      </c>
      <c r="AG31" s="25">
        <f>IF(tblData[[#This Row],[Date]]&lt;GenStart,"",tblData[[#This Row],[Date]]-GenStart)</f>
        <v>20</v>
      </c>
      <c r="AH31">
        <f>IF(tblData[Date]&gt;=StartDt2Au,tblData[Date]-StartDt2Au,"")</f>
        <v>17</v>
      </c>
      <c r="AI31" s="25">
        <f>IF(tblData[New South Wales]&gt;0,SUM(tblData[[#This Row],[Australian Capital Territory]:[Western Australia]]),"")</f>
        <v>15</v>
      </c>
      <c r="AJ31" s="12">
        <f>IF(ISNUMBER(tblData[Au]),tblData[Au]/$AE$9,"")</f>
        <v>5.9138937076170954</v>
      </c>
      <c r="AK31" s="19">
        <f>IF(ISNUMBER(tblData[[#This Row],[Day'# Aust]]),betaAu/(deltaAu+betaPodeltaAu*EXP(-betaAu*tblData[[#This Row],[Day'# Aust]])),"")</f>
        <v>7.2513712570924344E-2</v>
      </c>
      <c r="AL31" s="66">
        <f>IF(ISNUMBER(tblData[Day'# Aust]),tblData[Au LogiP(t)]/$AJ$9,"")</f>
        <v>2.8589225899276274E-2</v>
      </c>
      <c r="AM31" s="11">
        <f>IF(AND(tblData[Date]&gt;=StartDt2Au,ISNUMBER(tblData[NSW])),(tblData[[#This Row],[Au LogiP(t)]]-tblData[[#This Row],[Au]])^2,"")</f>
        <v>222.82984686138309</v>
      </c>
      <c r="AN31">
        <f>IF(tblData[Date]&gt;StartDt2NSW,tblData[Date]-StartDt2NSW,"")</f>
        <v>17</v>
      </c>
      <c r="AO31">
        <f t="shared" si="4"/>
        <v>4</v>
      </c>
      <c r="AP31" s="11">
        <f>IF(tblData[Date]&gt;StartDt2NSW,betaNSW/(deltaNSW+betaPodeltaNSW*EXP(-betaNSW*tblData[[#This Row],[Day '# NSW]])),"")</f>
        <v>0.14481872924345104</v>
      </c>
      <c r="AQ31" s="12">
        <f>IF(AND(ISNUMBER(tblData[NSW]),tblData[Date]&gt;StartDt2NSW),(tblData[[#This Row],[NSW LogiP(t)]]-tblData[[#This Row],[NSW]])^2,"")</f>
        <v>14.86242263039208</v>
      </c>
      <c r="AR31" s="12">
        <f>IF(AND(tblData[Date]&gt;StartDt2NSW,ISNUMBER(tblData[Day'# Aust])),tblData[NSW LogiP(t)]/$AQ$9,"")</f>
        <v>0.17923110054882554</v>
      </c>
      <c r="AS31" s="11">
        <f>IF(AND(tblData[Date]&gt;StartDt2Italy,ISNUMBER(tblData[Days'# Italy])),betaItaly/(deltaItaly+betaPodeltaItaly*EXP(-betaItaly*tblData[Days'# Italy])),"")</f>
        <v>9.723824453117345</v>
      </c>
      <c r="AT31" s="11">
        <f>IF(AND(tblData[Date]&gt;StartDt2Italy,ISNUMBER(tblData[Italy])),(tblData[[#This Row],[Italy LogiP(t)]]-tblData[[#This Row],[Italy]])^2,"")</f>
        <v>45.209815276338766</v>
      </c>
      <c r="AU31" s="41">
        <f>IF(AND(tblData[Date]&gt;StartDt2Italy,ISNUMBER(tblData[Days'# Italy])),tblData[[#This Row],[Italy LogiP(t)]]/$AT$9,"")</f>
        <v>1.6076423002591296</v>
      </c>
      <c r="AV31" s="20">
        <f>IF(ISNUMBER(tblData[[#This Row],[Days'# US]]),betaUS/(deltaUS+betaPodeltaUS*EXP(-betaUS*tblData[Days'# US])),"")</f>
        <v>0.58234032627341836</v>
      </c>
      <c r="AW31" s="11" t="str">
        <f>IF(AND(tblData[Date]&gt;=StartDt2US,ISNUMBER(tblData[US])),(tblData[[#This Row],[US LogiP(t)]]-tblData[US])^2,"")</f>
        <v/>
      </c>
      <c r="AX31" s="20">
        <f>IF(ISNUMBER(tblData[[#This Row],[Days'# US]]),tblData[[#This Row],[US LogiP(t)]]/$AW$9,"")</f>
        <v>1.7688069530853529E-2</v>
      </c>
      <c r="AY31" s="20" t="str">
        <f>IF(tblData[Date]&gt;=StartDt2Korea,betaSKorea/(deltaSKorea+betaPodeltaSKorea*EXP(-betaSKorea*(tblData[Date]-StartDt2Korea))),"")</f>
        <v/>
      </c>
      <c r="AZ31" s="20" t="str">
        <f>IF(AND(tblData[Date]&gt;=StartDt2Korea,ISNUMBER(tblData[SKorea])),(tblData[[#This Row],[SKorea LogiP(t)]]-tblData[[#This Row],[SKorea]])^2,"")</f>
        <v/>
      </c>
      <c r="BA31" s="20" t="str">
        <f>IF(tblData[Date]&gt;=StartDt2Korea,tblData[[#This Row],[SKorea LogiP(t)]]/$AZ$9,"")</f>
        <v/>
      </c>
      <c r="BB31" s="11">
        <f>IF(ISNUMBER(tblData[Days'# UK]),betaUK/(deltaUK+betaPodeltaUK*EXP(-betaUK*tblData[Days'# UK])),"")</f>
        <v>0.55679723489661759</v>
      </c>
      <c r="BC31" s="20">
        <f>IF(ISNUMBER(tblData[UK]),(tblData[[#This Row],[UK LogiP(t)]]-tblData[[#This Row],[UK]])^2,"")</f>
        <v>55.401267402442642</v>
      </c>
      <c r="BD31" s="20">
        <f>IF(ISNUMBER(tblData[Days'# UK]),tblData[[#This Row],[UK LogiP(t)]]/$BC$9,"")</f>
        <v>8.3804520604548099E-2</v>
      </c>
      <c r="BE31" s="11">
        <f>IF(ISNUMBER(tblData[Days'# China]),betaChina/(deltaChina+betaPodeltaChina*EXP(-betaChina*tblData[Days'# China])),"")</f>
        <v>50384.016903985837</v>
      </c>
      <c r="BF31" s="11">
        <f>IF(ISNUMBER(tblData[China]),(tblData[[#This Row],[China LogiP(t)]]-tblData[[#This Row],[China]])^2,"")</f>
        <v>35976206.780499853</v>
      </c>
      <c r="BG31" s="11">
        <f>tblData[[#This Row],[China LogiP(t)]]/$BF$9</f>
        <v>350.05339135025753</v>
      </c>
      <c r="BH31" s="11">
        <f>IF(ISNUMBER(tblData[Day'# Singapore]),betaSingapore/(deltaSingapore+betaPodeltaSingapore*EXP(-betaSingapore*tblData[Day'# Singapore])),"")</f>
        <v>23.026754252158288</v>
      </c>
      <c r="BI31" s="11">
        <f>IF(AND(ISNUMBER(tblData[Singapore]),tblData[Date]&gt;=StartDt2Singapore),(tblData[[#This Row],[Singapore LogiP(t)]]-tblData[[#This Row],[Singapore]])^2,"")</f>
        <v>574.71651168641074</v>
      </c>
      <c r="BJ31" s="11">
        <f>IF(ISNUMBER(tblData[Day'# Singapore]),tblData[Singapore LogiP(t)]/$BI$9,"")</f>
        <v>39.361973080612458</v>
      </c>
      <c r="BK31" s="11">
        <f>IF(ISNUMBER(tblData[Day'# Generic]),betaGeneric/(deltaGeneric+betaPodeltaGeneric*EXP(-betaGeneric*tblData[Day'# Generic])),"")</f>
        <v>44044.174443089993</v>
      </c>
      <c r="BL31" s="11">
        <f>IF(AND(ISNUMBER(tblData[Generic]),tblData[Date]&gt;=StartDt2Generic),(tblData[Generic LogiP(t)]-tblData[[#This Row],[Generic]])^2,"")</f>
        <v>114023409.43706027</v>
      </c>
      <c r="BM31" s="11">
        <f>IF(ISNUMBER(tblData[Day'# Generic]),tblData[Generic LogiP(t)]/$BL$9,"")</f>
        <v>7528.9187082205117</v>
      </c>
      <c r="BO31" s="11"/>
      <c r="BP31" s="11" t="str">
        <f>IF(ISNUMBER(tblData[[#This Row],[Tests]]),tblData[[#This Row],[Tests]]-BP30,"")</f>
        <v/>
      </c>
      <c r="BQ31" s="11" t="str">
        <f>IF(ISNUMBER(tblData[[#This Row],[NSW Under Investigation'']]),tblData[[#This Row],[NSW Under Investigation'']]-BO30,"")</f>
        <v/>
      </c>
      <c r="BR31" s="11"/>
      <c r="BS31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31" s="11" t="str">
        <f>IF(tblData[Tests]&gt;0,(tblData[[#This Row],[Tests]]-tblData[[#This Row],[NSW Test Logi]])^2,"")</f>
        <v/>
      </c>
      <c r="BU31" s="11" t="str">
        <f>IF(ISNUMBER(tblData[Tests]),tblData[Tests]/$BS$9/100,"")</f>
        <v/>
      </c>
      <c r="BV31" s="11" t="str">
        <f>IF(AND(tblData[[#This Row],[NSW Test Day Number]]&gt;0,ISNUMBER(tblData[[#This Row],[NSW Test Day Number]])),TestsLogestB*TestsLogestM^tblData[[#This Row],[NSW Test Day Number]],"")</f>
        <v/>
      </c>
      <c r="BW31" s="11" t="str">
        <f>IF(AND(tblData[[#This Row],[NSW Test Day Number]]&gt;0,ISNUMBER(tblData[Tests])),(tblData[Tests]-tblData[[#This Row],[NSW Test Per Capita]])^2,"")</f>
        <v/>
      </c>
      <c r="BX31" s="11"/>
      <c r="BY31" s="11"/>
      <c r="BZ31" s="26"/>
      <c r="CB31" s="25"/>
      <c r="CD31" s="25"/>
      <c r="CK31"/>
      <c r="CL31"/>
      <c r="CN31" s="25"/>
      <c r="CO31" s="25"/>
      <c r="CP31" s="25"/>
      <c r="DC31"/>
      <c r="DD31"/>
      <c r="DG31" s="25"/>
      <c r="DH31" s="25"/>
      <c r="DV31"/>
      <c r="DW31"/>
      <c r="DX31"/>
      <c r="DY31" s="26" t="s">
        <v>48</v>
      </c>
      <c r="DZ31" s="76">
        <v>43916.898969907408</v>
      </c>
      <c r="EA31" s="26">
        <v>43855</v>
      </c>
      <c r="EB31" s="26">
        <v>43855</v>
      </c>
      <c r="EC31">
        <v>0</v>
      </c>
      <c r="ED31" s="25">
        <v>0.25198740272460018</v>
      </c>
      <c r="EE31" s="95">
        <v>3.5811924155832426E-5</v>
      </c>
      <c r="EF31" s="25">
        <v>9.999999999999998E-4</v>
      </c>
      <c r="EG31" s="25">
        <v>7036.4105996678436</v>
      </c>
      <c r="EH31" s="97">
        <v>31.506780671612191</v>
      </c>
      <c r="EI31" s="26">
        <v>251.98736691267607</v>
      </c>
      <c r="EJ31" s="25">
        <v>3.5811924155832425E-2</v>
      </c>
      <c r="EK31" s="26">
        <v>43916</v>
      </c>
      <c r="EL31" s="98" t="s">
        <v>1868</v>
      </c>
      <c r="EM31" s="25">
        <v>7036.4105996678436</v>
      </c>
      <c r="EN31" s="26">
        <v>2806</v>
      </c>
      <c r="EO31" s="25" t="s">
        <v>1869</v>
      </c>
      <c r="EP31" s="26">
        <v>43916</v>
      </c>
      <c r="EQ31" s="25">
        <v>62</v>
      </c>
      <c r="ER31" s="25" t="s">
        <v>1870</v>
      </c>
      <c r="ET31" s="82" t="s">
        <v>1871</v>
      </c>
      <c r="EU31" s="25"/>
      <c r="EV31" s="82" t="s">
        <v>1872</v>
      </c>
      <c r="EW31" s="25">
        <v>1106.2923829049046</v>
      </c>
      <c r="EX31" s="25"/>
      <c r="EY31" s="25"/>
      <c r="EZ31" s="25"/>
      <c r="FB31" t="s">
        <v>1867</v>
      </c>
      <c r="FC31" s="25"/>
    </row>
    <row r="32" spans="2:163" ht="15" customHeight="1" x14ac:dyDescent="0.3">
      <c r="B32" s="1">
        <v>43873</v>
      </c>
      <c r="C32">
        <v>0</v>
      </c>
      <c r="D32" s="25">
        <v>0</v>
      </c>
      <c r="E32">
        <v>4</v>
      </c>
      <c r="F32">
        <v>0</v>
      </c>
      <c r="G32">
        <v>5</v>
      </c>
      <c r="H32">
        <v>2</v>
      </c>
      <c r="I32">
        <v>0</v>
      </c>
      <c r="J32">
        <v>4</v>
      </c>
      <c r="K32">
        <v>0</v>
      </c>
      <c r="L32" s="12">
        <f>IF(ISNUMBER(tblData[[#This Row],[NSW]]),tblData[[#This Row],[New South Wales]]/$L$9,"")</f>
        <v>4.9504950495049505</v>
      </c>
      <c r="M32" s="25">
        <v>3</v>
      </c>
      <c r="N32" s="46">
        <f>IF(ISNUMBER(tblData[Italy]),tblData[Italy]/$N$9,"")</f>
        <v>0.49599074150615857</v>
      </c>
      <c r="O32">
        <v>12</v>
      </c>
      <c r="P32" s="124">
        <f>IF(ISNUMBER(tblData[US]),tblData[US]/$P$9,"")</f>
        <v>0.36448932830831338</v>
      </c>
      <c r="Q32">
        <v>28</v>
      </c>
      <c r="R32" s="19">
        <f>IF(ISNUMBER(tblData[SKorea]),tblData[SKorea]/$R$9,"")</f>
        <v>5.4474708171206228</v>
      </c>
      <c r="S32">
        <v>9</v>
      </c>
      <c r="T32" s="12">
        <f>IF(ISNUMBER(tblData[UK]),tblData[UK]/$T$9,"")</f>
        <v>1.3546056592414208</v>
      </c>
      <c r="U32">
        <v>44759</v>
      </c>
      <c r="V32" s="20">
        <f>IF(ISNUMBER(tblData[China]),tblData[China]/$V$9,"")</f>
        <v>310.97242153804314</v>
      </c>
      <c r="W32">
        <v>50</v>
      </c>
      <c r="X32" s="20">
        <f>IF(ISNUMBER(tblData[Singapore]),tblData[Singapore]/$X$9,"")</f>
        <v>85.470085470085479</v>
      </c>
      <c r="Y32">
        <v>33366</v>
      </c>
      <c r="Z32" s="20">
        <f>IF(AND(LEN(tblData[Generic])&gt;0,ISNUMBER(tblData[Generic])),tblData[Generic]/$Z$9,"")</f>
        <v>5703.5897435897441</v>
      </c>
      <c r="AA32" s="25">
        <f>IF(tblData[[#This Row],[Date]]&lt;ItalyStart,"",tblData[[#This Row],[Date]]-ItalyStart)</f>
        <v>13</v>
      </c>
      <c r="AB32" s="25">
        <f>IF(tblData[[#This Row],[Date]]&lt;USStart,"",tblData[[#This Row],[Date]]-USStart)</f>
        <v>21</v>
      </c>
      <c r="AC32" s="25">
        <f>IF(tblData[[#This Row],[Date]]&lt;ChinaStart,"",tblData[[#This Row],[Date]]-ChinaStart)</f>
        <v>21</v>
      </c>
      <c r="AD32" s="25" t="str">
        <f>IF(tblData[[#This Row],[Date]]&lt;StartDt2Korea,"",tblData[[#This Row],[Date]]-StartDt2Korea)</f>
        <v/>
      </c>
      <c r="AE32" s="25">
        <f>IF(tblData[[#This Row],[Date]]&lt;UKStart,"",tblData[[#This Row],[Date]]-UKStart)</f>
        <v>13</v>
      </c>
      <c r="AF32" s="25">
        <f>IF(tblData[[#This Row],[Date]]&lt;SingaporeStart,"",tblData[[#This Row],[Date]]-SingaporeStart)</f>
        <v>20</v>
      </c>
      <c r="AG32" s="25">
        <f>IF(tblData[[#This Row],[Date]]&lt;GenStart,"",tblData[[#This Row],[Date]]-GenStart)</f>
        <v>21</v>
      </c>
      <c r="AH32">
        <f>IF(tblData[Date]&gt;=StartDt2Au,tblData[Date]-StartDt2Au,"")</f>
        <v>18</v>
      </c>
      <c r="AI32" s="25">
        <f>IF(tblData[New South Wales]&gt;0,SUM(tblData[[#This Row],[Australian Capital Territory]:[Western Australia]]),"")</f>
        <v>15</v>
      </c>
      <c r="AJ32" s="12">
        <f>IF(ISNUMBER(tblData[Au]),tblData[Au]/$AE$9,"")</f>
        <v>5.9138937076170954</v>
      </c>
      <c r="AK32" s="19">
        <f>IF(ISNUMBER(tblData[[#This Row],[Day'# Aust]]),betaAu/(deltaAu+betaPodeltaAu*EXP(-betaAu*tblData[[#This Row],[Day'# Aust]])),"")</f>
        <v>9.3294404445564277E-2</v>
      </c>
      <c r="AL32" s="66">
        <f>IF(ISNUMBER(tblData[Day'# Aust]),tblData[Au LogiP(t)]/$AJ$9,"")</f>
        <v>3.6782212760433794E-2</v>
      </c>
      <c r="AM32" s="11">
        <f>IF(AND(tblData[Date]&gt;=StartDt2Au,ISNUMBER(tblData[NSW])),(tblData[[#This Row],[Au LogiP(t)]]-tblData[[#This Row],[Au]])^2,"")</f>
        <v>222.20987171253395</v>
      </c>
      <c r="AN32">
        <f>IF(tblData[Date]&gt;StartDt2NSW,tblData[Date]-StartDt2NSW,"")</f>
        <v>18</v>
      </c>
      <c r="AO32">
        <f t="shared" si="4"/>
        <v>4</v>
      </c>
      <c r="AP32" s="11">
        <f>IF(tblData[Date]&gt;StartDt2NSW,betaNSW/(deltaNSW+betaPodeltaNSW*EXP(-betaNSW*tblData[[#This Row],[Day '# NSW]])),"")</f>
        <v>0.17840116936161413</v>
      </c>
      <c r="AQ32" s="12">
        <f>IF(AND(ISNUMBER(tblData[NSW]),tblData[Date]&gt;StartDt2NSW),(tblData[[#This Row],[NSW LogiP(t)]]-tblData[[#This Row],[NSW]])^2,"")</f>
        <v>14.604617622336679</v>
      </c>
      <c r="AR32" s="12">
        <f>IF(AND(tblData[Date]&gt;StartDt2NSW,ISNUMBER(tblData[Day'# Aust])),tblData[NSW LogiP(t)]/$AQ$9,"")</f>
        <v>0.22079352643764122</v>
      </c>
      <c r="AS32" s="11">
        <f>IF(AND(tblData[Date]&gt;StartDt2Italy,ISNUMBER(tblData[Days'# Italy])),betaItaly/(deltaItaly+betaPodeltaItaly*EXP(-betaItaly*tblData[Days'# Italy])),"")</f>
        <v>12.579509357061241</v>
      </c>
      <c r="AT32" s="11">
        <f>IF(AND(tblData[Date]&gt;StartDt2Italy,ISNUMBER(tblData[Italy])),(tblData[[#This Row],[Italy LogiP(t)]]-tblData[[#This Row],[Italy]])^2,"")</f>
        <v>91.766999522023866</v>
      </c>
      <c r="AU32" s="41">
        <f>IF(AND(tblData[Date]&gt;StartDt2Italy,ISNUMBER(tblData[Days'# Italy])),tblData[[#This Row],[Italy LogiP(t)]]/$AT$9,"")</f>
        <v>2.0797733912641552</v>
      </c>
      <c r="AV32" s="20">
        <f>IF(ISNUMBER(tblData[[#This Row],[Days'# US]]),betaUS/(deltaUS+betaPodeltaUS*EXP(-betaUS*tblData[Days'# US])),"")</f>
        <v>0.76846415962625714</v>
      </c>
      <c r="AW32" s="11" t="str">
        <f>IF(AND(tblData[Date]&gt;=StartDt2US,ISNUMBER(tblData[US])),(tblData[[#This Row],[US LogiP(t)]]-tblData[US])^2,"")</f>
        <v/>
      </c>
      <c r="AX32" s="20">
        <f>IF(ISNUMBER(tblData[[#This Row],[Days'# US]]),tblData[[#This Row],[US LogiP(t)]]/$AW$9,"")</f>
        <v>2.3341415447598917E-2</v>
      </c>
      <c r="AY32" s="20" t="str">
        <f>IF(tblData[Date]&gt;=StartDt2Korea,betaSKorea/(deltaSKorea+betaPodeltaSKorea*EXP(-betaSKorea*(tblData[Date]-StartDt2Korea))),"")</f>
        <v/>
      </c>
      <c r="AZ32" s="20" t="str">
        <f>IF(AND(tblData[Date]&gt;=StartDt2Korea,ISNUMBER(tblData[SKorea])),(tblData[[#This Row],[SKorea LogiP(t)]]-tblData[[#This Row],[SKorea]])^2,"")</f>
        <v/>
      </c>
      <c r="BA32" s="20" t="str">
        <f>IF(tblData[Date]&gt;=StartDt2Korea,tblData[[#This Row],[SKorea LogiP(t)]]/$AZ$9,"")</f>
        <v/>
      </c>
      <c r="BB32" s="11">
        <f>IF(ISNUMBER(tblData[Days'# UK]),betaUK/(deltaUK+betaPodeltaUK*EXP(-betaUK*tblData[Days'# UK])),"")</f>
        <v>0.70595846510936155</v>
      </c>
      <c r="BC32" s="20">
        <f>IF(ISNUMBER(tblData[UK]),(tblData[[#This Row],[UK LogiP(t)]]-tblData[[#This Row],[UK]])^2,"")</f>
        <v>68.791124982491056</v>
      </c>
      <c r="BD32" s="20">
        <f>IF(ISNUMBER(tblData[Days'# UK]),tblData[[#This Row],[UK LogiP(t)]]/$BC$9,"")</f>
        <v>0.10625503689183648</v>
      </c>
      <c r="BE32" s="11">
        <f>IF(ISNUMBER(tblData[Days'# China]),betaChina/(deltaChina+betaPodeltaChina*EXP(-betaChina*tblData[Days'# China])),"")</f>
        <v>54487.864839931695</v>
      </c>
      <c r="BF32" s="11">
        <f>IF(ISNUMBER(tblData[China]),(tblData[[#This Row],[China LogiP(t)]]-tblData[[#This Row],[China]])^2,"")</f>
        <v>94650811.073659167</v>
      </c>
      <c r="BG32" s="11">
        <f>tblData[[#This Row],[China LogiP(t)]]/$BF$9</f>
        <v>378.5657247416421</v>
      </c>
      <c r="BH32" s="11">
        <f>IF(ISNUMBER(tblData[Day'# Singapore]),betaSingapore/(deltaSingapore+betaPodeltaSingapore*EXP(-betaSingapore*tblData[Day'# Singapore])),"")</f>
        <v>24.807207092839853</v>
      </c>
      <c r="BI32" s="11">
        <f>IF(AND(ISNUMBER(tblData[Singapore]),tblData[Date]&gt;=StartDt2Singapore),(tblData[[#This Row],[Singapore LogiP(t)]]-tblData[[#This Row],[Singapore]])^2,"")</f>
        <v>634.67681446305858</v>
      </c>
      <c r="BJ32" s="11">
        <f>IF(ISNUMBER(tblData[Day'# Singapore]),tblData[Singapore LogiP(t)]/$BI$9,"")</f>
        <v>42.405482209982658</v>
      </c>
      <c r="BK32" s="11">
        <f>IF(ISNUMBER(tblData[Day'# Generic]),betaGeneric/(deltaGeneric+betaPodeltaGeneric*EXP(-betaGeneric*tblData[Day'# Generic])),"")</f>
        <v>47267.374994981612</v>
      </c>
      <c r="BL32" s="11">
        <f>IF(AND(ISNUMBER(tblData[Generic]),tblData[Date]&gt;=StartDt2Generic),(tblData[Generic LogiP(t)]-tblData[[#This Row],[Generic]])^2,"")</f>
        <v>193248226.7511</v>
      </c>
      <c r="BM32" s="11">
        <f>IF(ISNUMBER(tblData[Day'# Generic]),tblData[Generic LogiP(t)]/$BL$9,"")</f>
        <v>8079.8931615353185</v>
      </c>
      <c r="BO32" s="11"/>
      <c r="BP32" s="11" t="str">
        <f>IF(ISNUMBER(tblData[[#This Row],[Tests]]),tblData[[#This Row],[Tests]]-BP31,"")</f>
        <v/>
      </c>
      <c r="BQ32" s="11" t="str">
        <f>IF(ISNUMBER(tblData[[#This Row],[NSW Under Investigation'']]),tblData[[#This Row],[NSW Under Investigation'']]-BO31,"")</f>
        <v/>
      </c>
      <c r="BR32" s="11"/>
      <c r="BS32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32" s="11" t="str">
        <f>IF(tblData[Tests]&gt;0,(tblData[[#This Row],[Tests]]-tblData[[#This Row],[NSW Test Logi]])^2,"")</f>
        <v/>
      </c>
      <c r="BU32" s="11" t="str">
        <f>IF(ISNUMBER(tblData[Tests]),tblData[Tests]/$BS$9/100,"")</f>
        <v/>
      </c>
      <c r="BV32" s="11" t="str">
        <f>IF(AND(tblData[[#This Row],[NSW Test Day Number]]&gt;0,ISNUMBER(tblData[[#This Row],[NSW Test Day Number]])),TestsLogestB*TestsLogestM^tblData[[#This Row],[NSW Test Day Number]],"")</f>
        <v/>
      </c>
      <c r="BW32" s="11" t="str">
        <f>IF(AND(tblData[[#This Row],[NSW Test Day Number]]&gt;0,ISNUMBER(tblData[Tests])),(tblData[Tests]-tblData[[#This Row],[NSW Test Per Capita]])^2,"")</f>
        <v/>
      </c>
      <c r="BX32" s="11"/>
      <c r="BY32" s="11"/>
      <c r="BZ32" s="26"/>
      <c r="CB32" s="25"/>
      <c r="CD32" s="25"/>
      <c r="CK32"/>
      <c r="CL32"/>
      <c r="CN32" s="25"/>
      <c r="CO32" s="25"/>
      <c r="CP32" s="25"/>
      <c r="DC32"/>
      <c r="DD32"/>
      <c r="DG32" s="25"/>
      <c r="DH32" s="25"/>
      <c r="DV32"/>
      <c r="DW32"/>
      <c r="DX32"/>
      <c r="DY32" s="25" t="s">
        <v>153</v>
      </c>
      <c r="EA32" s="26">
        <v>43855</v>
      </c>
      <c r="EC32" s="25">
        <v>1</v>
      </c>
      <c r="ED32" s="22">
        <v>0.19302410780606497</v>
      </c>
      <c r="EE32" s="24">
        <v>2.763601010404924E-4</v>
      </c>
      <c r="EF32" s="21">
        <v>9.6455935044007356E-3</v>
      </c>
      <c r="EG32" s="96">
        <v>698.45143014252619</v>
      </c>
      <c r="EH32" s="19">
        <v>3.2654567368634559</v>
      </c>
      <c r="EI32" s="36">
        <v>20.011359804951844</v>
      </c>
      <c r="EJ32" s="98">
        <v>0.27636010104049241</v>
      </c>
      <c r="EK32" s="26">
        <v>43903</v>
      </c>
      <c r="EL32" s="26" t="s">
        <v>488</v>
      </c>
      <c r="EM32" s="26"/>
      <c r="EN32" s="98"/>
      <c r="EO32" s="19"/>
      <c r="EQ32" s="25"/>
      <c r="ER32" s="26"/>
      <c r="ES32" s="25"/>
      <c r="ET32" s="17"/>
      <c r="EU32" s="25"/>
      <c r="EV32" s="25"/>
      <c r="EW32" s="25"/>
      <c r="EX32" s="82"/>
      <c r="EY32" s="26"/>
      <c r="EZ32" s="82"/>
      <c r="FC32" s="25"/>
    </row>
    <row r="33" spans="2:159" x14ac:dyDescent="0.25">
      <c r="B33" s="1">
        <v>43874</v>
      </c>
      <c r="C33">
        <v>0</v>
      </c>
      <c r="D33" s="25">
        <v>0</v>
      </c>
      <c r="E33">
        <v>4</v>
      </c>
      <c r="F33">
        <v>0</v>
      </c>
      <c r="G33">
        <v>5</v>
      </c>
      <c r="H33">
        <v>2</v>
      </c>
      <c r="I33">
        <v>0</v>
      </c>
      <c r="J33">
        <v>4</v>
      </c>
      <c r="K33">
        <v>0</v>
      </c>
      <c r="L33" s="12">
        <f>IF(ISNUMBER(tblData[[#This Row],[NSW]]),tblData[[#This Row],[New South Wales]]/$L$9,"")</f>
        <v>4.9504950495049505</v>
      </c>
      <c r="M33" s="25">
        <v>3</v>
      </c>
      <c r="N33" s="46">
        <f>IF(ISNUMBER(tblData[Italy]),tblData[Italy]/$N$9,"")</f>
        <v>0.49599074150615857</v>
      </c>
      <c r="O33">
        <v>13</v>
      </c>
      <c r="P33" s="124">
        <f>IF(ISNUMBER(tblData[US]),tblData[US]/$P$9,"")</f>
        <v>0.39486343900067283</v>
      </c>
      <c r="Q33">
        <v>28</v>
      </c>
      <c r="R33" s="19">
        <f>IF(ISNUMBER(tblData[SKorea]),tblData[SKorea]/$R$9,"")</f>
        <v>5.4474708171206228</v>
      </c>
      <c r="S33">
        <v>9</v>
      </c>
      <c r="T33" s="12">
        <f>IF(ISNUMBER(tblData[UK]),tblData[UK]/$T$9,"")</f>
        <v>1.3546056592414208</v>
      </c>
      <c r="U33">
        <v>59895</v>
      </c>
      <c r="V33" s="20">
        <f>IF(ISNUMBER(tblData[China]),tblData[China]/$V$9,"")</f>
        <v>416.13291601736177</v>
      </c>
      <c r="W33">
        <v>58</v>
      </c>
      <c r="X33" s="20">
        <f>IF(ISNUMBER(tblData[Singapore]),tblData[Singapore]/$X$9,"")</f>
        <v>99.145299145299148</v>
      </c>
      <c r="Y33">
        <v>48206</v>
      </c>
      <c r="Z33" s="20">
        <f>IF(AND(LEN(tblData[Generic])&gt;0,ISNUMBER(tblData[Generic])),tblData[Generic]/$Z$9,"")</f>
        <v>8240.3418803418808</v>
      </c>
      <c r="AA33" s="25">
        <f>IF(tblData[[#This Row],[Date]]&lt;ItalyStart,"",tblData[[#This Row],[Date]]-ItalyStart)</f>
        <v>14</v>
      </c>
      <c r="AB33" s="25">
        <f>IF(tblData[[#This Row],[Date]]&lt;USStart,"",tblData[[#This Row],[Date]]-USStart)</f>
        <v>22</v>
      </c>
      <c r="AC33" s="25">
        <f>IF(tblData[[#This Row],[Date]]&lt;ChinaStart,"",tblData[[#This Row],[Date]]-ChinaStart)</f>
        <v>22</v>
      </c>
      <c r="AD33" s="25" t="str">
        <f>IF(tblData[[#This Row],[Date]]&lt;StartDt2Korea,"",tblData[[#This Row],[Date]]-StartDt2Korea)</f>
        <v/>
      </c>
      <c r="AE33" s="25">
        <f>IF(tblData[[#This Row],[Date]]&lt;UKStart,"",tblData[[#This Row],[Date]]-UKStart)</f>
        <v>14</v>
      </c>
      <c r="AF33" s="25">
        <f>IF(tblData[[#This Row],[Date]]&lt;SingaporeStart,"",tblData[[#This Row],[Date]]-SingaporeStart)</f>
        <v>21</v>
      </c>
      <c r="AG33" s="25">
        <f>IF(tblData[[#This Row],[Date]]&lt;GenStart,"",tblData[[#This Row],[Date]]-GenStart)</f>
        <v>22</v>
      </c>
      <c r="AH33">
        <f>IF(tblData[Date]&gt;=StartDt2Au,tblData[Date]-StartDt2Au,"")</f>
        <v>19</v>
      </c>
      <c r="AI33" s="25">
        <f>IF(tblData[New South Wales]&gt;0,SUM(tblData[[#This Row],[Australian Capital Territory]:[Western Australia]]),"")</f>
        <v>15</v>
      </c>
      <c r="AJ33" s="12">
        <f>IF(ISNUMBER(tblData[Au]),tblData[Au]/$AE$9,"")</f>
        <v>5.9138937076170954</v>
      </c>
      <c r="AK33" s="19">
        <f>IF(ISNUMBER(tblData[[#This Row],[Day'# Aust]]),betaAu/(deltaAu+betaPodeltaAu*EXP(-betaAu*tblData[[#This Row],[Day'# Aust]])),"")</f>
        <v>0.12003024291153176</v>
      </c>
      <c r="AL33" s="66">
        <f>IF(ISNUMBER(tblData[Day'# Aust]),tblData[Au LogiP(t)]/$AJ$9,"")</f>
        <v>4.7323073218550608E-2</v>
      </c>
      <c r="AM33" s="11">
        <f>IF(AND(tblData[Date]&gt;=StartDt2Au,ISNUMBER(tblData[NSW])),(tblData[[#This Row],[Au LogiP(t)]]-tblData[[#This Row],[Au]])^2,"")</f>
        <v>221.41349997186742</v>
      </c>
      <c r="AN33">
        <f>IF(tblData[Date]&gt;StartDt2NSW,tblData[Date]-StartDt2NSW,"")</f>
        <v>19</v>
      </c>
      <c r="AO33">
        <f t="shared" si="4"/>
        <v>4</v>
      </c>
      <c r="AP33" s="11">
        <f>IF(tblData[Date]&gt;StartDt2NSW,betaNSW/(deltaNSW+betaPodeltaNSW*EXP(-betaNSW*tblData[[#This Row],[Day '# NSW]])),"")</f>
        <v>0.21977096178741029</v>
      </c>
      <c r="AQ33" s="12">
        <f>IF(AND(ISNUMBER(tblData[NSW]),tblData[Date]&gt;StartDt2NSW),(tblData[[#This Row],[NSW LogiP(t)]]-tblData[[#This Row],[NSW]])^2,"")</f>
        <v>14.290131581345682</v>
      </c>
      <c r="AR33" s="12">
        <f>IF(AND(tblData[Date]&gt;StartDt2NSW,ISNUMBER(tblData[Day'# Aust])),tblData[NSW LogiP(t)]/$AQ$9,"")</f>
        <v>0.27199376458837904</v>
      </c>
      <c r="AS33" s="11">
        <f>IF(AND(tblData[Date]&gt;StartDt2Italy,ISNUMBER(tblData[Days'# Italy])),betaItaly/(deltaItaly+betaPodeltaItaly*EXP(-betaItaly*tblData[Days'# Italy])),"")</f>
        <v>16.273670030859982</v>
      </c>
      <c r="AT33" s="11">
        <f>IF(AND(tblData[Date]&gt;StartDt2Italy,ISNUMBER(tblData[Italy])),(tblData[[#This Row],[Italy LogiP(t)]]-tblData[[#This Row],[Italy]])^2,"")</f>
        <v>176.19031608815044</v>
      </c>
      <c r="AU33" s="41">
        <f>IF(AND(tblData[Date]&gt;StartDt2Italy,ISNUMBER(tblData[Days'# Italy])),tblData[[#This Row],[Italy LogiP(t)]]/$AT$9,"")</f>
        <v>2.6905298885442641</v>
      </c>
      <c r="AV33" s="20">
        <f>IF(ISNUMBER(tblData[[#This Row],[Days'# US]]),betaUS/(deltaUS+betaPodeltaUS*EXP(-betaUS*tblData[Days'# US])),"")</f>
        <v>1.0140753619413629</v>
      </c>
      <c r="AW33" s="11" t="str">
        <f>IF(AND(tblData[Date]&gt;=StartDt2US,ISNUMBER(tblData[US])),(tblData[[#This Row],[US LogiP(t)]]-tblData[US])^2,"")</f>
        <v/>
      </c>
      <c r="AX33" s="20">
        <f>IF(ISNUMBER(tblData[[#This Row],[Days'# US]]),tblData[[#This Row],[US LogiP(t)]]/$AW$9,"")</f>
        <v>3.0801637294001431E-2</v>
      </c>
      <c r="AY33" s="20" t="str">
        <f>IF(tblData[Date]&gt;=StartDt2Korea,betaSKorea/(deltaSKorea+betaPodeltaSKorea*EXP(-betaSKorea*(tblData[Date]-StartDt2Korea))),"")</f>
        <v/>
      </c>
      <c r="AZ33" s="20" t="str">
        <f>IF(AND(tblData[Date]&gt;=StartDt2Korea,ISNUMBER(tblData[SKorea])),(tblData[[#This Row],[SKorea LogiP(t)]]-tblData[[#This Row],[SKorea]])^2,"")</f>
        <v/>
      </c>
      <c r="BA33" s="20" t="str">
        <f>IF(tblData[Date]&gt;=StartDt2Korea,tblData[[#This Row],[SKorea LogiP(t)]]/$AZ$9,"")</f>
        <v/>
      </c>
      <c r="BB33" s="11">
        <f>IF(ISNUMBER(tblData[Days'# UK]),betaUK/(deltaUK+betaPodeltaUK*EXP(-betaUK*tblData[Days'# UK])),"")</f>
        <v>0.89507709298019389</v>
      </c>
      <c r="BC33" s="20">
        <f>IF(ISNUMBER(tblData[UK]),(tblData[[#This Row],[UK LogiP(t)]]-tblData[[#This Row],[UK]])^2,"")</f>
        <v>65.68977532873437</v>
      </c>
      <c r="BD33" s="20">
        <f>IF(ISNUMBER(tblData[Days'# UK]),tblData[[#This Row],[UK LogiP(t)]]/$BC$9,"")</f>
        <v>0.13471961062314777</v>
      </c>
      <c r="BE33" s="11">
        <f>IF(ISNUMBER(tblData[Days'# China]),betaChina/(deltaChina+betaPodeltaChina*EXP(-betaChina*tblData[Days'# China])),"")</f>
        <v>58289.901632840054</v>
      </c>
      <c r="BF33" s="11">
        <f>IF(ISNUMBER(tblData[China]),(tblData[[#This Row],[China LogiP(t)]]-tblData[[#This Row],[China]])^2,"")</f>
        <v>2576340.7682595248</v>
      </c>
      <c r="BG33" s="11">
        <f>tblData[[#This Row],[China LogiP(t)]]/$BF$9</f>
        <v>404.98116271540044</v>
      </c>
      <c r="BH33" s="11">
        <f>IF(ISNUMBER(tblData[Day'# Singapore]),betaSingapore/(deltaSingapore+betaPodeltaSingapore*EXP(-betaSingapore*tblData[Day'# Singapore])),"")</f>
        <v>26.725326418430218</v>
      </c>
      <c r="BI33" s="11">
        <f>IF(AND(ISNUMBER(tblData[Singapore]),tblData[Date]&gt;=StartDt2Singapore),(tblData[[#This Row],[Singapore LogiP(t)]]-tblData[[#This Row],[Singapore]])^2,"")</f>
        <v>978.10520763373893</v>
      </c>
      <c r="BJ33" s="11">
        <f>IF(ISNUMBER(tblData[Day'# Singapore]),tblData[Singapore LogiP(t)]/$BI$9,"")</f>
        <v>45.684318663983284</v>
      </c>
      <c r="BK33" s="11">
        <f>IF(ISNUMBER(tblData[Day'# Generic]),betaGeneric/(deltaGeneric+betaPodeltaGeneric*EXP(-betaGeneric*tblData[Day'# Generic])),"")</f>
        <v>50217.311960827479</v>
      </c>
      <c r="BL33" s="11">
        <f>IF(AND(ISNUMBER(tblData[Generic]),tblData[Date]&gt;=StartDt2Generic),(tblData[Generic LogiP(t)]-tblData[[#This Row],[Generic]])^2,"")</f>
        <v>4045375.8037676793</v>
      </c>
      <c r="BM33" s="11">
        <f>IF(ISNUMBER(tblData[Day'# Generic]),tblData[Generic LogiP(t)]/$BL$9,"")</f>
        <v>8584.1558907397412</v>
      </c>
      <c r="BO33" s="11"/>
      <c r="BP33" s="11" t="str">
        <f>IF(ISNUMBER(tblData[[#This Row],[Tests]]),tblData[[#This Row],[Tests]]-BP32,"")</f>
        <v/>
      </c>
      <c r="BQ33" s="11" t="str">
        <f>IF(ISNUMBER(tblData[[#This Row],[NSW Under Investigation'']]),tblData[[#This Row],[NSW Under Investigation'']]-BO32,"")</f>
        <v/>
      </c>
      <c r="BR33" s="11"/>
      <c r="BS33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33" s="11" t="str">
        <f>IF(tblData[Tests]&gt;0,(tblData[[#This Row],[Tests]]-tblData[[#This Row],[NSW Test Logi]])^2,"")</f>
        <v/>
      </c>
      <c r="BU33" s="11" t="str">
        <f>IF(ISNUMBER(tblData[Tests]),tblData[Tests]/$BS$9/100,"")</f>
        <v/>
      </c>
      <c r="BV33" s="11" t="str">
        <f>IF(AND(tblData[[#This Row],[NSW Test Day Number]]&gt;0,ISNUMBER(tblData[[#This Row],[NSW Test Day Number]])),TestsLogestB*TestsLogestM^tblData[[#This Row],[NSW Test Day Number]],"")</f>
        <v/>
      </c>
      <c r="BW33" s="11" t="str">
        <f>IF(AND(tblData[[#This Row],[NSW Test Day Number]]&gt;0,ISNUMBER(tblData[Tests])),(tblData[Tests]-tblData[[#This Row],[NSW Test Per Capita]])^2,"")</f>
        <v/>
      </c>
      <c r="BX33" s="11"/>
      <c r="BY33" s="11"/>
      <c r="BZ33" s="26"/>
      <c r="CB33" s="25"/>
      <c r="CD33" s="25"/>
      <c r="CK33"/>
      <c r="CL33"/>
      <c r="CN33" s="25"/>
      <c r="CO33" s="25"/>
      <c r="CP33" s="25"/>
      <c r="DC33"/>
      <c r="DD33"/>
      <c r="DG33" s="25"/>
      <c r="DH33" s="25"/>
      <c r="DV33"/>
      <c r="DW33"/>
      <c r="DX33"/>
      <c r="DY33" t="s">
        <v>153</v>
      </c>
      <c r="EA33" s="26">
        <v>43855</v>
      </c>
      <c r="EC33">
        <v>1</v>
      </c>
      <c r="ED33" s="22">
        <v>0.20197976034974141</v>
      </c>
      <c r="EE33" s="24">
        <v>3.7238456472139586E-4</v>
      </c>
      <c r="EF33" s="22">
        <v>6.7779266478176703E-3</v>
      </c>
      <c r="EG33" s="96">
        <v>542.39562937001722</v>
      </c>
      <c r="EH33" s="19">
        <v>3.1776191206100863</v>
      </c>
      <c r="EI33" s="36">
        <v>29.799265593927426</v>
      </c>
      <c r="EJ33" s="98">
        <v>0.37238456472139586</v>
      </c>
      <c r="EK33" s="26">
        <v>43904</v>
      </c>
      <c r="EL33" s="26" t="s">
        <v>489</v>
      </c>
      <c r="EM33" s="26"/>
      <c r="EN33" s="98"/>
      <c r="EO33" s="19"/>
      <c r="EQ33" s="25"/>
      <c r="ER33" s="18"/>
      <c r="ET33"/>
      <c r="EV33" s="25"/>
      <c r="EW33" s="25"/>
      <c r="EX33" s="82"/>
      <c r="EY33" s="25"/>
      <c r="EZ33" s="82"/>
      <c r="FC33" s="25"/>
    </row>
    <row r="34" spans="2:159" ht="15" customHeight="1" x14ac:dyDescent="0.3">
      <c r="B34" s="1">
        <v>43875</v>
      </c>
      <c r="C34">
        <v>0</v>
      </c>
      <c r="D34" s="25">
        <v>0</v>
      </c>
      <c r="E34">
        <v>4</v>
      </c>
      <c r="F34">
        <v>0</v>
      </c>
      <c r="G34">
        <v>5</v>
      </c>
      <c r="H34">
        <v>2</v>
      </c>
      <c r="I34">
        <v>0</v>
      </c>
      <c r="J34">
        <v>4</v>
      </c>
      <c r="K34">
        <v>0</v>
      </c>
      <c r="L34" s="12">
        <f>IF(ISNUMBER(tblData[[#This Row],[NSW]]),tblData[[#This Row],[New South Wales]]/$L$9,"")</f>
        <v>4.9504950495049505</v>
      </c>
      <c r="M34" s="25">
        <v>3</v>
      </c>
      <c r="N34" s="46">
        <f>IF(ISNUMBER(tblData[Italy]),tblData[Italy]/$N$9,"")</f>
        <v>0.49599074150615857</v>
      </c>
      <c r="O34">
        <v>13</v>
      </c>
      <c r="P34" s="124">
        <f>IF(ISNUMBER(tblData[US]),tblData[US]/$P$9,"")</f>
        <v>0.39486343900067283</v>
      </c>
      <c r="Q34">
        <v>28</v>
      </c>
      <c r="R34" s="19">
        <f>IF(ISNUMBER(tblData[SKorea]),tblData[SKorea]/$R$9,"")</f>
        <v>5.4474708171206228</v>
      </c>
      <c r="S34">
        <v>9</v>
      </c>
      <c r="T34" s="12">
        <f>IF(ISNUMBER(tblData[UK]),tblData[UK]/$T$9,"")</f>
        <v>1.3546056592414208</v>
      </c>
      <c r="U34">
        <v>66358</v>
      </c>
      <c r="V34" s="20">
        <f>IF(ISNUMBER(tblData[China]),tblData[China]/$V$9,"")</f>
        <v>461.03594692512047</v>
      </c>
      <c r="W34">
        <v>67</v>
      </c>
      <c r="X34" s="124">
        <f>IF(ISNUMBER(tblData[Singapore]),tblData[Singapore]/$X$9,"")</f>
        <v>114.52991452991454</v>
      </c>
      <c r="Y34">
        <v>54406</v>
      </c>
      <c r="Z34" s="20">
        <f>IF(AND(LEN(tblData[Generic])&gt;0,ISNUMBER(tblData[Generic])),tblData[Generic]/$Z$9,"")</f>
        <v>9300.1709401709413</v>
      </c>
      <c r="AA34" s="25">
        <f>IF(tblData[[#This Row],[Date]]&lt;ItalyStart,"",tblData[[#This Row],[Date]]-ItalyStart)</f>
        <v>15</v>
      </c>
      <c r="AB34" s="25">
        <f>IF(tblData[[#This Row],[Date]]&lt;USStart,"",tblData[[#This Row],[Date]]-USStart)</f>
        <v>23</v>
      </c>
      <c r="AC34" s="25">
        <f>IF(tblData[[#This Row],[Date]]&lt;ChinaStart,"",tblData[[#This Row],[Date]]-ChinaStart)</f>
        <v>23</v>
      </c>
      <c r="AD34" s="25" t="str">
        <f>IF(tblData[[#This Row],[Date]]&lt;StartDt2Korea,"",tblData[[#This Row],[Date]]-StartDt2Korea)</f>
        <v/>
      </c>
      <c r="AE34" s="25">
        <f>IF(tblData[[#This Row],[Date]]&lt;UKStart,"",tblData[[#This Row],[Date]]-UKStart)</f>
        <v>15</v>
      </c>
      <c r="AF34" s="25">
        <f>IF(tblData[[#This Row],[Date]]&lt;SingaporeStart,"",tblData[[#This Row],[Date]]-SingaporeStart)</f>
        <v>22</v>
      </c>
      <c r="AG34" s="25">
        <f>IF(tblData[[#This Row],[Date]]&lt;GenStart,"",tblData[[#This Row],[Date]]-GenStart)</f>
        <v>23</v>
      </c>
      <c r="AH34">
        <f>IF(tblData[Date]&gt;=StartDt2Au,tblData[Date]-StartDt2Au,"")</f>
        <v>20</v>
      </c>
      <c r="AI34" s="25">
        <f>IF(tblData[New South Wales]&gt;0,SUM(tblData[[#This Row],[Australian Capital Territory]:[Western Australia]]),"")</f>
        <v>15</v>
      </c>
      <c r="AJ34" s="12">
        <f>IF(ISNUMBER(tblData[Au]),tblData[Au]/$AE$9,"")</f>
        <v>5.9138937076170954</v>
      </c>
      <c r="AK34" s="19">
        <f>IF(ISNUMBER(tblData[[#This Row],[Day'# Aust]]),betaAu/(deltaAu+betaPodeltaAu*EXP(-betaAu*tblData[[#This Row],[Day'# Aust]])),"")</f>
        <v>0.15442773455733408</v>
      </c>
      <c r="AL34" s="66">
        <f>IF(ISNUMBER(tblData[Day'# Aust]),tblData[Au LogiP(t)]/$AJ$9,"")</f>
        <v>6.0884613845345402E-2</v>
      </c>
      <c r="AM34" s="11">
        <f>IF(AND(tblData[Date]&gt;=StartDt2Au,ISNUMBER(tblData[NSW])),(tblData[[#This Row],[Au LogiP(t)]]-tblData[[#This Row],[Au]])^2,"")</f>
        <v>220.3910158884805</v>
      </c>
      <c r="AN34">
        <f>IF(tblData[Date]&gt;StartDt2NSW,tblData[Date]-StartDt2NSW,"")</f>
        <v>20</v>
      </c>
      <c r="AO34">
        <f t="shared" si="4"/>
        <v>4</v>
      </c>
      <c r="AP34" s="11">
        <f>IF(tblData[Date]&gt;StartDt2NSW,betaNSW/(deltaNSW+betaPodeltaNSW*EXP(-betaNSW*tblData[[#This Row],[Day '# NSW]])),"")</f>
        <v>0.27073380488690957</v>
      </c>
      <c r="AQ34" s="12">
        <f>IF(AND(ISNUMBER(tblData[NSW]),tblData[Date]&gt;StartDt2NSW),(tblData[[#This Row],[NSW LogiP(t)]]-tblData[[#This Row],[NSW]])^2,"")</f>
        <v>13.907426354013268</v>
      </c>
      <c r="AR34" s="12">
        <f>IF(AND(tblData[Date]&gt;StartDt2NSW,ISNUMBER(tblData[Day'# Aust])),tblData[NSW LogiP(t)]/$AQ$9,"")</f>
        <v>0.3350665902065712</v>
      </c>
      <c r="AS34" s="11">
        <f>IF(AND(tblData[Date]&gt;StartDt2Italy,ISNUMBER(tblData[Days'# Italy])),betaItaly/(deltaItaly+betaPodeltaItaly*EXP(-betaItaly*tblData[Days'# Italy])),"")</f>
        <v>21.052375795944037</v>
      </c>
      <c r="AT34" s="11">
        <f>IF(AND(tblData[Date]&gt;StartDt2Italy,ISNUMBER(tblData[Italy])),(tblData[[#This Row],[Italy LogiP(t)]]-tblData[[#This Row],[Italy]])^2,"")</f>
        <v>325.88827187798614</v>
      </c>
      <c r="AU34" s="41">
        <f>IF(AND(tblData[Date]&gt;StartDt2Italy,ISNUMBER(tblData[Days'# Italy])),tblData[[#This Row],[Italy LogiP(t)]]/$AT$9,"")</f>
        <v>3.480594493832196</v>
      </c>
      <c r="AV34" s="20">
        <f>IF(ISNUMBER(tblData[[#This Row],[Days'# US]]),betaUS/(deltaUS+betaPodeltaUS*EXP(-betaUS*tblData[Days'# US])),"")</f>
        <v>1.3381865581763717</v>
      </c>
      <c r="AW34" s="11" t="str">
        <f>IF(AND(tblData[Date]&gt;=StartDt2US,ISNUMBER(tblData[US])),(tblData[[#This Row],[US LogiP(t)]]-tblData[US])^2,"")</f>
        <v/>
      </c>
      <c r="AX34" s="20">
        <f>IF(ISNUMBER(tblData[[#This Row],[Days'# US]]),tblData[[#This Row],[US LogiP(t)]]/$AW$9,"")</f>
        <v>4.0646226645076618E-2</v>
      </c>
      <c r="AY34" s="20" t="str">
        <f>IF(tblData[Date]&gt;=StartDt2Korea,betaSKorea/(deltaSKorea+betaPodeltaSKorea*EXP(-betaSKorea*(tblData[Date]-StartDt2Korea))),"")</f>
        <v/>
      </c>
      <c r="AZ34" s="20" t="str">
        <f>IF(AND(tblData[Date]&gt;=StartDt2Korea,ISNUMBER(tblData[SKorea])),(tblData[[#This Row],[SKorea LogiP(t)]]-tblData[[#This Row],[SKorea]])^2,"")</f>
        <v/>
      </c>
      <c r="BA34" s="20" t="str">
        <f>IF(tblData[Date]&gt;=StartDt2Korea,tblData[[#This Row],[SKorea LogiP(t)]]/$AZ$9,"")</f>
        <v/>
      </c>
      <c r="BB34" s="11">
        <f>IF(ISNUMBER(tblData[Days'# UK]),betaUK/(deltaUK+betaPodeltaUK*EXP(-betaUK*tblData[Days'# UK])),"")</f>
        <v>1.1348559431320862</v>
      </c>
      <c r="BC34" s="20">
        <f>IF(ISNUMBER(tblData[UK]),(tblData[[#This Row],[UK LogiP(t)]]-tblData[[#This Row],[UK]])^2,"")</f>
        <v>61.860491035284667</v>
      </c>
      <c r="BD34" s="20">
        <f>IF(ISNUMBER(tblData[Days'# UK]),tblData[[#This Row],[UK LogiP(t)]]/$BC$9,"")</f>
        <v>0.17080914255449822</v>
      </c>
      <c r="BE34" s="11">
        <f>IF(ISNUMBER(tblData[Days'# China]),betaChina/(deltaChina+betaPodeltaChina*EXP(-betaChina*tblData[Days'# China])),"")</f>
        <v>61739.799699748401</v>
      </c>
      <c r="BF34" s="11">
        <f>IF(ISNUMBER(tblData[China]),(tblData[[#This Row],[China LogiP(t)]]-tblData[[#This Row],[China]])^2,"")</f>
        <v>21327774.013243962</v>
      </c>
      <c r="BG34" s="11">
        <f>tblData[[#This Row],[China LogiP(t)]]/$BF$9</f>
        <v>428.9500439666773</v>
      </c>
      <c r="BH34" s="11">
        <f>IF(ISNUMBER(tblData[Day'# Singapore]),betaSingapore/(deltaSingapore+betaPodeltaSingapore*EXP(-betaSingapore*tblData[Day'# Singapore])),"")</f>
        <v>28.791756746222955</v>
      </c>
      <c r="BI34" s="11">
        <f>IF(AND(ISNUMBER(tblData[Singapore]),tblData[Date]&gt;=StartDt2Singapore),(tblData[[#This Row],[Singapore LogiP(t)]]-tblData[[#This Row],[Singapore]])^2,"")</f>
        <v>1459.8698525397988</v>
      </c>
      <c r="BJ34" s="11">
        <f>IF(ISNUMBER(tblData[Day'# Singapore]),tblData[Singapore LogiP(t)]/$BI$9,"")</f>
        <v>49.216678198671723</v>
      </c>
      <c r="BK34" s="11">
        <f>IF(ISNUMBER(tblData[Day'# Generic]),betaGeneric/(deltaGeneric+betaPodeltaGeneric*EXP(-betaGeneric*tblData[Day'# Generic])),"")</f>
        <v>52865.725938667718</v>
      </c>
      <c r="BL34" s="11">
        <f>IF(AND(ISNUMBER(tblData[Generic]),tblData[Date]&gt;=StartDt2Generic),(tblData[Generic LogiP(t)]-tblData[[#This Row],[Generic]])^2,"")</f>
        <v>2372444.1840130431</v>
      </c>
      <c r="BM34" s="11">
        <f>IF(ISNUMBER(tblData[Day'# Generic]),tblData[Generic LogiP(t)]/$BL$9,"")</f>
        <v>9036.8762288320886</v>
      </c>
      <c r="BO34" s="11"/>
      <c r="BP34" s="11" t="str">
        <f>IF(ISNUMBER(tblData[[#This Row],[Tests]]),tblData[[#This Row],[Tests]]-BP33,"")</f>
        <v/>
      </c>
      <c r="BQ34" s="11" t="str">
        <f>IF(ISNUMBER(tblData[[#This Row],[NSW Under Investigation'']]),tblData[[#This Row],[NSW Under Investigation'']]-BO33,"")</f>
        <v/>
      </c>
      <c r="BR34" s="11"/>
      <c r="BS34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34" s="11" t="str">
        <f>IF(tblData[Tests]&gt;0,(tblData[[#This Row],[Tests]]-tblData[[#This Row],[NSW Test Logi]])^2,"")</f>
        <v/>
      </c>
      <c r="BU34" s="11" t="str">
        <f>IF(ISNUMBER(tblData[Tests]),tblData[Tests]/$BS$9/100,"")</f>
        <v/>
      </c>
      <c r="BV34" s="11" t="str">
        <f>IF(AND(tblData[[#This Row],[NSW Test Day Number]]&gt;0,ISNUMBER(tblData[[#This Row],[NSW Test Day Number]])),TestsLogestB*TestsLogestM^tblData[[#This Row],[NSW Test Day Number]],"")</f>
        <v/>
      </c>
      <c r="BW34" s="11" t="str">
        <f>IF(AND(tblData[[#This Row],[NSW Test Day Number]]&gt;0,ISNUMBER(tblData[Tests])),(tblData[Tests]-tblData[[#This Row],[NSW Test Per Capita]])^2,"")</f>
        <v/>
      </c>
      <c r="BX34" s="11"/>
      <c r="BY34" s="11"/>
      <c r="BZ34" s="26"/>
      <c r="CB34" s="25"/>
      <c r="CD34" s="25"/>
      <c r="CK34"/>
      <c r="CL34"/>
      <c r="CN34" s="25"/>
      <c r="CO34" s="25"/>
      <c r="CP34" s="25"/>
      <c r="DC34"/>
      <c r="DD34"/>
      <c r="DG34" s="25"/>
      <c r="DH34" s="25"/>
      <c r="DV34"/>
      <c r="DW34"/>
      <c r="DX34"/>
      <c r="DY34" s="25" t="s">
        <v>153</v>
      </c>
      <c r="EA34" s="26">
        <v>43855</v>
      </c>
      <c r="EC34" s="25">
        <v>1</v>
      </c>
      <c r="ED34" s="25">
        <v>0.18458384557537055</v>
      </c>
      <c r="EE34" s="24">
        <v>1.2349487374940706E-6</v>
      </c>
      <c r="EF34" s="25">
        <v>1.3171361296767334E-2</v>
      </c>
      <c r="EG34" s="96">
        <v>149466.80778825187</v>
      </c>
      <c r="EH34" s="19">
        <v>3.1071550624512132</v>
      </c>
      <c r="EI34" s="12">
        <v>14.014028250422166</v>
      </c>
      <c r="EJ34" s="98">
        <v>1.2349487374940706E-3</v>
      </c>
      <c r="EK34" s="26">
        <v>43905</v>
      </c>
      <c r="EL34" s="26" t="s">
        <v>490</v>
      </c>
      <c r="EM34" s="26"/>
      <c r="EN34" s="98"/>
      <c r="EO34" s="19"/>
      <c r="EQ34" s="25"/>
      <c r="ER34" s="18"/>
      <c r="ES34" s="25"/>
      <c r="ET34" s="25"/>
      <c r="EU34" s="25"/>
      <c r="EV34" s="25"/>
      <c r="EW34" s="25"/>
      <c r="EX34" s="82"/>
      <c r="EY34" s="17"/>
      <c r="EZ34" s="84"/>
      <c r="FC34" s="25"/>
    </row>
    <row r="35" spans="2:159" x14ac:dyDescent="0.25">
      <c r="B35" s="1">
        <v>43876</v>
      </c>
      <c r="C35">
        <v>0</v>
      </c>
      <c r="D35" s="25">
        <v>0</v>
      </c>
      <c r="E35">
        <v>4</v>
      </c>
      <c r="F35">
        <v>0</v>
      </c>
      <c r="G35">
        <v>5</v>
      </c>
      <c r="H35">
        <v>2</v>
      </c>
      <c r="I35">
        <v>0</v>
      </c>
      <c r="J35">
        <v>4</v>
      </c>
      <c r="K35">
        <v>0</v>
      </c>
      <c r="L35" s="12">
        <f>IF(ISNUMBER(tblData[[#This Row],[NSW]]),tblData[[#This Row],[New South Wales]]/$L$9,"")</f>
        <v>4.9504950495049505</v>
      </c>
      <c r="M35" s="25">
        <v>3</v>
      </c>
      <c r="N35" s="46">
        <f>IF(ISNUMBER(tblData[Italy]),tblData[Italy]/$N$9,"")</f>
        <v>0.49599074150615857</v>
      </c>
      <c r="O35">
        <v>13</v>
      </c>
      <c r="P35" s="124">
        <f>IF(ISNUMBER(tblData[US]),tblData[US]/$P$9,"")</f>
        <v>0.39486343900067283</v>
      </c>
      <c r="Q35">
        <v>28</v>
      </c>
      <c r="R35" s="19">
        <f>IF(ISNUMBER(tblData[SKorea]),tblData[SKorea]/$R$9,"")</f>
        <v>5.4474708171206228</v>
      </c>
      <c r="S35">
        <v>9</v>
      </c>
      <c r="T35" s="12">
        <f>IF(ISNUMBER(tblData[UK]),tblData[UK]/$T$9,"")</f>
        <v>1.3546056592414208</v>
      </c>
      <c r="U35">
        <v>68413</v>
      </c>
      <c r="V35" s="20">
        <f>IF(ISNUMBER(tblData[China]),tblData[China]/$V$9,"")</f>
        <v>475.31348499032924</v>
      </c>
      <c r="W35">
        <v>72</v>
      </c>
      <c r="X35" s="124">
        <f>IF(ISNUMBER(tblData[Singapore]),tblData[Singapore]/$X$9,"")</f>
        <v>123.07692307692308</v>
      </c>
      <c r="Y35">
        <v>56249</v>
      </c>
      <c r="Z35" s="20">
        <f>IF(AND(LEN(tblData[Generic])&gt;0,ISNUMBER(tblData[Generic])),tblData[Generic]/$Z$9,"")</f>
        <v>9615.2136752136757</v>
      </c>
      <c r="AA35" s="25">
        <f>IF(tblData[[#This Row],[Date]]&lt;ItalyStart,"",tblData[[#This Row],[Date]]-ItalyStart)</f>
        <v>16</v>
      </c>
      <c r="AB35" s="25">
        <f>IF(tblData[[#This Row],[Date]]&lt;USStart,"",tblData[[#This Row],[Date]]-USStart)</f>
        <v>24</v>
      </c>
      <c r="AC35" s="25">
        <f>IF(tblData[[#This Row],[Date]]&lt;ChinaStart,"",tblData[[#This Row],[Date]]-ChinaStart)</f>
        <v>24</v>
      </c>
      <c r="AD35" s="25" t="str">
        <f>IF(tblData[[#This Row],[Date]]&lt;StartDt2Korea,"",tblData[[#This Row],[Date]]-StartDt2Korea)</f>
        <v/>
      </c>
      <c r="AE35" s="25">
        <f>IF(tblData[[#This Row],[Date]]&lt;UKStart,"",tblData[[#This Row],[Date]]-UKStart)</f>
        <v>16</v>
      </c>
      <c r="AF35" s="25">
        <f>IF(tblData[[#This Row],[Date]]&lt;SingaporeStart,"",tblData[[#This Row],[Date]]-SingaporeStart)</f>
        <v>23</v>
      </c>
      <c r="AG35" s="25">
        <f>IF(tblData[[#This Row],[Date]]&lt;GenStart,"",tblData[[#This Row],[Date]]-GenStart)</f>
        <v>24</v>
      </c>
      <c r="AH35">
        <f>IF(tblData[Date]&gt;=StartDt2Au,tblData[Date]-StartDt2Au,"")</f>
        <v>21</v>
      </c>
      <c r="AI35" s="25">
        <f>IF(tblData[New South Wales]&gt;0,SUM(tblData[[#This Row],[Australian Capital Territory]:[Western Australia]]),"")</f>
        <v>15</v>
      </c>
      <c r="AJ35" s="12">
        <f>IF(ISNUMBER(tblData[Au]),tblData[Au]/$AE$9,"")</f>
        <v>5.9138937076170954</v>
      </c>
      <c r="AK35" s="19">
        <f>IF(ISNUMBER(tblData[[#This Row],[Day'# Aust]]),betaAu/(deltaAu+betaPodeltaAu*EXP(-betaAu*tblData[[#This Row],[Day'# Aust]])),"")</f>
        <v>0.19868235881731694</v>
      </c>
      <c r="AL35" s="66">
        <f>IF(ISNUMBER(tblData[Day'# Aust]),tblData[Au LogiP(t)]/$AJ$9,"")</f>
        <v>7.8332423441616839E-2</v>
      </c>
      <c r="AM35" s="11">
        <f>IF(AND(tblData[Date]&gt;=StartDt2Au,ISNUMBER(tblData[NSW])),(tblData[[#This Row],[Au LogiP(t)]]-tblData[[#This Row],[Au]])^2,"")</f>
        <v>219.07900391518569</v>
      </c>
      <c r="AN35">
        <f>IF(tblData[Date]&gt;StartDt2NSW,tblData[Date]-StartDt2NSW,"")</f>
        <v>21</v>
      </c>
      <c r="AO35">
        <f t="shared" si="4"/>
        <v>4</v>
      </c>
      <c r="AP35" s="11">
        <f>IF(tblData[Date]&gt;StartDt2NSW,betaNSW/(deltaNSW+betaPodeltaNSW*EXP(-betaNSW*tblData[[#This Row],[Day '# NSW]])),"")</f>
        <v>0.33351404698251491</v>
      </c>
      <c r="AQ35" s="12">
        <f>IF(AND(ISNUMBER(tblData[NSW]),tblData[Date]&gt;StartDt2NSW),(tblData[[#This Row],[NSW LogiP(t)]]-tblData[[#This Row],[NSW]])^2,"")</f>
        <v>13.443119243674536</v>
      </c>
      <c r="AR35" s="12">
        <f>IF(AND(tblData[Date]&gt;StartDt2NSW,ISNUMBER(tblData[Day'# Aust])),tblData[NSW LogiP(t)]/$AQ$9,"")</f>
        <v>0.41276490963182538</v>
      </c>
      <c r="AS35" s="11">
        <f>IF(AND(tblData[Date]&gt;StartDt2Italy,ISNUMBER(tblData[Days'# Italy])),betaItaly/(deltaItaly+betaPodeltaItaly*EXP(-betaItaly*tblData[Days'# Italy])),"")</f>
        <v>27.233829080162863</v>
      </c>
      <c r="AT35" s="11">
        <f>IF(AND(tblData[Date]&gt;StartDt2Italy,ISNUMBER(tblData[Italy])),(tblData[[#This Row],[Italy LogiP(t)]]-tblData[[#This Row],[Italy]])^2,"")</f>
        <v>587.27847188654721</v>
      </c>
      <c r="AU35" s="41">
        <f>IF(AND(tblData[Date]&gt;StartDt2Italy,ISNUMBER(tblData[Days'# Italy])),tblData[[#This Row],[Italy LogiP(t)]]/$AT$9,"")</f>
        <v>4.5025756931739878</v>
      </c>
      <c r="AV35" s="20">
        <f>IF(ISNUMBER(tblData[[#This Row],[Days'# US]]),betaUS/(deltaUS+betaPodeltaUS*EXP(-betaUS*tblData[Days'# US])),"")</f>
        <v>1.7658867788698538</v>
      </c>
      <c r="AW35" s="11" t="str">
        <f>IF(AND(tblData[Date]&gt;=StartDt2US,ISNUMBER(tblData[US])),(tblData[[#This Row],[US LogiP(t)]]-tblData[US])^2,"")</f>
        <v/>
      </c>
      <c r="AX35" s="20">
        <f>IF(ISNUMBER(tblData[[#This Row],[Days'# US]]),tblData[[#This Row],[US LogiP(t)]]/$AW$9,"")</f>
        <v>5.3637240491567012E-2</v>
      </c>
      <c r="AY35" s="20" t="str">
        <f>IF(tblData[Date]&gt;=StartDt2Korea,betaSKorea/(deltaSKorea+betaPodeltaSKorea*EXP(-betaSKorea*(tblData[Date]-StartDt2Korea))),"")</f>
        <v/>
      </c>
      <c r="AZ35" s="20" t="str">
        <f>IF(AND(tblData[Date]&gt;=StartDt2Korea,ISNUMBER(tblData[SKorea])),(tblData[[#This Row],[SKorea LogiP(t)]]-tblData[[#This Row],[SKorea]])^2,"")</f>
        <v/>
      </c>
      <c r="BA35" s="20" t="str">
        <f>IF(tblData[Date]&gt;=StartDt2Korea,tblData[[#This Row],[SKorea LogiP(t)]]/$AZ$9,"")</f>
        <v/>
      </c>
      <c r="BB35" s="11">
        <f>IF(ISNUMBER(tblData[Days'# UK]),betaUK/(deltaUK+betaPodeltaUK*EXP(-betaUK*tblData[Days'# UK])),"")</f>
        <v>1.4388640555991168</v>
      </c>
      <c r="BC35" s="20">
        <f>IF(ISNUMBER(tblData[UK]),(tblData[[#This Row],[UK LogiP(t)]]-tblData[[#This Row],[UK]])^2,"")</f>
        <v>57.170776769711033</v>
      </c>
      <c r="BD35" s="20">
        <f>IF(ISNUMBER(tblData[Days'# UK]),tblData[[#This Row],[UK LogiP(t)]]/$BC$9,"")</f>
        <v>0.21656593251040288</v>
      </c>
      <c r="BE35" s="11">
        <f>IF(ISNUMBER(tblData[Days'# China]),betaChina/(deltaChina+betaPodeltaChina*EXP(-betaChina*tblData[Days'# China])),"")</f>
        <v>64811.579411750085</v>
      </c>
      <c r="BF35" s="11">
        <f>IF(ISNUMBER(tblData[China]),(tblData[[#This Row],[China LogiP(t)]]-tblData[[#This Row],[China]])^2,"")</f>
        <v>12970230.253470367</v>
      </c>
      <c r="BG35" s="11">
        <f>tblData[[#This Row],[China LogiP(t)]]/$BF$9</f>
        <v>450.29186964358246</v>
      </c>
      <c r="BH35" s="11">
        <f>IF(ISNUMBER(tblData[Day'# Singapore]),betaSingapore/(deltaSingapore+betaPodeltaSingapore*EXP(-betaSingapore*tblData[Day'# Singapore])),"")</f>
        <v>31.017965638774353</v>
      </c>
      <c r="BI35" s="11">
        <f>IF(AND(ISNUMBER(tblData[Singapore]),tblData[Date]&gt;=StartDt2Singapore),(tblData[[#This Row],[Singapore LogiP(t)]]-tblData[[#This Row],[Singapore]])^2,"")</f>
        <v>1679.5271403846793</v>
      </c>
      <c r="BJ35" s="11">
        <f>IF(ISNUMBER(tblData[Day'# Singapore]),tblData[Singapore LogiP(t)]/$BI$9,"")</f>
        <v>53.02216348508437</v>
      </c>
      <c r="BK35" s="11">
        <f>IF(ISNUMBER(tblData[Day'# Generic]),betaGeneric/(deltaGeneric+betaPodeltaGeneric*EXP(-betaGeneric*tblData[Day'# Generic])),"")</f>
        <v>55202.695822257185</v>
      </c>
      <c r="BL35" s="11">
        <f>IF(AND(ISNUMBER(tblData[Generic]),tblData[Date]&gt;=StartDt2Generic),(tblData[Generic LogiP(t)]-tblData[[#This Row],[Generic]])^2,"")</f>
        <v>1094752.4323620687</v>
      </c>
      <c r="BM35" s="11">
        <f>IF(ISNUMBER(tblData[Day'# Generic]),tblData[Generic LogiP(t)]/$BL$9,"")</f>
        <v>9436.3582602149036</v>
      </c>
      <c r="BO35" s="11"/>
      <c r="BP35" s="11" t="str">
        <f>IF(ISNUMBER(tblData[[#This Row],[Tests]]),tblData[[#This Row],[Tests]]-BP34,"")</f>
        <v/>
      </c>
      <c r="BQ35" s="11" t="str">
        <f>IF(ISNUMBER(tblData[[#This Row],[NSW Under Investigation'']]),tblData[[#This Row],[NSW Under Investigation'']]-BO34,"")</f>
        <v/>
      </c>
      <c r="BR35" s="11"/>
      <c r="BS35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35" s="11" t="str">
        <f>IF(tblData[Tests]&gt;0,(tblData[[#This Row],[Tests]]-tblData[[#This Row],[NSW Test Logi]])^2,"")</f>
        <v/>
      </c>
      <c r="BU35" s="11" t="str">
        <f>IF(ISNUMBER(tblData[Tests]),tblData[Tests]/$BS$9/100,"")</f>
        <v/>
      </c>
      <c r="BV35" s="11" t="str">
        <f>IF(AND(tblData[[#This Row],[NSW Test Day Number]]&gt;0,ISNUMBER(tblData[[#This Row],[NSW Test Day Number]])),TestsLogestB*TestsLogestM^tblData[[#This Row],[NSW Test Day Number]],"")</f>
        <v/>
      </c>
      <c r="BW35" s="11" t="str">
        <f>IF(AND(tblData[[#This Row],[NSW Test Day Number]]&gt;0,ISNUMBER(tblData[Tests])),(tblData[Tests]-tblData[[#This Row],[NSW Test Per Capita]])^2,"")</f>
        <v/>
      </c>
      <c r="BX35" s="11"/>
      <c r="BY35" s="11"/>
      <c r="BZ35" s="26"/>
      <c r="CB35" s="25"/>
      <c r="CD35" s="25"/>
      <c r="CK35"/>
      <c r="CL35"/>
      <c r="CN35" s="25"/>
      <c r="CO35" s="25"/>
      <c r="CP35" s="25"/>
      <c r="DC35"/>
      <c r="DD35"/>
      <c r="DG35" s="25"/>
      <c r="DH35" s="25"/>
      <c r="DV35"/>
      <c r="DW35"/>
      <c r="DX35"/>
      <c r="DY35" t="s">
        <v>153</v>
      </c>
      <c r="EA35" s="26">
        <v>43855</v>
      </c>
      <c r="EC35">
        <v>1</v>
      </c>
      <c r="ED35" s="22">
        <v>0.19036954183670268</v>
      </c>
      <c r="EE35" s="24">
        <v>1.0000000000000751E-10</v>
      </c>
      <c r="EF35" s="21">
        <v>1.0111170011545663E-2</v>
      </c>
      <c r="EG35" s="96">
        <v>1903695418.3668838</v>
      </c>
      <c r="EH35" s="19">
        <v>3.2111653832176152</v>
      </c>
      <c r="EI35" s="36">
        <v>18.827647207822032</v>
      </c>
      <c r="EJ35" s="98">
        <v>1.0000000000000751E-7</v>
      </c>
      <c r="EK35" s="26">
        <v>43906</v>
      </c>
      <c r="EL35" s="26" t="s">
        <v>691</v>
      </c>
      <c r="EM35" s="26"/>
      <c r="EN35" s="98">
        <v>171</v>
      </c>
      <c r="EO35" s="19">
        <v>43906</v>
      </c>
      <c r="EP35" s="26">
        <v>52</v>
      </c>
      <c r="EQ35" s="25" t="s">
        <v>692</v>
      </c>
      <c r="ER35" s="18"/>
      <c r="ES35" t="s">
        <v>693</v>
      </c>
      <c r="ET35" t="s">
        <v>694</v>
      </c>
      <c r="EV35"/>
      <c r="EX35" s="82"/>
      <c r="EY35" s="25"/>
      <c r="EZ35" s="82"/>
      <c r="FA35"/>
      <c r="FC35" s="25"/>
    </row>
    <row r="36" spans="2:159" x14ac:dyDescent="0.25">
      <c r="B36" s="1">
        <v>43877</v>
      </c>
      <c r="C36">
        <v>0</v>
      </c>
      <c r="D36" s="25">
        <v>0</v>
      </c>
      <c r="E36">
        <v>4</v>
      </c>
      <c r="F36">
        <v>0</v>
      </c>
      <c r="G36">
        <v>5</v>
      </c>
      <c r="H36">
        <v>2</v>
      </c>
      <c r="I36">
        <v>0</v>
      </c>
      <c r="J36">
        <v>4</v>
      </c>
      <c r="K36">
        <v>0</v>
      </c>
      <c r="L36" s="12">
        <f>IF(ISNUMBER(tblData[[#This Row],[NSW]]),tblData[[#This Row],[New South Wales]]/$L$9,"")</f>
        <v>4.9504950495049505</v>
      </c>
      <c r="M36" s="25">
        <v>3</v>
      </c>
      <c r="N36" s="46">
        <f>IF(ISNUMBER(tblData[Italy]),tblData[Italy]/$N$9,"")</f>
        <v>0.49599074150615857</v>
      </c>
      <c r="O36">
        <v>13</v>
      </c>
      <c r="P36" s="124">
        <f>IF(ISNUMBER(tblData[US]),tblData[US]/$P$9,"")</f>
        <v>0.39486343900067283</v>
      </c>
      <c r="Q36">
        <v>29</v>
      </c>
      <c r="R36" s="19">
        <f>IF(ISNUMBER(tblData[SKorea]),tblData[SKorea]/$R$9,"")</f>
        <v>5.6420233463035023</v>
      </c>
      <c r="S36">
        <v>9</v>
      </c>
      <c r="T36" s="12">
        <f>IF(ISNUMBER(tblData[UK]),tblData[UK]/$T$9,"")</f>
        <v>1.3546056592414208</v>
      </c>
      <c r="U36">
        <v>70513</v>
      </c>
      <c r="V36" s="20">
        <f>IF(ISNUMBER(tblData[China]),tblData[China]/$V$9,"")</f>
        <v>489.90366987448419</v>
      </c>
      <c r="W36">
        <v>75</v>
      </c>
      <c r="X36" s="124">
        <f>IF(ISNUMBER(tblData[Singapore]),tblData[Singapore]/$X$9,"")</f>
        <v>128.2051282051282</v>
      </c>
      <c r="Y36">
        <v>58182</v>
      </c>
      <c r="Z36" s="20">
        <f>IF(AND(LEN(tblData[Generic])&gt;0,ISNUMBER(tblData[Generic])),tblData[Generic]/$Z$9,"")</f>
        <v>9945.6410256410254</v>
      </c>
      <c r="AA36" s="25">
        <f>IF(tblData[[#This Row],[Date]]&lt;ItalyStart,"",tblData[[#This Row],[Date]]-ItalyStart)</f>
        <v>17</v>
      </c>
      <c r="AB36" s="25">
        <f>IF(tblData[[#This Row],[Date]]&lt;USStart,"",tblData[[#This Row],[Date]]-USStart)</f>
        <v>25</v>
      </c>
      <c r="AC36" s="25">
        <f>IF(tblData[[#This Row],[Date]]&lt;ChinaStart,"",tblData[[#This Row],[Date]]-ChinaStart)</f>
        <v>25</v>
      </c>
      <c r="AD36" s="25" t="str">
        <f>IF(tblData[[#This Row],[Date]]&lt;StartDt2Korea,"",tblData[[#This Row],[Date]]-StartDt2Korea)</f>
        <v/>
      </c>
      <c r="AE36" s="25">
        <f>IF(tblData[[#This Row],[Date]]&lt;UKStart,"",tblData[[#This Row],[Date]]-UKStart)</f>
        <v>17</v>
      </c>
      <c r="AF36" s="25">
        <f>IF(tblData[[#This Row],[Date]]&lt;SingaporeStart,"",tblData[[#This Row],[Date]]-SingaporeStart)</f>
        <v>24</v>
      </c>
      <c r="AG36" s="25">
        <f>IF(tblData[[#This Row],[Date]]&lt;GenStart,"",tblData[[#This Row],[Date]]-GenStart)</f>
        <v>25</v>
      </c>
      <c r="AH36">
        <f>IF(tblData[Date]&gt;=StartDt2Au,tblData[Date]-StartDt2Au,"")</f>
        <v>22</v>
      </c>
      <c r="AI36" s="25">
        <f>IF(tblData[New South Wales]&gt;0,SUM(tblData[[#This Row],[Australian Capital Territory]:[Western Australia]]),"")</f>
        <v>15</v>
      </c>
      <c r="AJ36" s="12">
        <f>IF(ISNUMBER(tblData[Au]),tblData[Au]/$AE$9,"")</f>
        <v>5.9138937076170954</v>
      </c>
      <c r="AK36" s="19">
        <f>IF(ISNUMBER(tblData[[#This Row],[Day'# Aust]]),betaAu/(deltaAu+betaPodeltaAu*EXP(-betaAu*tblData[[#This Row],[Day'# Aust]])),"")</f>
        <v>0.25561864693194092</v>
      </c>
      <c r="AL36" s="66">
        <f>IF(ISNUMBER(tblData[Day'# Aust]),tblData[Au LogiP(t)]/$AJ$9,"")</f>
        <v>0.10078010050936008</v>
      </c>
      <c r="AM36" s="11">
        <f>IF(AND(tblData[Date]&gt;=StartDt2Au,ISNUMBER(tblData[NSW])),(tblData[[#This Row],[Au LogiP(t)]]-tblData[[#This Row],[Au]])^2,"")</f>
        <v>217.39678148470108</v>
      </c>
      <c r="AN36">
        <f>IF(tblData[Date]&gt;StartDt2NSW,tblData[Date]-StartDt2NSW,"")</f>
        <v>22</v>
      </c>
      <c r="AO36">
        <f t="shared" si="4"/>
        <v>4</v>
      </c>
      <c r="AP36" s="11">
        <f>IF(tblData[Date]&gt;StartDt2NSW,betaNSW/(deltaNSW+betaPodeltaNSW*EXP(-betaNSW*tblData[[#This Row],[Day '# NSW]])),"")</f>
        <v>0.41085172534947184</v>
      </c>
      <c r="AQ36" s="12">
        <f>IF(AND(ISNUMBER(tblData[NSW]),tblData[Date]&gt;StartDt2NSW),(tblData[[#This Row],[NSW LogiP(t)]]-tblData[[#This Row],[NSW]])^2,"")</f>
        <v>12.881985337426864</v>
      </c>
      <c r="AR36" s="12">
        <f>IF(AND(tblData[Date]&gt;StartDt2NSW,ISNUMBER(tblData[Day'# Aust])),tblData[NSW LogiP(t)]/$AQ$9,"")</f>
        <v>0.508479858105782</v>
      </c>
      <c r="AS36" s="11">
        <f>IF(AND(tblData[Date]&gt;StartDt2Italy,ISNUMBER(tblData[Days'# Italy])),betaItaly/(deltaItaly+betaPodeltaItaly*EXP(-betaItaly*tblData[Days'# Italy])),"")</f>
        <v>35.229455811258994</v>
      </c>
      <c r="AT36" s="11">
        <f>IF(AND(tblData[Date]&gt;StartDt2Italy,ISNUMBER(tblData[Italy])),(tblData[[#This Row],[Italy LogiP(t)]]-tblData[[#This Row],[Italy]])^2,"")</f>
        <v>1038.7378218898962</v>
      </c>
      <c r="AU36" s="41">
        <f>IF(AND(tblData[Date]&gt;StartDt2Italy,ISNUMBER(tblData[Days'# Italy])),tblData[[#This Row],[Italy LogiP(t)]]/$AT$9,"")</f>
        <v>5.824494636894932</v>
      </c>
      <c r="AV36" s="20">
        <f>IF(ISNUMBER(tblData[[#This Row],[Days'# US]]),betaUS/(deltaUS+betaPodeltaUS*EXP(-betaUS*tblData[Days'# US])),"")</f>
        <v>2.3302833387882651</v>
      </c>
      <c r="AW36" s="11" t="str">
        <f>IF(AND(tblData[Date]&gt;=StartDt2US,ISNUMBER(tblData[US])),(tblData[[#This Row],[US LogiP(t)]]-tblData[US])^2,"")</f>
        <v/>
      </c>
      <c r="AX36" s="20">
        <f>IF(ISNUMBER(tblData[[#This Row],[Days'# US]]),tblData[[#This Row],[US LogiP(t)]]/$AW$9,"")</f>
        <v>7.0780284076915723E-2</v>
      </c>
      <c r="AY36" s="20" t="str">
        <f>IF(tblData[Date]&gt;=StartDt2Korea,betaSKorea/(deltaSKorea+betaPodeltaSKorea*EXP(-betaSKorea*(tblData[Date]-StartDt2Korea))),"")</f>
        <v/>
      </c>
      <c r="AZ36" s="20" t="str">
        <f>IF(AND(tblData[Date]&gt;=StartDt2Korea,ISNUMBER(tblData[SKorea])),(tblData[[#This Row],[SKorea LogiP(t)]]-tblData[[#This Row],[SKorea]])^2,"")</f>
        <v/>
      </c>
      <c r="BA36" s="20" t="str">
        <f>IF(tblData[Date]&gt;=StartDt2Korea,tblData[[#This Row],[SKorea LogiP(t)]]/$AZ$9,"")</f>
        <v/>
      </c>
      <c r="BB36" s="11">
        <f>IF(ISNUMBER(tblData[Days'# UK]),betaUK/(deltaUK+betaPodeltaUK*EXP(-betaUK*tblData[Days'# UK])),"")</f>
        <v>1.8243038939683602</v>
      </c>
      <c r="BC36" s="20">
        <f>IF(ISNUMBER(tblData[UK]),(tblData[[#This Row],[UK LogiP(t)]]-tblData[[#This Row],[UK]])^2,"")</f>
        <v>51.490614606117639</v>
      </c>
      <c r="BD36" s="20">
        <f>IF(ISNUMBER(tblData[Days'# UK]),tblData[[#This Row],[UK LogiP(t)]]/$BC$9,"")</f>
        <v>0.27457915321618909</v>
      </c>
      <c r="BE36" s="11">
        <f>IF(ISNUMBER(tblData[Days'# China]),betaChina/(deltaChina+betaPodeltaChina*EXP(-betaChina*tblData[Days'# China])),"")</f>
        <v>67501.005513890035</v>
      </c>
      <c r="BF36" s="11">
        <f>IF(ISNUMBER(tblData[China]),(tblData[[#This Row],[China LogiP(t)]]-tblData[[#This Row],[China]])^2,"")</f>
        <v>9072110.7843568306</v>
      </c>
      <c r="BG36" s="11">
        <f>tblData[[#This Row],[China LogiP(t)]]/$BF$9</f>
        <v>468.97721443524625</v>
      </c>
      <c r="BH36" s="11">
        <f>IF(ISNUMBER(tblData[Day'# Singapore]),betaSingapore/(deltaSingapore+betaPodeltaSingapore*EXP(-betaSingapore*tblData[Day'# Singapore])),"")</f>
        <v>33.416307342627761</v>
      </c>
      <c r="BI36" s="11">
        <f>IF(AND(ISNUMBER(tblData[Singapore]),tblData[Date]&gt;=StartDt2Singapore),(tblData[[#This Row],[Singapore LogiP(t)]]-tblData[[#This Row],[Singapore]])^2,"")</f>
        <v>1729.203495022794</v>
      </c>
      <c r="BJ36" s="11">
        <f>IF(ISNUMBER(tblData[Day'# Singapore]),tblData[Singapore LogiP(t)]/$BI$9,"")</f>
        <v>57.121892893380789</v>
      </c>
      <c r="BK36" s="11">
        <f>IF(ISNUMBER(tblData[Day'# Generic]),betaGeneric/(deltaGeneric+betaPodeltaGeneric*EXP(-betaGeneric*tblData[Day'# Generic])),"")</f>
        <v>57233.604682706558</v>
      </c>
      <c r="BL36" s="11">
        <f>IF(AND(ISNUMBER(tblData[Generic]),tblData[Date]&gt;=StartDt2Generic),(tblData[Generic LogiP(t)]-tblData[[#This Row],[Generic]])^2,"")</f>
        <v>899453.67786412779</v>
      </c>
      <c r="BM36" s="11">
        <f>IF(ISNUMBER(tblData[Day'# Generic]),tblData[Generic LogiP(t)]/$BL$9,"")</f>
        <v>9783.522167984027</v>
      </c>
      <c r="BO36" s="11"/>
      <c r="BP36" s="11" t="str">
        <f>IF(ISNUMBER(tblData[[#This Row],[Tests]]),tblData[[#This Row],[Tests]]-BP35,"")</f>
        <v/>
      </c>
      <c r="BQ36" s="11" t="str">
        <f>IF(ISNUMBER(tblData[[#This Row],[NSW Under Investigation'']]),tblData[[#This Row],[NSW Under Investigation'']]-BO35,"")</f>
        <v/>
      </c>
      <c r="BR36" s="11"/>
      <c r="BS36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36" s="11" t="str">
        <f>IF(tblData[Tests]&gt;0,(tblData[[#This Row],[Tests]]-tblData[[#This Row],[NSW Test Logi]])^2,"")</f>
        <v/>
      </c>
      <c r="BU36" s="11" t="str">
        <f>IF(ISNUMBER(tblData[Tests]),tblData[Tests]/$BS$9/100,"")</f>
        <v/>
      </c>
      <c r="BV36" s="11" t="str">
        <f>IF(AND(tblData[[#This Row],[NSW Test Day Number]]&gt;0,ISNUMBER(tblData[[#This Row],[NSW Test Day Number]])),TestsLogestB*TestsLogestM^tblData[[#This Row],[NSW Test Day Number]],"")</f>
        <v/>
      </c>
      <c r="BW36" s="11" t="str">
        <f>IF(AND(tblData[[#This Row],[NSW Test Day Number]]&gt;0,ISNUMBER(tblData[Tests])),(tblData[Tests]-tblData[[#This Row],[NSW Test Per Capita]])^2,"")</f>
        <v/>
      </c>
      <c r="BX36" s="11"/>
      <c r="BY36" s="11"/>
      <c r="BZ36" s="26"/>
      <c r="CB36" s="25"/>
      <c r="CD36" s="25"/>
      <c r="CK36"/>
      <c r="CL36"/>
      <c r="CN36" s="25"/>
      <c r="CO36" s="25"/>
      <c r="CP36" s="25"/>
      <c r="DC36"/>
      <c r="DD36"/>
      <c r="DG36" s="25"/>
      <c r="DH36" s="25"/>
      <c r="DV36"/>
      <c r="DW36"/>
      <c r="DX36"/>
      <c r="DY36" t="s">
        <v>153</v>
      </c>
      <c r="EA36" s="26">
        <v>43855</v>
      </c>
      <c r="EC36">
        <v>1</v>
      </c>
      <c r="ED36" s="22">
        <v>0.19065324956550231</v>
      </c>
      <c r="EE36" s="24">
        <v>1.0000000000000751E-10</v>
      </c>
      <c r="EF36" s="21">
        <v>1.0112692767979454E-2</v>
      </c>
      <c r="EG36" s="96">
        <v>1906532495.6548798</v>
      </c>
      <c r="EH36" s="19">
        <v>3.3224128526326897</v>
      </c>
      <c r="EI36" s="36">
        <v>18.852866782245194</v>
      </c>
      <c r="EJ36" s="98">
        <v>1.0000000000000751E-7</v>
      </c>
      <c r="EK36" s="26">
        <v>43907</v>
      </c>
      <c r="EL36" s="26" t="s">
        <v>674</v>
      </c>
      <c r="EM36" s="26"/>
      <c r="EN36" s="98">
        <v>210</v>
      </c>
      <c r="EO36" s="19" t="s">
        <v>675</v>
      </c>
      <c r="EP36" s="26">
        <v>43907</v>
      </c>
      <c r="EQ36" s="25">
        <v>53</v>
      </c>
      <c r="ER36" s="18" t="s">
        <v>676</v>
      </c>
      <c r="ET36" t="s">
        <v>677</v>
      </c>
      <c r="EV36"/>
      <c r="EX36" s="82"/>
      <c r="EY36" s="25"/>
      <c r="EZ36" s="82"/>
      <c r="FA36"/>
      <c r="FC36" s="25"/>
    </row>
    <row r="37" spans="2:159" x14ac:dyDescent="0.25">
      <c r="B37" s="1">
        <v>43878</v>
      </c>
      <c r="C37">
        <v>0</v>
      </c>
      <c r="D37" s="25">
        <v>0</v>
      </c>
      <c r="E37">
        <v>4</v>
      </c>
      <c r="F37">
        <v>0</v>
      </c>
      <c r="G37">
        <v>5</v>
      </c>
      <c r="H37">
        <v>2</v>
      </c>
      <c r="I37">
        <v>0</v>
      </c>
      <c r="J37">
        <v>4</v>
      </c>
      <c r="K37">
        <v>0</v>
      </c>
      <c r="L37" s="12">
        <f>IF(ISNUMBER(tblData[[#This Row],[NSW]]),tblData[[#This Row],[New South Wales]]/$L$9,"")</f>
        <v>4.9504950495049505</v>
      </c>
      <c r="M37" s="25">
        <v>3</v>
      </c>
      <c r="N37" s="46">
        <f>IF(ISNUMBER(tblData[Italy]),tblData[Italy]/$N$9,"")</f>
        <v>0.49599074150615857</v>
      </c>
      <c r="O37">
        <v>13</v>
      </c>
      <c r="P37" s="124">
        <f>IF(ISNUMBER(tblData[US]),tblData[US]/$P$9,"")</f>
        <v>0.39486343900067283</v>
      </c>
      <c r="Q37">
        <v>30</v>
      </c>
      <c r="R37" s="19">
        <f>IF(ISNUMBER(tblData[SKorea]),tblData[SKorea]/$R$9,"")</f>
        <v>5.8365758754863819</v>
      </c>
      <c r="S37">
        <v>9</v>
      </c>
      <c r="T37" s="12">
        <f>IF(ISNUMBER(tblData[UK]),tblData[UK]/$T$9,"")</f>
        <v>1.3546056592414208</v>
      </c>
      <c r="U37">
        <v>72434</v>
      </c>
      <c r="V37" s="20">
        <f>IF(ISNUMBER(tblData[China]),tblData[China]/$V$9,"")</f>
        <v>503.25021518994208</v>
      </c>
      <c r="W37">
        <v>77</v>
      </c>
      <c r="X37" s="124">
        <f>IF(ISNUMBER(tblData[Singapore]),tblData[Singapore]/$X$9,"")</f>
        <v>131.62393162393164</v>
      </c>
      <c r="Y37">
        <v>59989</v>
      </c>
      <c r="Z37" s="20">
        <f>IF(AND(LEN(tblData[Generic])&gt;0,ISNUMBER(tblData[Generic])),tblData[Generic]/$Z$9,"")</f>
        <v>10254.529914529916</v>
      </c>
      <c r="AA37" s="25">
        <f>IF(tblData[[#This Row],[Date]]&lt;ItalyStart,"",tblData[[#This Row],[Date]]-ItalyStart)</f>
        <v>18</v>
      </c>
      <c r="AB37" s="25">
        <f>IF(tblData[[#This Row],[Date]]&lt;USStart,"",tblData[[#This Row],[Date]]-USStart)</f>
        <v>26</v>
      </c>
      <c r="AC37" s="25">
        <f>IF(tblData[[#This Row],[Date]]&lt;ChinaStart,"",tblData[[#This Row],[Date]]-ChinaStart)</f>
        <v>26</v>
      </c>
      <c r="AD37" s="25" t="str">
        <f>IF(tblData[[#This Row],[Date]]&lt;StartDt2Korea,"",tblData[[#This Row],[Date]]-StartDt2Korea)</f>
        <v/>
      </c>
      <c r="AE37" s="25">
        <f>IF(tblData[[#This Row],[Date]]&lt;UKStart,"",tblData[[#This Row],[Date]]-UKStart)</f>
        <v>18</v>
      </c>
      <c r="AF37" s="25">
        <f>IF(tblData[[#This Row],[Date]]&lt;SingaporeStart,"",tblData[[#This Row],[Date]]-SingaporeStart)</f>
        <v>25</v>
      </c>
      <c r="AG37" s="25">
        <f>IF(tblData[[#This Row],[Date]]&lt;GenStart,"",tblData[[#This Row],[Date]]-GenStart)</f>
        <v>26</v>
      </c>
      <c r="AH37">
        <f>IF(tblData[Date]&gt;=StartDt2Au,tblData[Date]-StartDt2Au,"")</f>
        <v>23</v>
      </c>
      <c r="AI37" s="25">
        <f>IF(tblData[New South Wales]&gt;0,SUM(tblData[[#This Row],[Australian Capital Territory]:[Western Australia]]),"")</f>
        <v>15</v>
      </c>
      <c r="AJ37" s="12">
        <f>IF(ISNUMBER(tblData[Au]),tblData[Au]/$AE$9,"")</f>
        <v>5.9138937076170954</v>
      </c>
      <c r="AK37" s="19">
        <f>IF(ISNUMBER(tblData[[#This Row],[Day'# Aust]]),betaAu/(deltaAu+betaPodeltaAu*EXP(-betaAu*tblData[[#This Row],[Day'# Aust]])),"")</f>
        <v>0.32887037143255821</v>
      </c>
      <c r="AL37" s="66">
        <f>IF(ISNUMBER(tblData[Day'# Aust]),tblData[Au LogiP(t)]/$AJ$9,"")</f>
        <v>0.12966029468244686</v>
      </c>
      <c r="AM37" s="11">
        <f>IF(AND(tblData[Date]&gt;=StartDt2Au,ISNUMBER(tblData[NSW])),(tblData[[#This Row],[Au LogiP(t)]]-tblData[[#This Row],[Au]])^2,"")</f>
        <v>215.24204457822947</v>
      </c>
      <c r="AN37">
        <f>IF(tblData[Date]&gt;StartDt2NSW,tblData[Date]-StartDt2NSW,"")</f>
        <v>23</v>
      </c>
      <c r="AO37">
        <f t="shared" si="4"/>
        <v>4</v>
      </c>
      <c r="AP37" s="11">
        <f>IF(tblData[Date]&gt;StartDt2NSW,betaNSW/(deltaNSW+betaPodeltaNSW*EXP(-betaNSW*tblData[[#This Row],[Day '# NSW]])),"")</f>
        <v>0.50612208511842649</v>
      </c>
      <c r="AQ37" s="12">
        <f>IF(AND(ISNUMBER(tblData[NSW]),tblData[Date]&gt;StartDt2NSW),(tblData[[#This Row],[NSW LogiP(t)]]-tblData[[#This Row],[NSW]])^2,"")</f>
        <v>12.207182884097211</v>
      </c>
      <c r="AR37" s="12">
        <f>IF(AND(tblData[Date]&gt;StartDt2NSW,ISNUMBER(tblData[Day'# Aust])),tblData[NSW LogiP(t)]/$AQ$9,"")</f>
        <v>0.62638871920597339</v>
      </c>
      <c r="AS37" s="11">
        <f>IF(AND(tblData[Date]&gt;StartDt2Italy,ISNUMBER(tblData[Days'# Italy])),betaItaly/(deltaItaly+betaPodeltaItaly*EXP(-betaItaly*tblData[Days'# Italy])),"")</f>
        <v>45.571125348455084</v>
      </c>
      <c r="AT37" s="11">
        <f>IF(AND(tblData[Date]&gt;StartDt2Italy,ISNUMBER(tblData[Italy])),(tblData[[#This Row],[Italy LogiP(t)]]-tblData[[#This Row],[Italy]])^2,"")</f>
        <v>1812.300713433875</v>
      </c>
      <c r="AU37" s="41">
        <f>IF(AND(tblData[Date]&gt;StartDt2Italy,ISNUMBER(tblData[Days'# Italy])),tblData[[#This Row],[Italy LogiP(t)]]/$AT$9,"")</f>
        <v>7.5342854176167791</v>
      </c>
      <c r="AV37" s="20">
        <f>IF(ISNUMBER(tblData[[#This Row],[Days'# US]]),betaUS/(deltaUS+betaPodeltaUS*EXP(-betaUS*tblData[Days'# US])),"")</f>
        <v>3.0750641977993665</v>
      </c>
      <c r="AW37" s="11" t="str">
        <f>IF(AND(tblData[Date]&gt;=StartDt2US,ISNUMBER(tblData[US])),(tblData[[#This Row],[US LogiP(t)]]-tblData[US])^2,"")</f>
        <v/>
      </c>
      <c r="AX37" s="20">
        <f>IF(ISNUMBER(tblData[[#This Row],[Days'# US]]),tblData[[#This Row],[US LogiP(t)]]/$AW$9,"")</f>
        <v>9.3402340330069472E-2</v>
      </c>
      <c r="AY37" s="20" t="str">
        <f>IF(tblData[Date]&gt;=StartDt2Korea,betaSKorea/(deltaSKorea+betaPodeltaSKorea*EXP(-betaSKorea*(tblData[Date]-StartDt2Korea))),"")</f>
        <v/>
      </c>
      <c r="AZ37" s="20" t="str">
        <f>IF(AND(tblData[Date]&gt;=StartDt2Korea,ISNUMBER(tblData[SKorea])),(tblData[[#This Row],[SKorea LogiP(t)]]-tblData[[#This Row],[SKorea]])^2,"")</f>
        <v/>
      </c>
      <c r="BA37" s="20" t="str">
        <f>IF(tblData[Date]&gt;=StartDt2Korea,tblData[[#This Row],[SKorea LogiP(t)]]/$AZ$9,"")</f>
        <v/>
      </c>
      <c r="BB37" s="11">
        <f>IF(ISNUMBER(tblData[Days'# UK]),betaUK/(deltaUK+betaPodeltaUK*EXP(-betaUK*tblData[Days'# UK])),"")</f>
        <v>2.3129836931568577</v>
      </c>
      <c r="BC37" s="20">
        <f>IF(ISNUMBER(tblData[UK]),(tblData[[#This Row],[UK LogiP(t)]]-tblData[[#This Row],[UK]])^2,"")</f>
        <v>44.716187087986107</v>
      </c>
      <c r="BD37" s="20">
        <f>IF(ISNUMBER(tblData[Days'# UK]),tblData[[#This Row],[UK LogiP(t)]]/$BC$9,"")</f>
        <v>0.34813120005371129</v>
      </c>
      <c r="BE37" s="11">
        <f>IF(ISNUMBER(tblData[Days'# China]),betaChina/(deltaChina+betaPodeltaChina*EXP(-betaChina*tblData[Days'# China])),"")</f>
        <v>69821.169334148697</v>
      </c>
      <c r="BF37" s="11">
        <f>IF(ISNUMBER(tblData[China]),(tblData[[#This Row],[China LogiP(t)]]-tblData[[#This Row],[China]])^2,"")</f>
        <v>6826884.0884129629</v>
      </c>
      <c r="BG37" s="11">
        <f>tblData[[#This Row],[China LogiP(t)]]/$BF$9</f>
        <v>485.09703305386586</v>
      </c>
      <c r="BH37" s="11">
        <f>IF(ISNUMBER(tblData[Day'# Singapore]),betaSingapore/(deltaSingapore+betaPodeltaSingapore*EXP(-betaSingapore*tblData[Day'# Singapore])),"")</f>
        <v>36.000091347651036</v>
      </c>
      <c r="BI37" s="11">
        <f>IF(AND(ISNUMBER(tblData[Singapore]),tblData[Date]&gt;=StartDt2Singapore),(tblData[[#This Row],[Singapore LogiP(t)]]-tblData[[#This Row],[Singapore]])^2,"")</f>
        <v>1680.9925095009594</v>
      </c>
      <c r="BJ37" s="11">
        <f>IF(ISNUMBER(tblData[Day'# Singapore]),tblData[Singapore LogiP(t)]/$BI$9,"")</f>
        <v>61.538617688292376</v>
      </c>
      <c r="BK37" s="11">
        <f>IF(ISNUMBER(tblData[Day'# Generic]),betaGeneric/(deltaGeneric+betaPodeltaGeneric*EXP(-betaGeneric*tblData[Day'# Generic])),"")</f>
        <v>58975.25264810535</v>
      </c>
      <c r="BL37" s="11">
        <f>IF(AND(ISNUMBER(tblData[Generic]),tblData[Date]&gt;=StartDt2Generic),(tblData[Generic LogiP(t)]-tblData[[#This Row],[Generic]])^2,"")</f>
        <v>1027683.6934734151</v>
      </c>
      <c r="BM37" s="11">
        <f>IF(ISNUMBER(tblData[Day'# Generic]),tblData[Generic LogiP(t)]/$BL$9,"")</f>
        <v>10081.239768906898</v>
      </c>
      <c r="BO37" s="11"/>
      <c r="BP37" s="11" t="str">
        <f>IF(ISNUMBER(tblData[[#This Row],[Tests]]),tblData[[#This Row],[Tests]]-BP36,"")</f>
        <v/>
      </c>
      <c r="BQ37" s="11" t="str">
        <f>IF(ISNUMBER(tblData[[#This Row],[NSW Under Investigation'']]),tblData[[#This Row],[NSW Under Investigation'']]-BO36,"")</f>
        <v/>
      </c>
      <c r="BR37" s="11"/>
      <c r="BS37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37" s="11" t="str">
        <f>IF(tblData[Tests]&gt;0,(tblData[[#This Row],[Tests]]-tblData[[#This Row],[NSW Test Logi]])^2,"")</f>
        <v/>
      </c>
      <c r="BU37" s="11" t="str">
        <f>IF(ISNUMBER(tblData[Tests]),tblData[Tests]/$BS$9/100,"")</f>
        <v/>
      </c>
      <c r="BV37" s="11" t="str">
        <f>IF(AND(tblData[[#This Row],[NSW Test Day Number]]&gt;0,ISNUMBER(tblData[[#This Row],[NSW Test Day Number]])),TestsLogestB*TestsLogestM^tblData[[#This Row],[NSW Test Day Number]],"")</f>
        <v/>
      </c>
      <c r="BW37" s="11" t="str">
        <f>IF(AND(tblData[[#This Row],[NSW Test Day Number]]&gt;0,ISNUMBER(tblData[Tests])),(tblData[Tests]-tblData[[#This Row],[NSW Test Per Capita]])^2,"")</f>
        <v/>
      </c>
      <c r="BX37" s="11"/>
      <c r="BY37" s="11"/>
      <c r="BZ37" s="26"/>
      <c r="CB37" s="25"/>
      <c r="CD37" s="25"/>
      <c r="CK37"/>
      <c r="CL37"/>
      <c r="CN37" s="25"/>
      <c r="CO37" s="25"/>
      <c r="CP37" s="25"/>
      <c r="DC37"/>
      <c r="DD37"/>
      <c r="DG37" s="25"/>
      <c r="DH37" s="25"/>
      <c r="DV37"/>
      <c r="DW37"/>
      <c r="DX37"/>
      <c r="DY37" t="s">
        <v>153</v>
      </c>
      <c r="EA37" s="26">
        <v>43855</v>
      </c>
      <c r="EC37">
        <v>1</v>
      </c>
      <c r="ED37" s="22">
        <v>0.20209478104227763</v>
      </c>
      <c r="EE37" s="24">
        <v>1.0000000000000751E-10</v>
      </c>
      <c r="EF37" s="21">
        <v>5.7886977342360797E-3</v>
      </c>
      <c r="EG37" s="96">
        <v>2020947810.4226243</v>
      </c>
      <c r="EH37" s="19">
        <v>3.5813561365949553</v>
      </c>
      <c r="EI37" s="36">
        <v>34.911959532184611</v>
      </c>
      <c r="EJ37" s="98">
        <v>1.0000000000000751E-7</v>
      </c>
      <c r="EK37" s="26">
        <v>43908</v>
      </c>
      <c r="EL37" s="26" t="s">
        <v>708</v>
      </c>
      <c r="EM37" s="26"/>
      <c r="EN37" s="98">
        <v>267</v>
      </c>
      <c r="EO37" s="19" t="s">
        <v>709</v>
      </c>
      <c r="EP37" s="26">
        <v>43908</v>
      </c>
      <c r="EQ37" s="25">
        <v>54</v>
      </c>
      <c r="ER37" s="18" t="s">
        <v>710</v>
      </c>
      <c r="ET37" t="s">
        <v>711</v>
      </c>
      <c r="EV37" s="25" t="s">
        <v>712</v>
      </c>
      <c r="EW37" s="25"/>
      <c r="EX37" s="82"/>
      <c r="EY37" s="25"/>
      <c r="EZ37" s="82"/>
      <c r="FC37" s="25"/>
    </row>
    <row r="38" spans="2:159" x14ac:dyDescent="0.25">
      <c r="B38" s="1">
        <v>43879</v>
      </c>
      <c r="C38">
        <v>0</v>
      </c>
      <c r="D38" s="25">
        <v>0</v>
      </c>
      <c r="E38">
        <v>4</v>
      </c>
      <c r="F38">
        <v>0</v>
      </c>
      <c r="G38">
        <v>5</v>
      </c>
      <c r="H38">
        <v>2</v>
      </c>
      <c r="I38">
        <v>0</v>
      </c>
      <c r="J38">
        <v>4</v>
      </c>
      <c r="K38">
        <v>0</v>
      </c>
      <c r="L38" s="12">
        <f>IF(ISNUMBER(tblData[[#This Row],[NSW]]),tblData[[#This Row],[New South Wales]]/$L$9,"")</f>
        <v>4.9504950495049505</v>
      </c>
      <c r="M38" s="25">
        <v>3</v>
      </c>
      <c r="N38" s="46">
        <f>IF(ISNUMBER(tblData[Italy]),tblData[Italy]/$N$9,"")</f>
        <v>0.49599074150615857</v>
      </c>
      <c r="O38">
        <v>13</v>
      </c>
      <c r="P38" s="124">
        <f>IF(ISNUMBER(tblData[US]),tblData[US]/$P$9,"")</f>
        <v>0.39486343900067283</v>
      </c>
      <c r="Q38">
        <v>31</v>
      </c>
      <c r="R38" s="19">
        <f>IF(ISNUMBER(tblData[SKorea]),tblData[SKorea]/$R$9,"")</f>
        <v>6.0311284046692615</v>
      </c>
      <c r="S38">
        <v>9</v>
      </c>
      <c r="T38" s="12">
        <f>IF(ISNUMBER(tblData[UK]),tblData[UK]/$T$9,"")</f>
        <v>1.3546056592414208</v>
      </c>
      <c r="U38">
        <v>74211</v>
      </c>
      <c r="V38" s="20">
        <f>IF(ISNUMBER(tblData[China]),tblData[China]/$V$9,"")</f>
        <v>515.59629068477227</v>
      </c>
      <c r="W38">
        <v>81</v>
      </c>
      <c r="X38" s="124">
        <f>IF(ISNUMBER(tblData[Singapore]),tblData[Singapore]/$X$9,"")</f>
        <v>138.46153846153848</v>
      </c>
      <c r="Y38">
        <v>61682</v>
      </c>
      <c r="Z38" s="20">
        <f>IF(AND(LEN(tblData[Generic])&gt;0,ISNUMBER(tblData[Generic])),tblData[Generic]/$Z$9,"")</f>
        <v>10543.931623931625</v>
      </c>
      <c r="AA38" s="25">
        <f>IF(tblData[[#This Row],[Date]]&lt;ItalyStart,"",tblData[[#This Row],[Date]]-ItalyStart)</f>
        <v>19</v>
      </c>
      <c r="AB38" s="25">
        <f>IF(tblData[[#This Row],[Date]]&lt;USStart,"",tblData[[#This Row],[Date]]-USStart)</f>
        <v>27</v>
      </c>
      <c r="AC38" s="25">
        <f>IF(tblData[[#This Row],[Date]]&lt;ChinaStart,"",tblData[[#This Row],[Date]]-ChinaStart)</f>
        <v>27</v>
      </c>
      <c r="AD38" s="25" t="str">
        <f>IF(tblData[[#This Row],[Date]]&lt;StartDt2Korea,"",tblData[[#This Row],[Date]]-StartDt2Korea)</f>
        <v/>
      </c>
      <c r="AE38" s="25">
        <f>IF(tblData[[#This Row],[Date]]&lt;UKStart,"",tblData[[#This Row],[Date]]-UKStart)</f>
        <v>19</v>
      </c>
      <c r="AF38" s="25">
        <f>IF(tblData[[#This Row],[Date]]&lt;SingaporeStart,"",tblData[[#This Row],[Date]]-SingaporeStart)</f>
        <v>26</v>
      </c>
      <c r="AG38" s="25">
        <f>IF(tblData[[#This Row],[Date]]&lt;GenStart,"",tblData[[#This Row],[Date]]-GenStart)</f>
        <v>27</v>
      </c>
      <c r="AH38">
        <f>IF(tblData[Date]&gt;=StartDt2Au,tblData[Date]-StartDt2Au,"")</f>
        <v>24</v>
      </c>
      <c r="AI38" s="25">
        <f>IF(tblData[New South Wales]&gt;0,SUM(tblData[[#This Row],[Australian Capital Territory]:[Western Australia]]),"")</f>
        <v>15</v>
      </c>
      <c r="AJ38" s="12">
        <f>IF(ISNUMBER(tblData[Au]),tblData[Au]/$AE$9,"")</f>
        <v>5.9138937076170954</v>
      </c>
      <c r="AK38" s="19">
        <f>IF(ISNUMBER(tblData[[#This Row],[Day'# Aust]]),betaAu/(deltaAu+betaPodeltaAu*EXP(-betaAu*tblData[[#This Row],[Day'# Aust]])),"")</f>
        <v>0.42311231921559994</v>
      </c>
      <c r="AL38" s="66">
        <f>IF(ISNUMBER(tblData[Day'# Aust]),tblData[Au LogiP(t)]/$AJ$9,"")</f>
        <v>0.16681608548162749</v>
      </c>
      <c r="AM38" s="11">
        <f>IF(AND(tblData[Date]&gt;=StartDt2Au,ISNUMBER(tblData[NSW])),(tblData[[#This Row],[Au LogiP(t)]]-tblData[[#This Row],[Au]])^2,"")</f>
        <v>212.48565445820401</v>
      </c>
      <c r="AN38">
        <f>IF(tblData[Date]&gt;StartDt2NSW,tblData[Date]-StartDt2NSW,"")</f>
        <v>24</v>
      </c>
      <c r="AO38">
        <f t="shared" si="4"/>
        <v>4</v>
      </c>
      <c r="AP38" s="11">
        <f>IF(tblData[Date]&gt;StartDt2NSW,betaNSW/(deltaNSW+betaPodeltaNSW*EXP(-betaNSW*tblData[[#This Row],[Day '# NSW]])),"")</f>
        <v>0.62348277912394001</v>
      </c>
      <c r="AQ38" s="12">
        <f>IF(AND(ISNUMBER(tblData[NSW]),tblData[Date]&gt;StartDt2NSW),(tblData[[#This Row],[NSW LogiP(t)]]-tblData[[#This Row],[NSW]])^2,"")</f>
        <v>11.40086854287259</v>
      </c>
      <c r="AR38" s="12">
        <f>IF(AND(tblData[Date]&gt;StartDt2NSW,ISNUMBER(tblData[Day'# Aust])),tblData[NSW LogiP(t)]/$AQ$9,"")</f>
        <v>0.77163710287616338</v>
      </c>
      <c r="AS38" s="11">
        <f>IF(AND(tblData[Date]&gt;StartDt2Italy,ISNUMBER(tblData[Days'# Italy])),betaItaly/(deltaItaly+betaPodeltaItaly*EXP(-betaItaly*tblData[Days'# Italy])),"")</f>
        <v>58.946256521411776</v>
      </c>
      <c r="AT38" s="11">
        <f>IF(AND(tblData[Date]&gt;StartDt2Italy,ISNUMBER(tblData[Italy])),(tblData[[#This Row],[Italy LogiP(t)]]-tblData[[#This Row],[Italy]])^2,"")</f>
        <v>3129.9836187596097</v>
      </c>
      <c r="AU38" s="41">
        <f>IF(AND(tblData[Date]&gt;StartDt2Italy,ISNUMBER(tblData[Days'# Italy])),tblData[[#This Row],[Italy LogiP(t)]]/$AT$9,"")</f>
        <v>9.7455991603557539</v>
      </c>
      <c r="AV38" s="20">
        <f>IF(ISNUMBER(tblData[[#This Row],[Days'# US]]),betaUS/(deltaUS+betaPodeltaUS*EXP(-betaUS*tblData[Days'# US])),"")</f>
        <v>4.0578789925485355</v>
      </c>
      <c r="AW38" s="11" t="str">
        <f>IF(AND(tblData[Date]&gt;=StartDt2US,ISNUMBER(tblData[US])),(tblData[[#This Row],[US LogiP(t)]]-tblData[US])^2,"")</f>
        <v/>
      </c>
      <c r="AX38" s="20">
        <f>IF(ISNUMBER(tblData[[#This Row],[Days'# US]]),tblData[[#This Row],[US LogiP(t)]]/$AW$9,"")</f>
        <v>0.12325446569586926</v>
      </c>
      <c r="AY38" s="20" t="str">
        <f>IF(tblData[Date]&gt;=StartDt2Korea,betaSKorea/(deltaSKorea+betaPodeltaSKorea*EXP(-betaSKorea*(tblData[Date]-StartDt2Korea))),"")</f>
        <v/>
      </c>
      <c r="AZ38" s="20" t="str">
        <f>IF(AND(tblData[Date]&gt;=StartDt2Korea,ISNUMBER(tblData[SKorea])),(tblData[[#This Row],[SKorea LogiP(t)]]-tblData[[#This Row],[SKorea]])^2,"")</f>
        <v/>
      </c>
      <c r="BA38" s="20" t="str">
        <f>IF(tblData[Date]&gt;=StartDt2Korea,tblData[[#This Row],[SKorea LogiP(t)]]/$AZ$9,"")</f>
        <v/>
      </c>
      <c r="BB38" s="11">
        <f>IF(ISNUMBER(tblData[Days'# UK]),betaUK/(deltaUK+betaPodeltaUK*EXP(-betaUK*tblData[Days'# UK])),"")</f>
        <v>2.9325496636102035</v>
      </c>
      <c r="BC38" s="20">
        <f>IF(ISNUMBER(tblData[UK]),(tblData[[#This Row],[UK LogiP(t)]]-tblData[[#This Row],[UK]])^2,"")</f>
        <v>36.813953584556657</v>
      </c>
      <c r="BD38" s="20">
        <f>IF(ISNUMBER(tblData[Days'# UK]),tblData[[#This Row],[UK LogiP(t)]]/$BC$9,"")</f>
        <v>0.44138315225921182</v>
      </c>
      <c r="BE38" s="11">
        <f>IF(ISNUMBER(tblData[Days'# China]),betaChina/(deltaChina+betaPodeltaChina*EXP(-betaChina*tblData[Days'# China])),"")</f>
        <v>71797.418778606065</v>
      </c>
      <c r="BF38" s="11">
        <f>IF(ISNUMBER(tblData[China]),(tblData[[#This Row],[China LogiP(t)]]-tblData[[#This Row],[China]])^2,"")</f>
        <v>5825374.3122654408</v>
      </c>
      <c r="BG38" s="11">
        <f>tblData[[#This Row],[China LogiP(t)]]/$BF$9</f>
        <v>498.82743532617133</v>
      </c>
      <c r="BH38" s="11">
        <f>IF(ISNUMBER(tblData[Day'# Singapore]),betaSingapore/(deltaSingapore+betaPodeltaSingapore*EXP(-betaSingapore*tblData[Day'# Singapore])),"")</f>
        <v>38.783656247453834</v>
      </c>
      <c r="BI38" s="11">
        <f>IF(AND(ISNUMBER(tblData[Singapore]),tblData[Date]&gt;=StartDt2Singapore),(tblData[[#This Row],[Singapore LogiP(t)]]-tblData[[#This Row],[Singapore]])^2,"")</f>
        <v>1782.2196798331438</v>
      </c>
      <c r="BJ38" s="11">
        <f>IF(ISNUMBER(tblData[Day'# Singapore]),tblData[Singapore LogiP(t)]/$BI$9,"")</f>
        <v>66.296848286245876</v>
      </c>
      <c r="BK38" s="11">
        <f>IF(ISNUMBER(tblData[Day'# Generic]),betaGeneric/(deltaGeneric+betaPodeltaGeneric*EXP(-betaGeneric*tblData[Day'# Generic])),"")</f>
        <v>60451.909971417568</v>
      </c>
      <c r="BL38" s="11">
        <f>IF(AND(ISNUMBER(tblData[Generic]),tblData[Date]&gt;=StartDt2Generic),(tblData[Generic LogiP(t)]-tblData[[#This Row],[Generic]])^2,"")</f>
        <v>1513121.4784179281</v>
      </c>
      <c r="BM38" s="11">
        <f>IF(ISNUMBER(tblData[Day'# Generic]),tblData[Generic LogiP(t)]/$BL$9,"")</f>
        <v>10333.659824173945</v>
      </c>
      <c r="BO38" s="11"/>
      <c r="BP38" s="11" t="str">
        <f>IF(ISNUMBER(tblData[[#This Row],[Tests]]),tblData[[#This Row],[Tests]]-BP37,"")</f>
        <v/>
      </c>
      <c r="BQ38" s="11" t="str">
        <f>IF(ISNUMBER(tblData[[#This Row],[NSW Under Investigation'']]),tblData[[#This Row],[NSW Under Investigation'']]-BO37,"")</f>
        <v/>
      </c>
      <c r="BR38" s="11"/>
      <c r="BS38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38" s="11" t="str">
        <f>IF(tblData[Tests]&gt;0,(tblData[[#This Row],[Tests]]-tblData[[#This Row],[NSW Test Logi]])^2,"")</f>
        <v/>
      </c>
      <c r="BU38" s="11" t="str">
        <f>IF(ISNUMBER(tblData[Tests]),tblData[Tests]/$BS$9/100,"")</f>
        <v/>
      </c>
      <c r="BV38" s="11" t="str">
        <f>IF(AND(tblData[[#This Row],[NSW Test Day Number]]&gt;0,ISNUMBER(tblData[[#This Row],[NSW Test Day Number]])),TestsLogestB*TestsLogestM^tblData[[#This Row],[NSW Test Day Number]],"")</f>
        <v/>
      </c>
      <c r="BW38" s="11" t="str">
        <f>IF(AND(tblData[[#This Row],[NSW Test Day Number]]&gt;0,ISNUMBER(tblData[Tests])),(tblData[Tests]-tblData[[#This Row],[NSW Test Per Capita]])^2,"")</f>
        <v/>
      </c>
      <c r="BX38" s="11"/>
      <c r="BY38" s="11"/>
      <c r="BZ38"/>
      <c r="CB38" s="25"/>
      <c r="CD38" s="25"/>
      <c r="CK38"/>
      <c r="CL38"/>
      <c r="CN38" s="25"/>
      <c r="CO38" s="25"/>
      <c r="CP38" s="25"/>
      <c r="DC38"/>
      <c r="DD38"/>
      <c r="DG38" s="25"/>
      <c r="DH38" s="25"/>
      <c r="DV38"/>
      <c r="DW38"/>
      <c r="DX38"/>
      <c r="DY38" s="131" t="s">
        <v>153</v>
      </c>
      <c r="EA38" s="26">
        <v>43855</v>
      </c>
      <c r="EC38" s="131">
        <v>1</v>
      </c>
      <c r="ED38" s="131">
        <v>0.20209478104227763</v>
      </c>
      <c r="EE38" s="133">
        <v>1.0000000000000751E-10</v>
      </c>
      <c r="EF38" s="131">
        <v>5.7886977342360797E-3</v>
      </c>
      <c r="EG38" s="134">
        <v>2020947810.4226243</v>
      </c>
      <c r="EH38" s="135">
        <v>3.8333653054478112</v>
      </c>
      <c r="EI38" s="66">
        <v>34.911959532184611</v>
      </c>
      <c r="EJ38" s="136">
        <v>1.0000000000000751E-7</v>
      </c>
      <c r="EK38" s="26">
        <v>43908</v>
      </c>
      <c r="EL38" s="132" t="s">
        <v>708</v>
      </c>
      <c r="EM38" s="132"/>
      <c r="EN38" s="98">
        <v>307</v>
      </c>
      <c r="EO38" s="57" t="s">
        <v>709</v>
      </c>
      <c r="EP38" s="26">
        <v>43908</v>
      </c>
      <c r="EQ38" s="25">
        <v>55</v>
      </c>
      <c r="ER38" s="58" t="s">
        <v>710</v>
      </c>
      <c r="ES38" s="57"/>
      <c r="ET38" s="57" t="s">
        <v>711</v>
      </c>
      <c r="EU38" s="57"/>
      <c r="EV38" s="61" t="s">
        <v>731</v>
      </c>
      <c r="EW38" s="20">
        <v>379.95049504950492</v>
      </c>
      <c r="EX38" s="82"/>
      <c r="EY38" s="60"/>
      <c r="EZ38" s="85"/>
      <c r="FA38" s="11"/>
      <c r="FB38" t="s">
        <v>732</v>
      </c>
      <c r="FC38" s="25"/>
    </row>
    <row r="39" spans="2:159" x14ac:dyDescent="0.25">
      <c r="B39" s="1">
        <v>43880</v>
      </c>
      <c r="C39">
        <v>0</v>
      </c>
      <c r="D39" s="25">
        <v>0</v>
      </c>
      <c r="E39">
        <v>4</v>
      </c>
      <c r="F39">
        <v>0</v>
      </c>
      <c r="G39">
        <v>5</v>
      </c>
      <c r="H39">
        <v>2</v>
      </c>
      <c r="I39">
        <v>0</v>
      </c>
      <c r="J39">
        <v>4</v>
      </c>
      <c r="K39">
        <v>0</v>
      </c>
      <c r="L39" s="12">
        <f>IF(ISNUMBER(tblData[[#This Row],[NSW]]),tblData[[#This Row],[New South Wales]]/$L$9,"")</f>
        <v>4.9504950495049505</v>
      </c>
      <c r="M39" s="25">
        <v>3</v>
      </c>
      <c r="N39" s="46">
        <f>IF(ISNUMBER(tblData[Italy]),tblData[Italy]/$N$9,"")</f>
        <v>0.49599074150615857</v>
      </c>
      <c r="O39">
        <v>13</v>
      </c>
      <c r="P39" s="124">
        <f>IF(ISNUMBER(tblData[US]),tblData[US]/$P$9,"")</f>
        <v>0.39486343900067283</v>
      </c>
      <c r="Q39">
        <v>31</v>
      </c>
      <c r="R39" s="19">
        <f>IF(ISNUMBER(tblData[SKorea]),tblData[SKorea]/$R$9,"")</f>
        <v>6.0311284046692615</v>
      </c>
      <c r="S39">
        <v>9</v>
      </c>
      <c r="T39" s="12">
        <f>IF(ISNUMBER(tblData[UK]),tblData[UK]/$T$9,"")</f>
        <v>1.3546056592414208</v>
      </c>
      <c r="U39">
        <v>74619</v>
      </c>
      <c r="V39" s="20">
        <f>IF(ISNUMBER(tblData[China]),tblData[China]/$V$9,"")</f>
        <v>518.43095517655092</v>
      </c>
      <c r="W39">
        <v>84</v>
      </c>
      <c r="X39" s="124">
        <f>IF(ISNUMBER(tblData[Singapore]),tblData[Singapore]/$X$9,"")</f>
        <v>143.58974358974359</v>
      </c>
      <c r="Y39">
        <v>62031</v>
      </c>
      <c r="Z39" s="20">
        <f>IF(AND(LEN(tblData[Generic])&gt;0,ISNUMBER(tblData[Generic])),tblData[Generic]/$Z$9,"")</f>
        <v>10603.589743589744</v>
      </c>
      <c r="AA39" s="25">
        <f>IF(tblData[[#This Row],[Date]]&lt;ItalyStart,"",tblData[[#This Row],[Date]]-ItalyStart)</f>
        <v>20</v>
      </c>
      <c r="AB39" s="25">
        <f>IF(tblData[[#This Row],[Date]]&lt;USStart,"",tblData[[#This Row],[Date]]-USStart)</f>
        <v>28</v>
      </c>
      <c r="AC39" s="25">
        <f>IF(tblData[[#This Row],[Date]]&lt;ChinaStart,"",tblData[[#This Row],[Date]]-ChinaStart)</f>
        <v>28</v>
      </c>
      <c r="AD39" s="25">
        <f>IF(tblData[[#This Row],[Date]]&lt;StartDt2Korea,"",tblData[[#This Row],[Date]]-StartDt2Korea)</f>
        <v>0</v>
      </c>
      <c r="AE39" s="25">
        <f>IF(tblData[[#This Row],[Date]]&lt;UKStart,"",tblData[[#This Row],[Date]]-UKStart)</f>
        <v>20</v>
      </c>
      <c r="AF39" s="25">
        <f>IF(tblData[[#This Row],[Date]]&lt;SingaporeStart,"",tblData[[#This Row],[Date]]-SingaporeStart)</f>
        <v>27</v>
      </c>
      <c r="AG39" s="25">
        <f>IF(tblData[[#This Row],[Date]]&lt;GenStart,"",tblData[[#This Row],[Date]]-GenStart)</f>
        <v>28</v>
      </c>
      <c r="AH39">
        <f>IF(tblData[Date]&gt;=StartDt2Au,tblData[Date]-StartDt2Au,"")</f>
        <v>25</v>
      </c>
      <c r="AI39" s="25">
        <f>IF(tblData[New South Wales]&gt;0,SUM(tblData[[#This Row],[Australian Capital Territory]:[Western Australia]]),"")</f>
        <v>15</v>
      </c>
      <c r="AJ39" s="12">
        <f>IF(ISNUMBER(tblData[Au]),tblData[Au]/$AE$9,"")</f>
        <v>5.9138937076170954</v>
      </c>
      <c r="AK39" s="19">
        <f>IF(ISNUMBER(tblData[[#This Row],[Day'# Aust]]),betaAu/(deltaAu+betaPodeltaAu*EXP(-betaAu*tblData[[#This Row],[Day'# Aust]])),"")</f>
        <v>0.54435839493965255</v>
      </c>
      <c r="AL39" s="66">
        <f>IF(ISNUMBER(tblData[Day'# Aust]),tblData[Au LogiP(t)]/$AJ$9,"")</f>
        <v>0.21461851243481017</v>
      </c>
      <c r="AM39" s="11">
        <f>IF(AND(tblData[Date]&gt;=StartDt2Au,ISNUMBER(tblData[NSW])),(tblData[[#This Row],[Au LogiP(t)]]-tblData[[#This Row],[Au]])^2,"")</f>
        <v>208.96557421395167</v>
      </c>
      <c r="AN39">
        <f>IF(tblData[Date]&gt;StartDt2NSW,tblData[Date]-StartDt2NSW,"")</f>
        <v>25</v>
      </c>
      <c r="AO39">
        <f t="shared" si="4"/>
        <v>4</v>
      </c>
      <c r="AP39" s="11">
        <f>IF(tblData[Date]&gt;StartDt2NSW,betaNSW/(deltaNSW+betaPodeltaNSW*EXP(-betaNSW*tblData[[#This Row],[Day '# NSW]])),"")</f>
        <v>0.76805514964406618</v>
      </c>
      <c r="AQ39" s="12">
        <f>IF(AND(ISNUMBER(tblData[NSW]),tblData[Date]&gt;StartDt2NSW),(tblData[[#This Row],[NSW LogiP(t)]]-tblData[[#This Row],[NSW]])^2,"")</f>
        <v>10.445467515742237</v>
      </c>
      <c r="AR39" s="12">
        <f>IF(AND(tblData[Date]&gt;StartDt2NSW,ISNUMBER(tblData[Day'# Aust])),tblData[NSW LogiP(t)]/$AQ$9,"")</f>
        <v>0.95056330401493339</v>
      </c>
      <c r="AS39" s="11">
        <f>IF(AND(tblData[Date]&gt;StartDt2Italy,ISNUMBER(tblData[Days'# Italy])),betaItaly/(deltaItaly+betaPodeltaItaly*EXP(-betaItaly*tblData[Days'# Italy])),"")</f>
        <v>76.243052927810439</v>
      </c>
      <c r="AT39" s="11">
        <f>IF(AND(tblData[Date]&gt;StartDt2Italy,ISNUMBER(tblData[Italy])),(tblData[[#This Row],[Italy LogiP(t)]]-tblData[[#This Row],[Italy]])^2,"")</f>
        <v>5364.5448021860411</v>
      </c>
      <c r="AU39" s="41">
        <f>IF(AND(tblData[Date]&gt;StartDt2Italy,ISNUMBER(tblData[Days'# Italy])),tblData[[#This Row],[Italy LogiP(t)]]/$AT$9,"")</f>
        <v>12.605282785452665</v>
      </c>
      <c r="AV39" s="20">
        <f>IF(ISNUMBER(tblData[[#This Row],[Days'# US]]),betaUS/(deltaUS+betaPodeltaUS*EXP(-betaUS*tblData[Days'# US])),"")</f>
        <v>5.354800177574</v>
      </c>
      <c r="AW39" s="11" t="str">
        <f>IF(AND(tblData[Date]&gt;=StartDt2US,ISNUMBER(tblData[US])),(tblData[[#This Row],[US LogiP(t)]]-tblData[US])^2,"")</f>
        <v/>
      </c>
      <c r="AX39" s="20">
        <f>IF(ISNUMBER(tblData[[#This Row],[Days'# US]]),tblData[[#This Row],[US LogiP(t)]]/$AW$9,"")</f>
        <v>0.16264729332909872</v>
      </c>
      <c r="AY39" s="20">
        <f>IF(tblData[Date]&gt;=StartDt2Korea,betaSKorea/(deltaSKorea+betaPodeltaSKorea*EXP(-betaSKorea*(tblData[Date]-StartDt2Korea))),"")</f>
        <v>219.42182753498074</v>
      </c>
      <c r="AZ39" s="20">
        <f>IF(AND(tblData[Date]&gt;=StartDt2Korea,ISNUMBER(tblData[SKorea])),(tblData[[#This Row],[SKorea LogiP(t)]]-tblData[[#This Row],[SKorea]])^2,"")</f>
        <v>35502.785091622027</v>
      </c>
      <c r="BA39" s="20">
        <f>IF(tblData[Date]&gt;=StartDt2Korea,tblData[[#This Row],[SKorea LogiP(t)]]/$AZ$9,"")</f>
        <v>42.689071504860067</v>
      </c>
      <c r="BB39" s="11">
        <f>IF(ISNUMBER(tblData[Days'# UK]),betaUK/(deltaUK+betaPodeltaUK*EXP(-betaUK*tblData[Days'# UK])),"")</f>
        <v>3.7180472815891479</v>
      </c>
      <c r="BC39" s="20">
        <f>IF(ISNUMBER(tblData[UK]),(tblData[[#This Row],[UK LogiP(t)]]-tblData[[#This Row],[UK]])^2,"")</f>
        <v>27.899024519527792</v>
      </c>
      <c r="BD39" s="20">
        <f>IF(ISNUMBER(tblData[Days'# UK]),tblData[[#This Row],[UK LogiP(t)]]/$BC$9,"")</f>
        <v>0.55960976544087115</v>
      </c>
      <c r="BE39" s="11">
        <f>IF(ISNUMBER(tblData[Days'# China]),betaChina/(deltaChina+betaPodeltaChina*EXP(-betaChina*tblData[Days'# China])),"")</f>
        <v>73462.537054498345</v>
      </c>
      <c r="BF39" s="11">
        <f>IF(ISNUMBER(tblData[China]),(tblData[[#This Row],[China LogiP(t)]]-tblData[[#This Row],[China]])^2,"")</f>
        <v>1337406.5443183633</v>
      </c>
      <c r="BG39" s="11">
        <f>tblData[[#This Row],[China LogiP(t)]]/$BF$9</f>
        <v>510.39618937343494</v>
      </c>
      <c r="BH39" s="11">
        <f>IF(ISNUMBER(tblData[Day'# Singapore]),betaSingapore/(deltaSingapore+betaPodeltaSingapore*EXP(-betaSingapore*tblData[Day'# Singapore])),"")</f>
        <v>41.782449310769962</v>
      </c>
      <c r="BI39" s="11">
        <f>IF(AND(ISNUMBER(tblData[Singapore]),tblData[Date]&gt;=StartDt2Singapore),(tblData[[#This Row],[Singapore LogiP(t)]]-tblData[[#This Row],[Singapore]])^2,"")</f>
        <v>1782.3215861977076</v>
      </c>
      <c r="BJ39" s="11">
        <f>IF(ISNUMBER(tblData[Day'# Singapore]),tblData[Singapore LogiP(t)]/$BI$9,"")</f>
        <v>71.422990274820449</v>
      </c>
      <c r="BK39" s="11">
        <f>IF(ISNUMBER(tblData[Day'# Generic]),betaGeneric/(deltaGeneric+betaPodeltaGeneric*EXP(-betaGeneric*tblData[Day'# Generic])),"")</f>
        <v>61691.842559835684</v>
      </c>
      <c r="BL39" s="11">
        <f>IF(AND(ISNUMBER(tblData[Generic]),tblData[Date]&gt;=StartDt2Generic),(tblData[Generic LogiP(t)]-tblData[[#This Row],[Generic]])^2,"")</f>
        <v>115027.76921881134</v>
      </c>
      <c r="BM39" s="11">
        <f>IF(ISNUMBER(tblData[Day'# Generic]),tblData[Generic LogiP(t)]/$BL$9,"")</f>
        <v>10545.614112792426</v>
      </c>
      <c r="BO39" s="11"/>
      <c r="BP39" s="11" t="str">
        <f>IF(ISNUMBER(tblData[[#This Row],[Tests]]),tblData[[#This Row],[Tests]]-BP38,"")</f>
        <v/>
      </c>
      <c r="BQ39" s="11" t="str">
        <f>IF(ISNUMBER(tblData[[#This Row],[NSW Under Investigation'']]),tblData[[#This Row],[NSW Under Investigation'']]-BO38,"")</f>
        <v/>
      </c>
      <c r="BR39" s="11"/>
      <c r="BS39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39" s="11" t="str">
        <f>IF(tblData[Tests]&gt;0,(tblData[[#This Row],[Tests]]-tblData[[#This Row],[NSW Test Logi]])^2,"")</f>
        <v/>
      </c>
      <c r="BU39" s="11" t="str">
        <f>IF(ISNUMBER(tblData[Tests]),tblData[Tests]/$BS$9/100,"")</f>
        <v/>
      </c>
      <c r="BV39" s="11" t="str">
        <f>IF(AND(tblData[[#This Row],[NSW Test Day Number]]&gt;0,ISNUMBER(tblData[[#This Row],[NSW Test Day Number]])),TestsLogestB*TestsLogestM^tblData[[#This Row],[NSW Test Day Number]],"")</f>
        <v/>
      </c>
      <c r="BW39" s="11" t="str">
        <f>IF(AND(tblData[[#This Row],[NSW Test Day Number]]&gt;0,ISNUMBER(tblData[Tests])),(tblData[Tests]-tblData[[#This Row],[NSW Test Per Capita]])^2,"")</f>
        <v/>
      </c>
      <c r="BX39" s="11"/>
      <c r="BY39" s="11"/>
      <c r="BZ39"/>
      <c r="CB39" s="25"/>
      <c r="CD39" s="25"/>
      <c r="CK39"/>
      <c r="CL39"/>
      <c r="CN39" s="25"/>
      <c r="CO39" s="25"/>
      <c r="CP39" s="25"/>
      <c r="DC39"/>
      <c r="DD39"/>
      <c r="DG39" s="25"/>
      <c r="DH39" s="25"/>
      <c r="DV39"/>
      <c r="DW39"/>
      <c r="DX39"/>
      <c r="DY39" t="s">
        <v>153</v>
      </c>
      <c r="EA39" s="26">
        <v>43855</v>
      </c>
      <c r="EC39">
        <v>1</v>
      </c>
      <c r="ED39" s="25">
        <v>0.19837162818971904</v>
      </c>
      <c r="EE39" s="24">
        <v>1.00000000000157E-8</v>
      </c>
      <c r="EF39" s="25">
        <v>6.9460009994493713E-3</v>
      </c>
      <c r="EG39" s="96">
        <v>19837162.818940759</v>
      </c>
      <c r="EH39" s="19">
        <v>3.6531506142049168</v>
      </c>
      <c r="EI39" s="12">
        <v>28.559113097735587</v>
      </c>
      <c r="EJ39" s="98">
        <v>1.00000000000157E-5</v>
      </c>
      <c r="EK39" s="26">
        <v>43910</v>
      </c>
      <c r="EL39" s="25" t="s">
        <v>991</v>
      </c>
      <c r="EM39" s="25"/>
      <c r="EN39" s="98">
        <v>382</v>
      </c>
      <c r="EO39" s="25" t="s">
        <v>992</v>
      </c>
      <c r="EP39" s="26">
        <v>43910</v>
      </c>
      <c r="EQ39" s="25">
        <v>56</v>
      </c>
      <c r="ER39" s="25" t="s">
        <v>993</v>
      </c>
      <c r="ET39" t="s">
        <v>994</v>
      </c>
      <c r="EV39" t="s">
        <v>995</v>
      </c>
      <c r="EW39">
        <v>472.77227722772273</v>
      </c>
      <c r="EX39" s="82"/>
      <c r="EY39" s="25"/>
      <c r="EZ39" s="82"/>
      <c r="FA39"/>
      <c r="FB39" t="s">
        <v>996</v>
      </c>
      <c r="FC39" s="25"/>
    </row>
    <row r="40" spans="2:159" x14ac:dyDescent="0.25">
      <c r="B40" s="1">
        <v>43881</v>
      </c>
      <c r="C40">
        <v>0</v>
      </c>
      <c r="D40" s="25">
        <v>0</v>
      </c>
      <c r="E40">
        <v>4</v>
      </c>
      <c r="F40">
        <v>0</v>
      </c>
      <c r="G40">
        <v>5</v>
      </c>
      <c r="H40">
        <v>2</v>
      </c>
      <c r="I40">
        <v>0</v>
      </c>
      <c r="J40">
        <v>4</v>
      </c>
      <c r="K40">
        <v>0</v>
      </c>
      <c r="L40" s="12">
        <f>IF(ISNUMBER(tblData[[#This Row],[NSW]]),tblData[[#This Row],[New South Wales]]/$L$9,"")</f>
        <v>4.9504950495049505</v>
      </c>
      <c r="M40" s="25">
        <v>3</v>
      </c>
      <c r="N40" s="46">
        <f>IF(ISNUMBER(tblData[Italy]),tblData[Italy]/$N$9,"")</f>
        <v>0.49599074150615857</v>
      </c>
      <c r="O40">
        <v>13</v>
      </c>
      <c r="P40" s="124">
        <f>IF(ISNUMBER(tblData[US]),tblData[US]/$P$9,"")</f>
        <v>0.39486343900067283</v>
      </c>
      <c r="Q40">
        <v>104</v>
      </c>
      <c r="R40" s="19">
        <f>IF(ISNUMBER(tblData[SKorea]),tblData[SKorea]/$R$9,"")</f>
        <v>20.233463035019458</v>
      </c>
      <c r="S40">
        <v>9</v>
      </c>
      <c r="T40" s="12">
        <f>IF(ISNUMBER(tblData[UK]),tblData[UK]/$T$9,"")</f>
        <v>1.3546056592414208</v>
      </c>
      <c r="U40">
        <v>75077</v>
      </c>
      <c r="V40" s="20">
        <f>IF(ISNUMBER(tblData[China]),tblData[China]/$V$9,"")</f>
        <v>521.61300502271422</v>
      </c>
      <c r="W40">
        <v>84</v>
      </c>
      <c r="X40" s="124">
        <f>IF(ISNUMBER(tblData[Singapore]),tblData[Singapore]/$X$9,"")</f>
        <v>143.58974358974359</v>
      </c>
      <c r="Y40">
        <v>62442</v>
      </c>
      <c r="Z40" s="20">
        <f>IF(AND(LEN(tblData[Generic])&gt;0,ISNUMBER(tblData[Generic])),tblData[Generic]/$Z$9,"")</f>
        <v>10673.846153846154</v>
      </c>
      <c r="AA40" s="25">
        <f>IF(tblData[[#This Row],[Date]]&lt;ItalyStart,"",tblData[[#This Row],[Date]]-ItalyStart)</f>
        <v>21</v>
      </c>
      <c r="AB40" s="25">
        <f>IF(tblData[[#This Row],[Date]]&lt;USStart,"",tblData[[#This Row],[Date]]-USStart)</f>
        <v>29</v>
      </c>
      <c r="AC40" s="25">
        <f>IF(tblData[[#This Row],[Date]]&lt;ChinaStart,"",tblData[[#This Row],[Date]]-ChinaStart)</f>
        <v>29</v>
      </c>
      <c r="AD40" s="25">
        <f>IF(tblData[[#This Row],[Date]]&lt;StartDt2Korea,"",tblData[[#This Row],[Date]]-StartDt2Korea)</f>
        <v>1</v>
      </c>
      <c r="AE40" s="25">
        <f>IF(tblData[[#This Row],[Date]]&lt;UKStart,"",tblData[[#This Row],[Date]]-UKStart)</f>
        <v>21</v>
      </c>
      <c r="AF40" s="25">
        <f>IF(tblData[[#This Row],[Date]]&lt;SingaporeStart,"",tblData[[#This Row],[Date]]-SingaporeStart)</f>
        <v>28</v>
      </c>
      <c r="AG40" s="25">
        <f>IF(tblData[[#This Row],[Date]]&lt;GenStart,"",tblData[[#This Row],[Date]]-GenStart)</f>
        <v>29</v>
      </c>
      <c r="AH40">
        <f>IF(tblData[Date]&gt;=StartDt2Au,tblData[Date]-StartDt2Au,"")</f>
        <v>26</v>
      </c>
      <c r="AI40" s="25">
        <f>IF(tblData[New South Wales]&gt;0,SUM(tblData[[#This Row],[Australian Capital Territory]:[Western Australia]]),"")</f>
        <v>15</v>
      </c>
      <c r="AJ40" s="12">
        <f>IF(ISNUMBER(tblData[Au]),tblData[Au]/$AE$9,"")</f>
        <v>5.9138937076170954</v>
      </c>
      <c r="AK40" s="19">
        <f>IF(ISNUMBER(tblData[[#This Row],[Day'# Aust]]),betaAu/(deltaAu+betaPodeltaAu*EXP(-betaAu*tblData[[#This Row],[Day'# Aust]])),"")</f>
        <v>0.70034500396427968</v>
      </c>
      <c r="AL40" s="66">
        <f>IF(ISNUMBER(tblData[Day'# Aust]),tblData[Au LogiP(t)]/$AJ$9,"")</f>
        <v>0.2761177274736949</v>
      </c>
      <c r="AM40" s="11">
        <f>IF(AND(tblData[Date]&gt;=StartDt2Au,ISNUMBER(tblData[NSW])),(tblData[[#This Row],[Au LogiP(t)]]-tblData[[#This Row],[Au]])^2,"")</f>
        <v>204.48013300564932</v>
      </c>
      <c r="AN40">
        <f>IF(tblData[Date]&gt;StartDt2NSW,tblData[Date]-StartDt2NSW,"")</f>
        <v>26</v>
      </c>
      <c r="AO40">
        <f t="shared" si="4"/>
        <v>4</v>
      </c>
      <c r="AP40" s="11">
        <f>IF(tblData[Date]&gt;StartDt2NSW,betaNSW/(deltaNSW+betaPodeltaNSW*EXP(-betaNSW*tblData[[#This Row],[Day '# NSW]])),"")</f>
        <v>0.94614746792899562</v>
      </c>
      <c r="AQ40" s="12">
        <f>IF(AND(ISNUMBER(tblData[NSW]),tblData[Date]&gt;StartDt2NSW),(tblData[[#This Row],[NSW LogiP(t)]]-tblData[[#This Row],[NSW]])^2,"")</f>
        <v>9.3260152876364835</v>
      </c>
      <c r="AR40" s="12">
        <f>IF(AND(tblData[Date]&gt;StartDt2NSW,ISNUMBER(tblData[Day'# Aust])),tblData[NSW LogiP(t)]/$AQ$9,"")</f>
        <v>1.1709745890210341</v>
      </c>
      <c r="AS40" s="11">
        <f>IF(AND(tblData[Date]&gt;StartDt2Italy,ISNUMBER(tblData[Days'# Italy])),betaItaly/(deltaItaly+betaPodeltaItaly*EXP(-betaItaly*tblData[Days'# Italy])),"")</f>
        <v>98.608720553905485</v>
      </c>
      <c r="AT40" s="11">
        <f>IF(AND(tblData[Date]&gt;StartDt2Italy,ISNUMBER(tblData[Italy])),(tblData[[#This Row],[Italy LogiP(t)]]-tblData[[#This Row],[Italy]])^2,"")</f>
        <v>9141.0274459547891</v>
      </c>
      <c r="AU40" s="41">
        <f>IF(AND(tblData[Date]&gt;StartDt2Italy,ISNUMBER(tblData[Days'# Italy])),tblData[[#This Row],[Italy LogiP(t)]]/$AT$9,"")</f>
        <v>16.303004142168387</v>
      </c>
      <c r="AV40" s="20">
        <f>IF(ISNUMBER(tblData[[#This Row],[Days'# US]]),betaUS/(deltaUS+betaPodeltaUS*EXP(-betaUS*tblData[Days'# US])),"")</f>
        <v>7.0662091105820943</v>
      </c>
      <c r="AW40" s="11" t="str">
        <f>IF(AND(tblData[Date]&gt;=StartDt2US,ISNUMBER(tblData[US])),(tblData[[#This Row],[US LogiP(t)]]-tblData[US])^2,"")</f>
        <v/>
      </c>
      <c r="AX40" s="20">
        <f>IF(ISNUMBER(tblData[[#This Row],[Days'# US]]),tblData[[#This Row],[US LogiP(t)]]/$AW$9,"")</f>
        <v>0.21462981770017936</v>
      </c>
      <c r="AY40" s="20">
        <f>IF(tblData[Date]&gt;=StartDt2Korea,betaSKorea/(deltaSKorea+betaPodeltaSKorea*EXP(-betaSKorea*(tblData[Date]-StartDt2Korea))),"")</f>
        <v>293.62617589980852</v>
      </c>
      <c r="AZ40" s="20">
        <f>IF(AND(tblData[Date]&gt;=StartDt2Korea,ISNUMBER(tblData[SKorea])),(tblData[[#This Row],[SKorea LogiP(t)]]-tblData[[#This Row],[SKorea]])^2,"")</f>
        <v>35958.086586385121</v>
      </c>
      <c r="BA40" s="20">
        <f>IF(tblData[Date]&gt;=StartDt2Korea,tblData[[#This Row],[SKorea LogiP(t)]]/$AZ$9,"")</f>
        <v>57.125715155604773</v>
      </c>
      <c r="BB40" s="11">
        <f>IF(ISNUMBER(tblData[Days'# UK]),betaUK/(deltaUK+betaPodeltaUK*EXP(-betaUK*tblData[Days'# UK])),"")</f>
        <v>4.7138992076916066</v>
      </c>
      <c r="BC40" s="20">
        <f>IF(ISNUMBER(tblData[UK]),(tblData[[#This Row],[UK LogiP(t)]]-tblData[[#This Row],[UK]])^2,"")</f>
        <v>18.370660001826636</v>
      </c>
      <c r="BD40" s="20">
        <f>IF(ISNUMBER(tblData[Days'# UK]),tblData[[#This Row],[UK LogiP(t)]]/$BC$9,"")</f>
        <v>0.70949717153696668</v>
      </c>
      <c r="BE40" s="11">
        <f>IF(ISNUMBER(tblData[Days'# China]),betaChina/(deltaChina+betaPodeltaChina*EXP(-betaChina*tblData[Days'# China])),"")</f>
        <v>74852.708285559755</v>
      </c>
      <c r="BF40" s="11">
        <f>IF(ISNUMBER(tblData[China]),(tblData[[#This Row],[China LogiP(t)]]-tblData[[#This Row],[China]])^2,"")</f>
        <v>50306.77316654459</v>
      </c>
      <c r="BG40" s="11">
        <f>tblData[[#This Row],[China LogiP(t)]]/$BF$9</f>
        <v>520.05469188858694</v>
      </c>
      <c r="BH40" s="11">
        <f>IF(ISNUMBER(tblData[Day'# Singapore]),betaSingapore/(deltaSingapore+betaPodeltaSingapore*EXP(-betaSingapore*tblData[Day'# Singapore])),"")</f>
        <v>45.013112205382569</v>
      </c>
      <c r="BI40" s="11">
        <f>IF(AND(ISNUMBER(tblData[Singapore]),tblData[Date]&gt;=StartDt2Singapore),(tblData[[#This Row],[Singapore LogiP(t)]]-tblData[[#This Row],[Singapore]])^2,"")</f>
        <v>1519.9774199100896</v>
      </c>
      <c r="BJ40" s="11">
        <f>IF(ISNUMBER(tblData[Day'# Singapore]),tblData[Singapore LogiP(t)]/$BI$9,"")</f>
        <v>76.945490949371916</v>
      </c>
      <c r="BK40" s="11">
        <f>IF(ISNUMBER(tblData[Day'# Generic]),betaGeneric/(deltaGeneric+betaPodeltaGeneric*EXP(-betaGeneric*tblData[Day'# Generic])),"")</f>
        <v>62724.571071185361</v>
      </c>
      <c r="BL40" s="11">
        <f>IF(AND(ISNUMBER(tblData[Generic]),tblData[Date]&gt;=StartDt2Generic),(tblData[Generic LogiP(t)]-tblData[[#This Row],[Generic]])^2,"")</f>
        <v>79846.410270842229</v>
      </c>
      <c r="BM40" s="11">
        <f>IF(ISNUMBER(tblData[Day'# Generic]),tblData[Generic LogiP(t)]/$BL$9,"")</f>
        <v>10722.148901057328</v>
      </c>
      <c r="BO40" s="11"/>
      <c r="BP40" s="11" t="str">
        <f>IF(ISNUMBER(tblData[[#This Row],[Tests]]),tblData[[#This Row],[Tests]]-BP39,"")</f>
        <v/>
      </c>
      <c r="BQ40" s="11" t="str">
        <f>IF(ISNUMBER(tblData[[#This Row],[NSW Under Investigation'']]),tblData[[#This Row],[NSW Under Investigation'']]-BO39,"")</f>
        <v/>
      </c>
      <c r="BR40" s="11"/>
      <c r="BS40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40" s="11" t="str">
        <f>IF(tblData[Tests]&gt;0,(tblData[[#This Row],[Tests]]-tblData[[#This Row],[NSW Test Logi]])^2,"")</f>
        <v/>
      </c>
      <c r="BU40" s="11" t="str">
        <f>IF(ISNUMBER(tblData[Tests]),tblData[Tests]/$BS$9/100,"")</f>
        <v/>
      </c>
      <c r="BV40" s="11" t="str">
        <f>IF(AND(tblData[[#This Row],[NSW Test Day Number]]&gt;0,ISNUMBER(tblData[[#This Row],[NSW Test Day Number]])),TestsLogestB*TestsLogestM^tblData[[#This Row],[NSW Test Day Number]],"")</f>
        <v/>
      </c>
      <c r="BW40" s="11" t="str">
        <f>IF(AND(tblData[[#This Row],[NSW Test Day Number]]&gt;0,ISNUMBER(tblData[Tests])),(tblData[Tests]-tblData[[#This Row],[NSW Test Per Capita]])^2,"")</f>
        <v/>
      </c>
      <c r="BX40" s="11"/>
      <c r="BY40" s="11"/>
      <c r="BZ40"/>
      <c r="CB40" s="25"/>
      <c r="CD40" s="25"/>
      <c r="CK40"/>
      <c r="CL40"/>
      <c r="CN40" s="25"/>
      <c r="CO40" s="25"/>
      <c r="CP40" s="25"/>
      <c r="DC40"/>
      <c r="DD40"/>
      <c r="DG40" s="25"/>
      <c r="DH40" s="25"/>
      <c r="DV40"/>
      <c r="DW40"/>
      <c r="DX40"/>
      <c r="DY40" t="s">
        <v>153</v>
      </c>
      <c r="DZ40" s="76">
        <v>43911.866284722222</v>
      </c>
      <c r="EA40" s="26">
        <v>43855</v>
      </c>
      <c r="EB40" s="26">
        <v>43855</v>
      </c>
      <c r="EC40">
        <v>1</v>
      </c>
      <c r="ED40" s="25">
        <v>0.20930602113130264</v>
      </c>
      <c r="EE40" s="24">
        <v>7.6817707886235747E-5</v>
      </c>
      <c r="EF40" s="25">
        <v>4.3039510033128963E-3</v>
      </c>
      <c r="EG40" s="96">
        <v>2724.7105763852951</v>
      </c>
      <c r="EH40" s="19">
        <v>4.2004617329616165</v>
      </c>
      <c r="EI40" s="12">
        <v>48.631057916445158</v>
      </c>
      <c r="EJ40" s="98">
        <v>7.681770788623575E-2</v>
      </c>
      <c r="EK40" s="26">
        <v>43911</v>
      </c>
      <c r="EL40" s="25" t="s">
        <v>1060</v>
      </c>
      <c r="EM40" s="25"/>
      <c r="EN40" s="98">
        <v>436</v>
      </c>
      <c r="EO40" s="25" t="s">
        <v>1061</v>
      </c>
      <c r="EP40" s="26">
        <v>43911</v>
      </c>
      <c r="EQ40" s="25">
        <v>57</v>
      </c>
      <c r="ER40" s="25" t="s">
        <v>1062</v>
      </c>
      <c r="ET40" t="s">
        <v>1063</v>
      </c>
      <c r="EU40" s="25"/>
      <c r="EV40" s="25" t="s">
        <v>1064</v>
      </c>
      <c r="EW40" s="25">
        <v>539.60396039603961</v>
      </c>
      <c r="EX40" s="82"/>
      <c r="EY40" s="25"/>
      <c r="EZ40" s="82"/>
      <c r="FB40" t="s">
        <v>1049</v>
      </c>
      <c r="FC40" s="25"/>
    </row>
    <row r="41" spans="2:159" x14ac:dyDescent="0.25">
      <c r="B41" s="1">
        <v>43882</v>
      </c>
      <c r="C41">
        <v>4</v>
      </c>
      <c r="D41" s="25">
        <v>0</v>
      </c>
      <c r="E41">
        <v>4</v>
      </c>
      <c r="F41">
        <v>0</v>
      </c>
      <c r="G41">
        <v>5</v>
      </c>
      <c r="H41">
        <v>2</v>
      </c>
      <c r="I41">
        <v>0</v>
      </c>
      <c r="J41">
        <v>4</v>
      </c>
      <c r="K41">
        <v>0</v>
      </c>
      <c r="L41" s="12">
        <f>IF(ISNUMBER(tblData[[#This Row],[NSW]]),tblData[[#This Row],[New South Wales]]/$L$9,"")</f>
        <v>4.9504950495049505</v>
      </c>
      <c r="M41" s="25">
        <v>20</v>
      </c>
      <c r="N41" s="46">
        <f>IF(ISNUMBER(tblData[Italy]),tblData[Italy]/$N$9,"")</f>
        <v>3.3066049433743903</v>
      </c>
      <c r="O41">
        <v>15</v>
      </c>
      <c r="P41" s="124">
        <f>IF(ISNUMBER(tblData[US]),tblData[US]/$P$9,"")</f>
        <v>0.45561166038539175</v>
      </c>
      <c r="Q41">
        <v>204</v>
      </c>
      <c r="R41" s="19">
        <f>IF(ISNUMBER(tblData[SKorea]),tblData[SKorea]/$R$9,"")</f>
        <v>39.688715953307394</v>
      </c>
      <c r="S41">
        <v>9</v>
      </c>
      <c r="T41" s="12">
        <f>IF(ISNUMBER(tblData[UK]),tblData[UK]/$T$9,"")</f>
        <v>1.3546056592414208</v>
      </c>
      <c r="U41">
        <v>75550</v>
      </c>
      <c r="V41" s="20">
        <f>IF(ISNUMBER(tblData[China]),tblData[China]/$V$9,"")</f>
        <v>524.89927047519291</v>
      </c>
      <c r="W41">
        <v>85</v>
      </c>
      <c r="X41" s="124">
        <f>IF(ISNUMBER(tblData[Singapore]),tblData[Singapore]/$X$9,"")</f>
        <v>145.29914529914529</v>
      </c>
      <c r="Y41">
        <v>62662</v>
      </c>
      <c r="Z41" s="20">
        <f>IF(AND(LEN(tblData[Generic])&gt;0,ISNUMBER(tblData[Generic])),tblData[Generic]/$Z$9,"")</f>
        <v>10711.452991452992</v>
      </c>
      <c r="AA41" s="25">
        <f>IF(tblData[[#This Row],[Date]]&lt;ItalyStart,"",tblData[[#This Row],[Date]]-ItalyStart)</f>
        <v>22</v>
      </c>
      <c r="AB41" s="25">
        <f>IF(tblData[[#This Row],[Date]]&lt;USStart,"",tblData[[#This Row],[Date]]-USStart)</f>
        <v>30</v>
      </c>
      <c r="AC41" s="25">
        <f>IF(tblData[[#This Row],[Date]]&lt;ChinaStart,"",tblData[[#This Row],[Date]]-ChinaStart)</f>
        <v>30</v>
      </c>
      <c r="AD41" s="25">
        <f>IF(tblData[[#This Row],[Date]]&lt;StartDt2Korea,"",tblData[[#This Row],[Date]]-StartDt2Korea)</f>
        <v>2</v>
      </c>
      <c r="AE41" s="25">
        <f>IF(tblData[[#This Row],[Date]]&lt;UKStart,"",tblData[[#This Row],[Date]]-UKStart)</f>
        <v>22</v>
      </c>
      <c r="AF41" s="25">
        <f>IF(tblData[[#This Row],[Date]]&lt;SingaporeStart,"",tblData[[#This Row],[Date]]-SingaporeStart)</f>
        <v>29</v>
      </c>
      <c r="AG41" s="25">
        <f>IF(tblData[[#This Row],[Date]]&lt;GenStart,"",tblData[[#This Row],[Date]]-GenStart)</f>
        <v>30</v>
      </c>
      <c r="AH41">
        <f>IF(tblData[Date]&gt;=StartDt2Au,tblData[Date]-StartDt2Au,"")</f>
        <v>27</v>
      </c>
      <c r="AI41" s="25">
        <f>IF(tblData[New South Wales]&gt;0,SUM(tblData[[#This Row],[Australian Capital Territory]:[Western Australia]]),"")</f>
        <v>15</v>
      </c>
      <c r="AJ41" s="12">
        <f>IF(ISNUMBER(tblData[Au]),tblData[Au]/$AE$9,"")</f>
        <v>5.9138937076170954</v>
      </c>
      <c r="AK41" s="19">
        <f>IF(ISNUMBER(tblData[[#This Row],[Day'# Aust]]),betaAu/(deltaAu+betaPodeltaAu*EXP(-betaAu*tblData[[#This Row],[Day'# Aust]])),"")</f>
        <v>0.90102405541265751</v>
      </c>
      <c r="AL41" s="66">
        <f>IF(ISNUMBER(tblData[Day'# Aust]),tblData[Au LogiP(t)]/$AJ$9,"")</f>
        <v>0.35523736611443679</v>
      </c>
      <c r="AM41" s="11">
        <f>IF(AND(tblData[Date]&gt;=StartDt2Au,ISNUMBER(tblData[NSW])),(tblData[[#This Row],[Au LogiP(t)]]-tblData[[#This Row],[Au]])^2,"")</f>
        <v>198.78112268605256</v>
      </c>
      <c r="AN41">
        <f>IF(tblData[Date]&gt;StartDt2NSW,tblData[Date]-StartDt2NSW,"")</f>
        <v>27</v>
      </c>
      <c r="AO41">
        <f t="shared" si="4"/>
        <v>4</v>
      </c>
      <c r="AP41" s="11">
        <f>IF(tblData[Date]&gt;StartDt2NSW,betaNSW/(deltaNSW+betaPodeltaNSW*EXP(-betaNSW*tblData[[#This Row],[Day '# NSW]])),"")</f>
        <v>1.1655298195427368</v>
      </c>
      <c r="AQ41" s="12">
        <f>IF(AND(ISNUMBER(tblData[NSW]),tblData[Date]&gt;StartDt2NSW),(tblData[[#This Row],[NSW LogiP(t)]]-tblData[[#This Row],[NSW]])^2,"")</f>
        <v>8.0342212039014296</v>
      </c>
      <c r="AR41" s="12">
        <f>IF(AND(tblData[Date]&gt;StartDt2NSW,ISNUMBER(tblData[Day'# Aust])),tblData[NSW LogiP(t)]/$AQ$9,"")</f>
        <v>1.4424874004241792</v>
      </c>
      <c r="AS41" s="11">
        <f>IF(AND(tblData[Date]&gt;StartDt2Italy,ISNUMBER(tblData[Days'# Italy])),betaItaly/(deltaItaly+betaPodeltaItaly*EXP(-betaItaly*tblData[Days'# Italy])),"")</f>
        <v>127.52427728084434</v>
      </c>
      <c r="AT41" s="11">
        <f>IF(AND(tblData[Date]&gt;StartDt2Italy,ISNUMBER(tblData[Italy])),(tblData[[#This Row],[Italy LogiP(t)]]-tblData[[#This Row],[Italy]])^2,"")</f>
        <v>11561.4702047679</v>
      </c>
      <c r="AU41" s="41">
        <f>IF(AND(tblData[Date]&gt;StartDt2Italy,ISNUMBER(tblData[Days'# Italy])),tblData[[#This Row],[Italy LogiP(t)]]/$AT$9,"")</f>
        <v>21.083620282854319</v>
      </c>
      <c r="AV41" s="20">
        <f>IF(ISNUMBER(tblData[[#This Row],[Days'# US]]),betaUS/(deltaUS+betaPodeltaUS*EXP(-betaUS*tblData[Days'# US])),"")</f>
        <v>9.3245618460835544</v>
      </c>
      <c r="AW41" s="11" t="str">
        <f>IF(AND(tblData[Date]&gt;=StartDt2US,ISNUMBER(tblData[US])),(tblData[[#This Row],[US LogiP(t)]]-tblData[US])^2,"")</f>
        <v/>
      </c>
      <c r="AX41" s="20">
        <f>IF(ISNUMBER(tblData[[#This Row],[Days'# US]]),tblData[[#This Row],[US LogiP(t)]]/$AW$9,"")</f>
        <v>0.28322527367069344</v>
      </c>
      <c r="AY41" s="20">
        <f>IF(tblData[Date]&gt;=StartDt2Korea,betaSKorea/(deltaSKorea+betaPodeltaSKorea*EXP(-betaSKorea*(tblData[Date]-StartDt2Korea))),"")</f>
        <v>391.75304833582368</v>
      </c>
      <c r="AZ41" s="20">
        <f>IF(AND(tblData[Date]&gt;=StartDt2Korea,ISNUMBER(tblData[SKorea])),(tblData[[#This Row],[SKorea LogiP(t)]]-tblData[[#This Row],[SKorea]])^2,"")</f>
        <v>35251.207159394144</v>
      </c>
      <c r="BA41" s="20">
        <f>IF(tblData[Date]&gt;=StartDt2Korea,tblData[[#This Row],[SKorea LogiP(t)]]/$AZ$9,"")</f>
        <v>76.216546368837299</v>
      </c>
      <c r="BB41" s="11">
        <f>IF(ISNUMBER(tblData[Days'# UK]),betaUK/(deltaUK+betaPodeltaUK*EXP(-betaUK*tblData[Days'# UK])),"")</f>
        <v>5.9764104522019599</v>
      </c>
      <c r="BC41" s="20">
        <f>IF(ISNUMBER(tblData[UK]),(tblData[[#This Row],[UK LogiP(t)]]-tblData[[#This Row],[UK]])^2,"")</f>
        <v>9.1420937535535565</v>
      </c>
      <c r="BD41" s="20">
        <f>IF(ISNUMBER(tblData[Days'# UK]),tblData[[#This Row],[UK LogiP(t)]]/$BC$9,"")</f>
        <v>0.89951993561137267</v>
      </c>
      <c r="BE41" s="11">
        <f>IF(ISNUMBER(tblData[Days'# China]),betaChina/(deltaChina+betaPodeltaChina*EXP(-betaChina*tblData[Days'# China])),"")</f>
        <v>76004.479135681715</v>
      </c>
      <c r="BF41" s="11">
        <f>IF(ISNUMBER(tblData[China]),(tblData[[#This Row],[China LogiP(t)]]-tblData[[#This Row],[China]])^2,"")</f>
        <v>206551.28476999869</v>
      </c>
      <c r="BG41" s="11">
        <f>tblData[[#This Row],[China LogiP(t)]]/$BF$9</f>
        <v>528.05685838737736</v>
      </c>
      <c r="BH41" s="11">
        <f>IF(ISNUMBER(tblData[Day'# Singapore]),betaSingapore/(deltaSingapore+betaPodeltaSingapore*EXP(-betaSingapore*tblData[Day'# Singapore])),"")</f>
        <v>48.493573350313206</v>
      </c>
      <c r="BI41" s="11">
        <f>IF(AND(ISNUMBER(tblData[Singapore]),tblData[Date]&gt;=StartDt2Singapore),(tblData[[#This Row],[Singapore LogiP(t)]]-tblData[[#This Row],[Singapore]])^2,"")</f>
        <v>1332.7191867289621</v>
      </c>
      <c r="BJ41" s="11">
        <f>IF(ISNUMBER(tblData[Day'# Singapore]),tblData[Singapore LogiP(t)]/$BI$9,"")</f>
        <v>82.894997180022585</v>
      </c>
      <c r="BK41" s="11">
        <f>IF(ISNUMBER(tblData[Day'# Generic]),betaGeneric/(deltaGeneric+betaPodeltaGeneric*EXP(-betaGeneric*tblData[Day'# Generic])),"")</f>
        <v>63578.913443789686</v>
      </c>
      <c r="BL41" s="11">
        <f>IF(AND(ISNUMBER(tblData[Generic]),tblData[Date]&gt;=StartDt2Generic),(tblData[Generic LogiP(t)]-tblData[[#This Row],[Generic]])^2,"")</f>
        <v>840730.26340226247</v>
      </c>
      <c r="BM41" s="11">
        <f>IF(ISNUMBER(tblData[Day'# Generic]),tblData[Generic LogiP(t)]/$BL$9,"")</f>
        <v>10868.190332271743</v>
      </c>
      <c r="BO41" s="11"/>
      <c r="BP41" s="11" t="str">
        <f>IF(ISNUMBER(tblData[[#This Row],[Tests]]),tblData[[#This Row],[Tests]]-BP40,"")</f>
        <v/>
      </c>
      <c r="BQ41" s="11" t="str">
        <f>IF(ISNUMBER(tblData[[#This Row],[NSW Under Investigation'']]),tblData[[#This Row],[NSW Under Investigation'']]-BO40,"")</f>
        <v/>
      </c>
      <c r="BR41" s="11"/>
      <c r="BS41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41" s="11" t="str">
        <f>IF(tblData[Tests]&gt;0,(tblData[[#This Row],[Tests]]-tblData[[#This Row],[NSW Test Logi]])^2,"")</f>
        <v/>
      </c>
      <c r="BU41" s="11" t="str">
        <f>IF(ISNUMBER(tblData[Tests]),tblData[Tests]/$BS$9/100,"")</f>
        <v/>
      </c>
      <c r="BV41" s="11" t="str">
        <f>IF(AND(tblData[[#This Row],[NSW Test Day Number]]&gt;0,ISNUMBER(tblData[[#This Row],[NSW Test Day Number]])),TestsLogestB*TestsLogestM^tblData[[#This Row],[NSW Test Day Number]],"")</f>
        <v/>
      </c>
      <c r="BW41" s="11" t="str">
        <f>IF(AND(tblData[[#This Row],[NSW Test Day Number]]&gt;0,ISNUMBER(tblData[Tests])),(tblData[Tests]-tblData[[#This Row],[NSW Test Per Capita]])^2,"")</f>
        <v/>
      </c>
      <c r="BX41" s="11"/>
      <c r="BY41" s="11"/>
      <c r="BZ41"/>
      <c r="CB41" s="25"/>
      <c r="CD41" s="25"/>
      <c r="CK41"/>
      <c r="CL41"/>
      <c r="CN41" s="25"/>
      <c r="CO41" s="25"/>
      <c r="CP41" s="25"/>
      <c r="DC41"/>
      <c r="DD41"/>
      <c r="DG41" s="25"/>
      <c r="DH41" s="25"/>
      <c r="DV41"/>
      <c r="DW41"/>
      <c r="DX41"/>
      <c r="DY41" s="25" t="s">
        <v>153</v>
      </c>
      <c r="DZ41" s="76">
        <v>43912.588692129626</v>
      </c>
      <c r="EA41" s="26">
        <v>43855</v>
      </c>
      <c r="EB41" s="26">
        <v>43855</v>
      </c>
      <c r="EC41">
        <v>1</v>
      </c>
      <c r="ED41" s="25">
        <v>0.20690766856988288</v>
      </c>
      <c r="EE41" s="24">
        <v>6.344938640416391E-5</v>
      </c>
      <c r="EF41" s="25">
        <v>4.7957380309846401E-3</v>
      </c>
      <c r="EG41" s="96">
        <v>3260.9876989496688</v>
      </c>
      <c r="EH41" s="25">
        <v>4.183094299453777</v>
      </c>
      <c r="EI41" s="25">
        <v>43.144008898410604</v>
      </c>
      <c r="EJ41" s="98">
        <v>6.3449386404163907E-2</v>
      </c>
      <c r="EK41" s="26">
        <v>43912</v>
      </c>
      <c r="EL41" s="25" t="s">
        <v>1116</v>
      </c>
      <c r="EM41" s="25"/>
      <c r="EN41" s="98">
        <v>533</v>
      </c>
      <c r="EO41" s="25" t="s">
        <v>1117</v>
      </c>
      <c r="EP41" s="26">
        <v>43912</v>
      </c>
      <c r="EQ41" s="25">
        <v>58</v>
      </c>
      <c r="ER41" s="25" t="s">
        <v>1118</v>
      </c>
      <c r="ET41" t="s">
        <v>1119</v>
      </c>
      <c r="EV41" s="25" t="s">
        <v>1120</v>
      </c>
      <c r="EW41">
        <v>659.65346534653463</v>
      </c>
      <c r="EX41" s="82"/>
      <c r="EZ41" s="82"/>
      <c r="FA41"/>
      <c r="FB41" t="s">
        <v>1115</v>
      </c>
      <c r="FC41" s="25"/>
    </row>
    <row r="42" spans="2:159" x14ac:dyDescent="0.25">
      <c r="B42" s="1">
        <v>43883</v>
      </c>
      <c r="C42">
        <v>7</v>
      </c>
      <c r="D42" s="25">
        <v>0</v>
      </c>
      <c r="E42">
        <v>4</v>
      </c>
      <c r="F42">
        <v>0</v>
      </c>
      <c r="G42">
        <v>5</v>
      </c>
      <c r="H42">
        <v>2</v>
      </c>
      <c r="I42">
        <v>0</v>
      </c>
      <c r="J42">
        <v>4</v>
      </c>
      <c r="K42">
        <v>0</v>
      </c>
      <c r="L42" s="12">
        <f>IF(ISNUMBER(tblData[[#This Row],[NSW]]),tblData[[#This Row],[New South Wales]]/$L$9,"")</f>
        <v>4.9504950495049505</v>
      </c>
      <c r="M42" s="25">
        <v>62</v>
      </c>
      <c r="N42" s="124">
        <f>IF(ISNUMBER(tblData[Italy]),tblData[Italy]/$N$9,"")</f>
        <v>10.250475324460611</v>
      </c>
      <c r="O42">
        <v>15</v>
      </c>
      <c r="P42" s="124">
        <f>IF(ISNUMBER(tblData[US]),tblData[US]/$P$9,"")</f>
        <v>0.45561166038539175</v>
      </c>
      <c r="Q42">
        <v>433</v>
      </c>
      <c r="R42" s="19">
        <f>IF(ISNUMBER(tblData[SKorea]),tblData[SKorea]/$R$9,"")</f>
        <v>84.241245136186777</v>
      </c>
      <c r="S42">
        <v>9</v>
      </c>
      <c r="T42" s="12">
        <f>IF(ISNUMBER(tblData[UK]),tblData[UK]/$T$9,"")</f>
        <v>1.3546056592414208</v>
      </c>
      <c r="U42">
        <v>77001</v>
      </c>
      <c r="V42" s="20">
        <f>IF(ISNUMBER(tblData[China]),tblData[China]/$V$9,"")</f>
        <v>534.98039345943528</v>
      </c>
      <c r="W42">
        <v>85</v>
      </c>
      <c r="X42" s="124">
        <f>IF(ISNUMBER(tblData[Singapore]),tblData[Singapore]/$X$9,"")</f>
        <v>145.29914529914529</v>
      </c>
      <c r="Y42">
        <v>64084</v>
      </c>
      <c r="Z42" s="20">
        <f>IF(AND(LEN(tblData[Generic])&gt;0,ISNUMBER(tblData[Generic])),tblData[Generic]/$Z$9,"")</f>
        <v>10954.529914529916</v>
      </c>
      <c r="AA42" s="25">
        <f>IF(tblData[[#This Row],[Date]]&lt;ItalyStart,"",tblData[[#This Row],[Date]]-ItalyStart)</f>
        <v>23</v>
      </c>
      <c r="AB42" s="25">
        <f>IF(tblData[[#This Row],[Date]]&lt;USStart,"",tblData[[#This Row],[Date]]-USStart)</f>
        <v>31</v>
      </c>
      <c r="AC42" s="25">
        <f>IF(tblData[[#This Row],[Date]]&lt;ChinaStart,"",tblData[[#This Row],[Date]]-ChinaStart)</f>
        <v>31</v>
      </c>
      <c r="AD42" s="25">
        <f>IF(tblData[[#This Row],[Date]]&lt;StartDt2Korea,"",tblData[[#This Row],[Date]]-StartDt2Korea)</f>
        <v>3</v>
      </c>
      <c r="AE42" s="25">
        <f>IF(tblData[[#This Row],[Date]]&lt;UKStart,"",tblData[[#This Row],[Date]]-UKStart)</f>
        <v>23</v>
      </c>
      <c r="AF42" s="25">
        <f>IF(tblData[[#This Row],[Date]]&lt;SingaporeStart,"",tblData[[#This Row],[Date]]-SingaporeStart)</f>
        <v>30</v>
      </c>
      <c r="AG42" s="25">
        <f>IF(tblData[[#This Row],[Date]]&lt;GenStart,"",tblData[[#This Row],[Date]]-GenStart)</f>
        <v>31</v>
      </c>
      <c r="AH42">
        <f>IF(tblData[Date]&gt;=StartDt2Au,tblData[Date]-StartDt2Au,"")</f>
        <v>28</v>
      </c>
      <c r="AI42" s="25">
        <f>IF(tblData[New South Wales]&gt;0,SUM(tblData[[#This Row],[Australian Capital Territory]:[Western Australia]]),"")</f>
        <v>15</v>
      </c>
      <c r="AJ42" s="12">
        <f>IF(ISNUMBER(tblData[Au]),tblData[Au]/$AE$9,"")</f>
        <v>5.9138937076170954</v>
      </c>
      <c r="AK42" s="19">
        <f>IF(ISNUMBER(tblData[[#This Row],[Day'# Aust]]),betaAu/(deltaAu+betaPodeltaAu*EXP(-betaAu*tblData[[#This Row],[Day'# Aust]])),"")</f>
        <v>1.1591968367698047</v>
      </c>
      <c r="AL42" s="66">
        <f>IF(ISNUMBER(tblData[Day'# Aust]),tblData[Au LogiP(t)]/$AJ$9,"")</f>
        <v>0.45702445859083923</v>
      </c>
      <c r="AM42" s="11">
        <f>IF(AND(tblData[Date]&gt;=StartDt2Au,ISNUMBER(tblData[NSW])),(tblData[[#This Row],[Au LogiP(t)]]-tblData[[#This Row],[Au]])^2,"")</f>
        <v>191.56783220328296</v>
      </c>
      <c r="AN42">
        <f>IF(tblData[Date]&gt;StartDt2NSW,tblData[Date]-StartDt2NSW,"")</f>
        <v>28</v>
      </c>
      <c r="AO42">
        <f t="shared" si="4"/>
        <v>4</v>
      </c>
      <c r="AP42" s="11">
        <f>IF(tblData[Date]&gt;StartDt2NSW,betaNSW/(deltaNSW+betaPodeltaNSW*EXP(-betaNSW*tblData[[#This Row],[Day '# NSW]])),"")</f>
        <v>1.4357725485171489</v>
      </c>
      <c r="AQ42" s="12">
        <f>IF(AND(ISNUMBER(tblData[NSW]),tblData[Date]&gt;StartDt2NSW),(tblData[[#This Row],[NSW LogiP(t)]]-tblData[[#This Row],[NSW]])^2,"")</f>
        <v>6.5752624229382368</v>
      </c>
      <c r="AR42" s="12">
        <f>IF(AND(tblData[Date]&gt;StartDt2NSW,ISNUMBER(tblData[Day'# Aust])),tblData[NSW LogiP(t)]/$AQ$9,"")</f>
        <v>1.7769462234123128</v>
      </c>
      <c r="AS42" s="11">
        <f>IF(AND(tblData[Date]&gt;StartDt2Italy,ISNUMBER(tblData[Days'# Italy])),betaItaly/(deltaItaly+betaPodeltaItaly*EXP(-betaItaly*tblData[Days'# Italy])),"")</f>
        <v>164.9004885319543</v>
      </c>
      <c r="AT42" s="11">
        <f>IF(AND(tblData[Date]&gt;StartDt2Italy,ISNUMBER(tblData[Italy])),(tblData[[#This Row],[Italy LogiP(t)]]-tblData[[#This Row],[Italy]])^2,"")</f>
        <v>10588.510540114858</v>
      </c>
      <c r="AU42" s="41">
        <f>IF(AND(tblData[Date]&gt;StartDt2Italy,ISNUMBER(tblData[Days'# Italy])),tblData[[#This Row],[Italy LogiP(t)]]/$AT$9,"")</f>
        <v>27.263038527230602</v>
      </c>
      <c r="AV42" s="20">
        <f>IF(ISNUMBER(tblData[[#This Row],[Days'# US]]),betaUS/(deltaUS+betaPodeltaUS*EXP(-betaUS*tblData[Days'# US])),"")</f>
        <v>12.304634255112383</v>
      </c>
      <c r="AW42" s="11" t="str">
        <f>IF(AND(tblData[Date]&gt;=StartDt2US,ISNUMBER(tblData[US])),(tblData[[#This Row],[US LogiP(t)]]-tblData[US])^2,"")</f>
        <v/>
      </c>
      <c r="AX42" s="20">
        <f>IF(ISNUMBER(tblData[[#This Row],[Days'# US]]),tblData[[#This Row],[US LogiP(t)]]/$AW$9,"")</f>
        <v>0.3737423228937814</v>
      </c>
      <c r="AY42" s="20">
        <f>IF(tblData[Date]&gt;=StartDt2Korea,betaSKorea/(deltaSKorea+betaPodeltaSKorea*EXP(-betaSKorea*(tblData[Date]-StartDt2Korea))),"")</f>
        <v>520.6194183700685</v>
      </c>
      <c r="AZ42" s="20">
        <f>IF(AND(tblData[Date]&gt;=StartDt2Korea,ISNUMBER(tblData[SKorea])),(tblData[[#This Row],[SKorea LogiP(t)]]-tblData[[#This Row],[SKorea]])^2,"")</f>
        <v>7677.1624755090979</v>
      </c>
      <c r="BA42" s="20">
        <f>IF(tblData[Date]&gt;=StartDt2Korea,tblData[[#This Row],[SKorea LogiP(t)]]/$AZ$9,"")</f>
        <v>101.28782458561645</v>
      </c>
      <c r="BB42" s="11">
        <f>IF(ISNUMBER(tblData[Days'# UK]),betaUK/(deltaUK+betaPodeltaUK*EXP(-betaUK*tblData[Days'# UK])),"")</f>
        <v>7.5769404366125066</v>
      </c>
      <c r="BC42" s="20">
        <f>IF(ISNUMBER(tblData[UK]),(tblData[[#This Row],[UK LogiP(t)]]-tblData[[#This Row],[UK]])^2,"")</f>
        <v>2.0250985209486032</v>
      </c>
      <c r="BD42" s="20">
        <f>IF(ISNUMBER(tblData[Days'# UK]),tblData[[#This Row],[UK LogiP(t)]]/$BC$9,"")</f>
        <v>1.1404184883522737</v>
      </c>
      <c r="BE42" s="11">
        <f>IF(ISNUMBER(tblData[Days'# China]),betaChina/(deltaChina+betaPodeltaChina*EXP(-betaChina*tblData[Days'# China])),"")</f>
        <v>76952.694344080839</v>
      </c>
      <c r="BF42" s="11">
        <f>IF(ISNUMBER(tblData[China]),(tblData[[#This Row],[China LogiP(t)]]-tblData[[#This Row],[China]])^2,"")</f>
        <v>2333.4363937803669</v>
      </c>
      <c r="BG42" s="11">
        <f>tblData[[#This Row],[China LogiP(t)]]/$BF$9</f>
        <v>534.64477991143008</v>
      </c>
      <c r="BH42" s="11">
        <f>IF(ISNUMBER(tblData[Day'# Singapore]),betaSingapore/(deltaSingapore+betaPodeltaSingapore*EXP(-betaSingapore*tblData[Day'# Singapore])),"")</f>
        <v>52.243147408778945</v>
      </c>
      <c r="BI42" s="11">
        <f>IF(AND(ISNUMBER(tblData[Singapore]),tblData[Date]&gt;=StartDt2Singapore),(tblData[[#This Row],[Singapore LogiP(t)]]-tblData[[#This Row],[Singapore]])^2,"")</f>
        <v>1073.0113916829855</v>
      </c>
      <c r="BJ42" s="11">
        <f>IF(ISNUMBER(tblData[Day'# Singapore]),tblData[Singapore LogiP(t)]/$BI$9,"")</f>
        <v>89.304525485092213</v>
      </c>
      <c r="BK42" s="11">
        <f>IF(ISNUMBER(tblData[Day'# Generic]),betaGeneric/(deltaGeneric+betaPodeltaGeneric*EXP(-betaGeneric*tblData[Day'# Generic])),"")</f>
        <v>64281.730390107863</v>
      </c>
      <c r="BL42" s="11">
        <f>IF(AND(ISNUMBER(tblData[Generic]),tblData[Date]&gt;=StartDt2Generic),(tblData[Generic LogiP(t)]-tblData[[#This Row],[Generic]])^2,"")</f>
        <v>39097.307172207707</v>
      </c>
      <c r="BM42" s="11">
        <f>IF(ISNUMBER(tblData[Day'# Generic]),tblData[Generic LogiP(t)]/$BL$9,"")</f>
        <v>10988.32998121502</v>
      </c>
      <c r="BO42" s="11"/>
      <c r="BP42" s="11" t="str">
        <f>IF(ISNUMBER(tblData[[#This Row],[Tests]]),tblData[[#This Row],[Tests]]-BP41,"")</f>
        <v/>
      </c>
      <c r="BQ42" s="11" t="str">
        <f>IF(ISNUMBER(tblData[[#This Row],[NSW Under Investigation'']]),tblData[[#This Row],[NSW Under Investigation'']]-BO41,"")</f>
        <v/>
      </c>
      <c r="BR42" s="11"/>
      <c r="BS42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42" s="11" t="str">
        <f>IF(tblData[Tests]&gt;0,(tblData[[#This Row],[Tests]]-tblData[[#This Row],[NSW Test Logi]])^2,"")</f>
        <v/>
      </c>
      <c r="BU42" s="11" t="str">
        <f>IF(ISNUMBER(tblData[Tests]),tblData[Tests]/$BS$9/100,"")</f>
        <v/>
      </c>
      <c r="BV42" s="11" t="str">
        <f>IF(AND(tblData[[#This Row],[NSW Test Day Number]]&gt;0,ISNUMBER(tblData[[#This Row],[NSW Test Day Number]])),TestsLogestB*TestsLogestM^tblData[[#This Row],[NSW Test Day Number]],"")</f>
        <v/>
      </c>
      <c r="BW42" s="11" t="str">
        <f>IF(AND(tblData[[#This Row],[NSW Test Day Number]]&gt;0,ISNUMBER(tblData[Tests])),(tblData[Tests]-tblData[[#This Row],[NSW Test Per Capita]])^2,"")</f>
        <v/>
      </c>
      <c r="BX42" s="11"/>
      <c r="BY42" s="11"/>
      <c r="BZ42"/>
      <c r="CB42" s="25"/>
      <c r="CD42" s="25"/>
      <c r="CK42"/>
      <c r="CL42"/>
      <c r="CN42" s="25"/>
      <c r="CO42" s="25"/>
      <c r="CP42" s="25"/>
      <c r="DC42"/>
      <c r="DD42"/>
      <c r="DG42" s="25"/>
      <c r="DH42" s="25"/>
      <c r="DV42"/>
      <c r="DW42"/>
      <c r="DX42"/>
      <c r="DY42" s="25" t="s">
        <v>153</v>
      </c>
      <c r="DZ42" s="76">
        <v>43912.787488425929</v>
      </c>
      <c r="EA42" s="26">
        <v>43855</v>
      </c>
      <c r="EB42" s="26">
        <v>43855</v>
      </c>
      <c r="EC42" s="25">
        <v>1</v>
      </c>
      <c r="ED42" s="25">
        <v>0.20690766856988288</v>
      </c>
      <c r="EE42" s="24">
        <v>6.344938640416391E-5</v>
      </c>
      <c r="EF42" s="25">
        <v>4.7957380309846401E-3</v>
      </c>
      <c r="EG42" s="96">
        <v>3260.9876989496688</v>
      </c>
      <c r="EH42" s="25">
        <v>4.183094299453777</v>
      </c>
      <c r="EI42" s="25">
        <v>43.144008898410604</v>
      </c>
      <c r="EJ42" s="98">
        <v>6.3449386404163907E-2</v>
      </c>
      <c r="EK42" s="26">
        <v>43912</v>
      </c>
      <c r="EL42" s="25" t="s">
        <v>1116</v>
      </c>
      <c r="EM42" s="25">
        <v>3260.9876989496688</v>
      </c>
      <c r="EN42" s="98">
        <v>533</v>
      </c>
      <c r="EO42" s="25" t="s">
        <v>1117</v>
      </c>
      <c r="EP42" s="26">
        <v>43912</v>
      </c>
      <c r="EQ42" s="25">
        <v>58</v>
      </c>
      <c r="ER42" s="25" t="s">
        <v>1137</v>
      </c>
      <c r="ES42" s="25"/>
      <c r="ET42" s="25" t="s">
        <v>1119</v>
      </c>
      <c r="EU42" s="25"/>
      <c r="EV42" s="25" t="s">
        <v>1138</v>
      </c>
      <c r="EW42" s="25">
        <v>659.65346534653463</v>
      </c>
      <c r="EX42" s="82"/>
      <c r="EY42" s="25"/>
      <c r="EZ42" s="82"/>
      <c r="FB42" t="s">
        <v>1115</v>
      </c>
      <c r="FC42" s="25"/>
    </row>
    <row r="43" spans="2:159" x14ac:dyDescent="0.25">
      <c r="B43" s="1">
        <v>43884</v>
      </c>
      <c r="C43">
        <v>7</v>
      </c>
      <c r="D43" s="25">
        <v>0</v>
      </c>
      <c r="E43">
        <v>4</v>
      </c>
      <c r="F43">
        <v>0</v>
      </c>
      <c r="G43">
        <v>5</v>
      </c>
      <c r="H43">
        <v>2</v>
      </c>
      <c r="I43">
        <v>0</v>
      </c>
      <c r="J43">
        <v>4</v>
      </c>
      <c r="K43">
        <v>0</v>
      </c>
      <c r="L43" s="12">
        <f>IF(ISNUMBER(tblData[[#This Row],[NSW]]),tblData[[#This Row],[New South Wales]]/$L$9,"")</f>
        <v>4.9504950495049505</v>
      </c>
      <c r="M43" s="25">
        <v>155</v>
      </c>
      <c r="N43" s="124">
        <f>IF(ISNUMBER(tblData[Italy]),tblData[Italy]/$N$9,"")</f>
        <v>25.626188311151527</v>
      </c>
      <c r="O43">
        <v>15</v>
      </c>
      <c r="P43" s="124">
        <f>IF(ISNUMBER(tblData[US]),tblData[US]/$P$9,"")</f>
        <v>0.45561166038539175</v>
      </c>
      <c r="Q43">
        <v>602</v>
      </c>
      <c r="R43" s="124">
        <f>IF(ISNUMBER(tblData[SKorea]),tblData[SKorea]/$R$9,"")</f>
        <v>117.1206225680934</v>
      </c>
      <c r="S43">
        <v>9</v>
      </c>
      <c r="T43" s="124">
        <f>IF(ISNUMBER(tblData[UK]),tblData[UK]/$T$9,"")</f>
        <v>1.3546056592414208</v>
      </c>
      <c r="U43">
        <v>77022</v>
      </c>
      <c r="V43" s="20">
        <f>IF(ISNUMBER(tblData[China]),tblData[China]/$V$9,"")</f>
        <v>535.12629530827678</v>
      </c>
      <c r="W43">
        <v>89</v>
      </c>
      <c r="X43" s="124">
        <f>IF(ISNUMBER(tblData[Singapore]),tblData[Singapore]/$X$9,"")</f>
        <v>152.13675213675214</v>
      </c>
      <c r="Y43">
        <v>64084</v>
      </c>
      <c r="Z43" s="20">
        <f>IF(AND(LEN(tblData[Generic])&gt;0,ISNUMBER(tblData[Generic])),tblData[Generic]/$Z$9,"")</f>
        <v>10954.529914529916</v>
      </c>
      <c r="AA43" s="25">
        <f>IF(tblData[[#This Row],[Date]]&lt;ItalyStart,"",tblData[[#This Row],[Date]]-ItalyStart)</f>
        <v>24</v>
      </c>
      <c r="AB43" s="25">
        <f>IF(tblData[[#This Row],[Date]]&lt;USStart,"",tblData[[#This Row],[Date]]-USStart)</f>
        <v>32</v>
      </c>
      <c r="AC43" s="25">
        <f>IF(tblData[[#This Row],[Date]]&lt;ChinaStart,"",tblData[[#This Row],[Date]]-ChinaStart)</f>
        <v>32</v>
      </c>
      <c r="AD43" s="25">
        <f>IF(tblData[[#This Row],[Date]]&lt;StartDt2Korea,"",tblData[[#This Row],[Date]]-StartDt2Korea)</f>
        <v>4</v>
      </c>
      <c r="AE43" s="25">
        <f>IF(tblData[[#This Row],[Date]]&lt;UKStart,"",tblData[[#This Row],[Date]]-UKStart)</f>
        <v>24</v>
      </c>
      <c r="AF43" s="25">
        <f>IF(tblData[[#This Row],[Date]]&lt;SingaporeStart,"",tblData[[#This Row],[Date]]-SingaporeStart)</f>
        <v>31</v>
      </c>
      <c r="AG43" s="25">
        <f>IF(tblData[[#This Row],[Date]]&lt;GenStart,"",tblData[[#This Row],[Date]]-GenStart)</f>
        <v>32</v>
      </c>
      <c r="AH43">
        <f>IF(tblData[Date]&gt;=StartDt2Au,tblData[Date]-StartDt2Au,"")</f>
        <v>29</v>
      </c>
      <c r="AI43" s="25">
        <f>IF(tblData[New South Wales]&gt;0,SUM(tblData[[#This Row],[Australian Capital Territory]:[Western Australia]]),"")</f>
        <v>15</v>
      </c>
      <c r="AJ43" s="12">
        <f>IF(ISNUMBER(tblData[Au]),tblData[Au]/$AE$9,"")</f>
        <v>5.9138937076170954</v>
      </c>
      <c r="AK43" s="19">
        <f>IF(ISNUMBER(tblData[[#This Row],[Day'# Aust]]),betaAu/(deltaAu+betaPodeltaAu*EXP(-betaAu*tblData[[#This Row],[Day'# Aust]])),"")</f>
        <v>1.4913288604413364</v>
      </c>
      <c r="AL43" s="66">
        <f>IF(ISNUMBER(tblData[Day'# Aust]),tblData[Au LogiP(t)]/$AJ$9,"")</f>
        <v>0.58797069091678611</v>
      </c>
      <c r="AM43" s="11">
        <f>IF(AND(tblData[Date]&gt;=StartDt2Au,ISNUMBER(tblData[NSW])),(tblData[[#This Row],[Au LogiP(t)]]-tblData[[#This Row],[Au]])^2,"")</f>
        <v>182.48419595674514</v>
      </c>
      <c r="AN43">
        <f>IF(tblData[Date]&gt;StartDt2NSW,tblData[Date]-StartDt2NSW,"")</f>
        <v>29</v>
      </c>
      <c r="AO43">
        <f t="shared" si="4"/>
        <v>4</v>
      </c>
      <c r="AP43" s="11">
        <f>IF(tblData[Date]&gt;StartDt2NSW,betaNSW/(deltaNSW+betaPodeltaNSW*EXP(-betaNSW*tblData[[#This Row],[Day '# NSW]])),"")</f>
        <v>1.7686629030709964</v>
      </c>
      <c r="AQ43" s="12">
        <f>IF(AND(ISNUMBER(tblData[NSW]),tblData[Date]&gt;StartDt2NSW),(tblData[[#This Row],[NSW LogiP(t)]]-tblData[[#This Row],[NSW]])^2,"")</f>
        <v>4.9788652401315527</v>
      </c>
      <c r="AR43" s="12">
        <f>IF(AND(tblData[Date]&gt;StartDt2NSW,ISNUMBER(tblData[Day'# Aust])),tblData[NSW LogiP(t)]/$AQ$9,"")</f>
        <v>2.1889392364740052</v>
      </c>
      <c r="AS43" s="11">
        <f>IF(AND(tblData[Date]&gt;StartDt2Italy,ISNUMBER(tblData[Days'# Italy])),betaItaly/(deltaItaly+betaPodeltaItaly*EXP(-betaItaly*tblData[Days'# Italy])),"")</f>
        <v>213.20057027396709</v>
      </c>
      <c r="AT43" s="11">
        <f>IF(AND(tblData[Date]&gt;StartDt2Italy,ISNUMBER(tblData[Italy])),(tblData[[#This Row],[Italy LogiP(t)]]-tblData[[#This Row],[Italy]])^2,"")</f>
        <v>3387.3063802149813</v>
      </c>
      <c r="AU43" s="41">
        <f>IF(AND(tblData[Date]&gt;StartDt2Italy,ISNUMBER(tblData[Days'# Italy])),tblData[[#This Row],[Italy LogiP(t)]]/$AT$9,"")</f>
        <v>35.248502979906938</v>
      </c>
      <c r="AV43" s="20">
        <f>IF(ISNUMBER(tblData[[#This Row],[Days'# US]]),betaUS/(deltaUS+betaPodeltaUS*EXP(-betaUS*tblData[Days'# US])),"")</f>
        <v>16.237036872211441</v>
      </c>
      <c r="AW43" s="11" t="str">
        <f>IF(AND(tblData[Date]&gt;=StartDt2US,ISNUMBER(tblData[US])),(tblData[[#This Row],[US LogiP(t)]]-tblData[US])^2,"")</f>
        <v/>
      </c>
      <c r="AX43" s="20">
        <f>IF(ISNUMBER(tblData[[#This Row],[Days'# US]]),tblData[[#This Row],[US LogiP(t)]]/$AW$9,"")</f>
        <v>0.49318555527247215</v>
      </c>
      <c r="AY43" s="20">
        <f>IF(tblData[Date]&gt;=StartDt2Korea,betaSKorea/(deltaSKorea+betaPodeltaSKorea*EXP(-betaSKorea*(tblData[Date]-StartDt2Korea))),"")</f>
        <v>688.3246333068588</v>
      </c>
      <c r="AZ43" s="20">
        <f>IF(AND(tblData[Date]&gt;=StartDt2Korea,ISNUMBER(tblData[SKorea])),(tblData[[#This Row],[SKorea LogiP(t)]]-tblData[[#This Row],[SKorea]])^2,"")</f>
        <v>7451.9423155636359</v>
      </c>
      <c r="BA43" s="20">
        <f>IF(tblData[Date]&gt;=StartDt2Korea,tblData[[#This Row],[SKorea LogiP(t)]]/$AZ$9,"")</f>
        <v>133.91529830872742</v>
      </c>
      <c r="BB43" s="11">
        <f>IF(ISNUMBER(tblData[Days'# UK]),betaUK/(deltaUK+betaPodeltaUK*EXP(-betaUK*tblData[Days'# UK])),"")</f>
        <v>9.6059180430929025</v>
      </c>
      <c r="BC43" s="20">
        <f>IF(ISNUMBER(tblData[UK]),(tblData[[#This Row],[UK LogiP(t)]]-tblData[[#This Row],[UK]])^2,"")</f>
        <v>0.36713667494553248</v>
      </c>
      <c r="BD43" s="20">
        <f>IF(ISNUMBER(tblData[Days'# UK]),tblData[[#This Row],[UK LogiP(t)]]/$BC$9,"")</f>
        <v>1.4458034381536577</v>
      </c>
      <c r="BE43" s="11">
        <f>IF(ISNUMBER(tblData[Days'# China]),betaChina/(deltaChina+betaPodeltaChina*EXP(-betaChina*tblData[Days'# China])),"")</f>
        <v>77729.257480109838</v>
      </c>
      <c r="BF43" s="11">
        <f>IF(ISNUMBER(tblData[China]),(tblData[[#This Row],[China LogiP(t)]]-tblData[[#This Row],[China]])^2,"")</f>
        <v>500213.14317131799</v>
      </c>
      <c r="BG43" s="11">
        <f>tblData[[#This Row],[China LogiP(t)]]/$BF$9</f>
        <v>540.04011311565966</v>
      </c>
      <c r="BH43" s="11">
        <f>IF(ISNUMBER(tblData[Day'# Singapore]),betaSingapore/(deltaSingapore+betaPodeltaSingapore*EXP(-betaSingapore*tblData[Day'# Singapore])),"")</f>
        <v>56.282642474049716</v>
      </c>
      <c r="BI43" s="11">
        <f>IF(AND(ISNUMBER(tblData[Singapore]),tblData[Date]&gt;=StartDt2Singapore),(tblData[[#This Row],[Singapore LogiP(t)]]-tblData[[#This Row],[Singapore]])^2,"")</f>
        <v>1070.4254834808557</v>
      </c>
      <c r="BJ43" s="11">
        <f>IF(ISNUMBER(tblData[Day'# Singapore]),tblData[Singapore LogiP(t)]/$BI$9,"")</f>
        <v>96.209645254785841</v>
      </c>
      <c r="BK43" s="11">
        <f>IF(ISNUMBER(tblData[Day'# Generic]),betaGeneric/(deltaGeneric+betaPodeltaGeneric*EXP(-betaGeneric*tblData[Day'# Generic])),"")</f>
        <v>64857.233884292982</v>
      </c>
      <c r="BL43" s="11">
        <f>IF(AND(ISNUMBER(tblData[Generic]),tblData[Date]&gt;=StartDt2Generic),(tblData[Generic LogiP(t)]-tblData[[#This Row],[Generic]])^2,"")</f>
        <v>597890.63981881284</v>
      </c>
      <c r="BM43" s="11">
        <f>IF(ISNUMBER(tblData[Day'# Generic]),tblData[Generic LogiP(t)]/$BL$9,"")</f>
        <v>11086.706646887689</v>
      </c>
      <c r="BO43" s="11"/>
      <c r="BP43" s="11" t="str">
        <f>IF(ISNUMBER(tblData[[#This Row],[Tests]]),tblData[[#This Row],[Tests]]-BP42,"")</f>
        <v/>
      </c>
      <c r="BQ43" s="11" t="str">
        <f>IF(ISNUMBER(tblData[[#This Row],[NSW Under Investigation'']]),tblData[[#This Row],[NSW Under Investigation'']]-BO42,"")</f>
        <v/>
      </c>
      <c r="BR43" s="11"/>
      <c r="BS43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43" s="11" t="str">
        <f>IF(tblData[Tests]&gt;0,(tblData[[#This Row],[Tests]]-tblData[[#This Row],[NSW Test Logi]])^2,"")</f>
        <v/>
      </c>
      <c r="BU43" s="11" t="str">
        <f>IF(ISNUMBER(tblData[Tests]),tblData[Tests]/$BS$9/100,"")</f>
        <v/>
      </c>
      <c r="BV43" s="11" t="str">
        <f>IF(AND(tblData[[#This Row],[NSW Test Day Number]]&gt;0,ISNUMBER(tblData[[#This Row],[NSW Test Day Number]])),TestsLogestB*TestsLogestM^tblData[[#This Row],[NSW Test Day Number]],"")</f>
        <v/>
      </c>
      <c r="BW43" s="11" t="str">
        <f>IF(AND(tblData[[#This Row],[NSW Test Day Number]]&gt;0,ISNUMBER(tblData[Tests])),(tblData[Tests]-tblData[[#This Row],[NSW Test Per Capita]])^2,"")</f>
        <v/>
      </c>
      <c r="BX43" s="11"/>
      <c r="BY43" s="11"/>
      <c r="BZ43"/>
      <c r="CB43" s="25"/>
      <c r="CD43" s="25"/>
      <c r="CK43"/>
      <c r="CL43"/>
      <c r="CN43" s="25"/>
      <c r="CO43" s="25"/>
      <c r="CP43" s="25"/>
      <c r="DC43"/>
      <c r="DD43"/>
      <c r="DG43" s="25"/>
      <c r="DH43" s="25"/>
      <c r="DV43"/>
      <c r="DW43"/>
      <c r="DX43"/>
      <c r="DY43" s="25" t="s">
        <v>153</v>
      </c>
      <c r="DZ43" s="76">
        <v>43913.581608796296</v>
      </c>
      <c r="EA43" s="26">
        <v>43855</v>
      </c>
      <c r="EB43" s="26">
        <v>43855</v>
      </c>
      <c r="EC43">
        <v>1</v>
      </c>
      <c r="ED43" s="25">
        <v>0.19304193258457727</v>
      </c>
      <c r="EE43" s="95">
        <v>7.741697041153024E-7</v>
      </c>
      <c r="EF43" s="25">
        <v>9.08799853365907E-3</v>
      </c>
      <c r="EG43" s="96">
        <v>249353.50939001123</v>
      </c>
      <c r="EH43" s="25">
        <v>4.8079620372406442</v>
      </c>
      <c r="EI43" s="25">
        <v>21.241412488564777</v>
      </c>
      <c r="EJ43" s="98">
        <v>7.7416970411530242E-4</v>
      </c>
      <c r="EK43" s="26">
        <v>43913</v>
      </c>
      <c r="EL43" s="25" t="s">
        <v>1306</v>
      </c>
      <c r="EM43" s="25">
        <v>249353.50939001123</v>
      </c>
      <c r="EN43" s="98">
        <v>669</v>
      </c>
      <c r="EO43" t="s">
        <v>1307</v>
      </c>
      <c r="EP43" s="26">
        <v>43913</v>
      </c>
      <c r="EQ43" s="25">
        <v>59</v>
      </c>
      <c r="ER43" s="25" t="s">
        <v>1308</v>
      </c>
      <c r="ET43" t="s">
        <v>1309</v>
      </c>
      <c r="EV43" s="25" t="s">
        <v>1310</v>
      </c>
      <c r="EW43">
        <v>827.97029702970292</v>
      </c>
      <c r="EX43" s="82"/>
      <c r="EY43" s="25"/>
      <c r="EZ43" s="82"/>
      <c r="FA43"/>
      <c r="FB43" t="s">
        <v>1305</v>
      </c>
      <c r="FC43" s="25"/>
    </row>
    <row r="44" spans="2:159" x14ac:dyDescent="0.25">
      <c r="B44" s="1">
        <v>43885</v>
      </c>
      <c r="C44">
        <v>7</v>
      </c>
      <c r="D44" s="25">
        <v>0</v>
      </c>
      <c r="E44">
        <v>4</v>
      </c>
      <c r="F44">
        <v>0</v>
      </c>
      <c r="G44">
        <v>5</v>
      </c>
      <c r="H44">
        <v>2</v>
      </c>
      <c r="I44">
        <v>0</v>
      </c>
      <c r="J44">
        <v>4</v>
      </c>
      <c r="K44">
        <v>0</v>
      </c>
      <c r="L44" s="12">
        <f>IF(ISNUMBER(tblData[[#This Row],[NSW]]),tblData[[#This Row],[New South Wales]]/$L$9,"")</f>
        <v>4.9504950495049505</v>
      </c>
      <c r="M44" s="25">
        <v>229</v>
      </c>
      <c r="N44" s="124">
        <f>IF(ISNUMBER(tblData[Italy]),tblData[Italy]/$N$9,"")</f>
        <v>37.860626601636774</v>
      </c>
      <c r="O44">
        <v>51</v>
      </c>
      <c r="P44" s="124">
        <f>IF(ISNUMBER(tblData[US]),tblData[US]/$P$9,"")</f>
        <v>1.5490796453103319</v>
      </c>
      <c r="Q44">
        <v>833</v>
      </c>
      <c r="R44" s="124">
        <f>IF(ISNUMBER(tblData[SKorea]),tblData[SKorea]/$R$9,"")</f>
        <v>162.06225680933852</v>
      </c>
      <c r="S44">
        <v>13</v>
      </c>
      <c r="T44" s="124">
        <f>IF(ISNUMBER(tblData[UK]),tblData[UK]/$T$9,"")</f>
        <v>1.9566526189042746</v>
      </c>
      <c r="U44">
        <v>77241</v>
      </c>
      <c r="V44" s="124">
        <f>IF(ISNUMBER(tblData[China]),tblData[China]/$V$9,"")</f>
        <v>536.64784316048156</v>
      </c>
      <c r="W44">
        <v>89</v>
      </c>
      <c r="X44" s="124">
        <f>IF(ISNUMBER(tblData[Singapore]),tblData[Singapore]/$X$9,"")</f>
        <v>152.13675213675214</v>
      </c>
      <c r="Y44">
        <v>64287</v>
      </c>
      <c r="Z44" s="20">
        <f>IF(AND(LEN(tblData[Generic])&gt;0,ISNUMBER(tblData[Generic])),tblData[Generic]/$Z$9,"")</f>
        <v>10989.23076923077</v>
      </c>
      <c r="AA44" s="25">
        <f>IF(tblData[[#This Row],[Date]]&lt;ItalyStart,"",tblData[[#This Row],[Date]]-ItalyStart)</f>
        <v>25</v>
      </c>
      <c r="AB44" s="25">
        <f>IF(tblData[[#This Row],[Date]]&lt;USStart,"",tblData[[#This Row],[Date]]-USStart)</f>
        <v>33</v>
      </c>
      <c r="AC44" s="25">
        <f>IF(tblData[[#This Row],[Date]]&lt;ChinaStart,"",tblData[[#This Row],[Date]]-ChinaStart)</f>
        <v>33</v>
      </c>
      <c r="AD44" s="25">
        <f>IF(tblData[[#This Row],[Date]]&lt;StartDt2Korea,"",tblData[[#This Row],[Date]]-StartDt2Korea)</f>
        <v>5</v>
      </c>
      <c r="AE44" s="25">
        <f>IF(tblData[[#This Row],[Date]]&lt;UKStart,"",tblData[[#This Row],[Date]]-UKStart)</f>
        <v>25</v>
      </c>
      <c r="AF44" s="25">
        <f>IF(tblData[[#This Row],[Date]]&lt;SingaporeStart,"",tblData[[#This Row],[Date]]-SingaporeStart)</f>
        <v>32</v>
      </c>
      <c r="AG44" s="25">
        <f>IF(tblData[[#This Row],[Date]]&lt;GenStart,"",tblData[[#This Row],[Date]]-GenStart)</f>
        <v>33</v>
      </c>
      <c r="AH44">
        <f>IF(tblData[Date]&gt;=StartDt2Au,tblData[Date]-StartDt2Au,"")</f>
        <v>30</v>
      </c>
      <c r="AI44" s="25">
        <f>IF(tblData[New South Wales]&gt;0,SUM(tblData[[#This Row],[Australian Capital Territory]:[Western Australia]]),"")</f>
        <v>15</v>
      </c>
      <c r="AJ44" s="12">
        <f>IF(ISNUMBER(tblData[Au]),tblData[Au]/$AE$9,"")</f>
        <v>5.9138937076170954</v>
      </c>
      <c r="AK44" s="19">
        <f>IF(ISNUMBER(tblData[[#This Row],[Day'# Aust]]),betaAu/(deltaAu+betaPodeltaAu*EXP(-betaAu*tblData[[#This Row],[Day'# Aust]])),"")</f>
        <v>1.9185970976849049</v>
      </c>
      <c r="AL44" s="66">
        <f>IF(ISNUMBER(tblData[Day'# Aust]),tblData[Au LogiP(t)]/$AJ$9,"")</f>
        <v>0.75642528689674537</v>
      </c>
      <c r="AM44" s="11">
        <f>IF(AND(tblData[Date]&gt;=StartDt2Au,ISNUMBER(tblData[NSW])),(tblData[[#This Row],[Au LogiP(t)]]-tblData[[#This Row],[Au]])^2,"")</f>
        <v>171.12310189269778</v>
      </c>
      <c r="AN44">
        <f>IF(tblData[Date]&gt;StartDt2NSW,tblData[Date]-StartDt2NSW,"")</f>
        <v>30</v>
      </c>
      <c r="AO44">
        <f t="shared" si="4"/>
        <v>4</v>
      </c>
      <c r="AP44" s="11">
        <f>IF(tblData[Date]&gt;StartDt2NSW,betaNSW/(deltaNSW+betaPodeltaNSW*EXP(-betaNSW*tblData[[#This Row],[Day '# NSW]])),"")</f>
        <v>2.1787178714600044</v>
      </c>
      <c r="AQ44" s="12">
        <f>IF(AND(ISNUMBER(tblData[NSW]),tblData[Date]&gt;StartDt2NSW),(tblData[[#This Row],[NSW LogiP(t)]]-tblData[[#This Row],[NSW]])^2,"")</f>
        <v>3.3170685917391771</v>
      </c>
      <c r="AR44" s="12">
        <f>IF(AND(tblData[Date]&gt;StartDt2NSW,ISNUMBER(tblData[Day'# Aust])),tblData[NSW LogiP(t)]/$AQ$9,"")</f>
        <v>2.6964330092326785</v>
      </c>
      <c r="AS44" s="11">
        <f>IF(AND(tblData[Date]&gt;StartDt2Italy,ISNUMBER(tblData[Days'# Italy])),betaItaly/(deltaItaly+betaPodeltaItaly*EXP(-betaItaly*tblData[Days'# Italy])),"")</f>
        <v>275.5965854216654</v>
      </c>
      <c r="AT44" s="11">
        <f>IF(AND(tblData[Date]&gt;StartDt2Italy,ISNUMBER(tblData[Italy])),(tblData[[#This Row],[Italy LogiP(t)]]-tblData[[#This Row],[Italy]])^2,"")</f>
        <v>2171.24177295856</v>
      </c>
      <c r="AU44" s="41">
        <f>IF(AND(tblData[Date]&gt;StartDt2Italy,ISNUMBER(tblData[Days'# Italy])),tblData[[#This Row],[Italy LogiP(t)]]/$AT$9,"")</f>
        <v>45.564451586619064</v>
      </c>
      <c r="AV44" s="20">
        <f>IF(ISNUMBER(tblData[[#This Row],[Days'# US]]),betaUS/(deltaUS+betaPodeltaUS*EXP(-betaUS*tblData[Days'# US])),"")</f>
        <v>21.426040992086904</v>
      </c>
      <c r="AW44" s="11">
        <f>IF(AND(tblData[Date]&gt;=StartDt2US,ISNUMBER(tblData[US])),(tblData[[#This Row],[US LogiP(t)]]-tblData[US])^2,"")</f>
        <v>874.61905140172416</v>
      </c>
      <c r="AX44" s="20">
        <f>IF(ISNUMBER(tblData[[#This Row],[Days'# US]]),tblData[[#This Row],[US LogiP(t)]]/$AW$9,"")</f>
        <v>0.65079694079267869</v>
      </c>
      <c r="AY44" s="20">
        <f>IF(tblData[Date]&gt;=StartDt2Korea,betaSKorea/(deltaSKorea+betaPodeltaSKorea*EXP(-betaSKorea*(tblData[Date]-StartDt2Korea))),"")</f>
        <v>904.01313287808057</v>
      </c>
      <c r="AZ44" s="20">
        <f>IF(AND(tblData[Date]&gt;=StartDt2Korea,ISNUMBER(tblData[SKorea])),(tblData[[#This Row],[SKorea LogiP(t)]]-tblData[[#This Row],[SKorea]])^2,"")</f>
        <v>5042.8650411599274</v>
      </c>
      <c r="BA44" s="20">
        <f>IF(tblData[Date]&gt;=StartDt2Korea,tblData[[#This Row],[SKorea LogiP(t)]]/$AZ$9,"")</f>
        <v>175.87804141596899</v>
      </c>
      <c r="BB44" s="11">
        <f>IF(ISNUMBER(tblData[Days'# UK]),betaUK/(deltaUK+betaPodeltaUK*EXP(-betaUK*tblData[Days'# UK])),"")</f>
        <v>12.177921362557216</v>
      </c>
      <c r="BC44" s="20">
        <f>IF(ISNUMBER(tblData[UK]),(tblData[[#This Row],[UK LogiP(t)]]-tblData[[#This Row],[UK]])^2,"")</f>
        <v>0.67581328613978464</v>
      </c>
      <c r="BD44" s="20">
        <f>IF(ISNUMBER(tblData[Days'# UK]),tblData[[#This Row],[UK LogiP(t)]]/$BC$9,"")</f>
        <v>1.832920132835222</v>
      </c>
      <c r="BE44" s="11">
        <f>IF(ISNUMBER(tblData[Days'# China]),betaChina/(deltaChina+betaPodeltaChina*EXP(-betaChina*tblData[Days'# China])),"")</f>
        <v>78362.523044156304</v>
      </c>
      <c r="BF44" s="11">
        <f>IF(ISNUMBER(tblData[China]),(tblData[[#This Row],[China LogiP(t)]]-tblData[[#This Row],[China]])^2,"")</f>
        <v>1257813.9385736219</v>
      </c>
      <c r="BG44" s="11">
        <f>tblData[[#This Row],[China LogiP(t)]]/$BF$9</f>
        <v>544.43985676337707</v>
      </c>
      <c r="BH44" s="11">
        <f>IF(ISNUMBER(tblData[Day'# Singapore]),betaSingapore/(deltaSingapore+betaPodeltaSingapore*EXP(-betaSingapore*tblData[Day'# Singapore])),"")</f>
        <v>60.634475543028088</v>
      </c>
      <c r="BI44" s="11">
        <f>IF(AND(ISNUMBER(tblData[Singapore]),tblData[Date]&gt;=StartDt2Singapore),(tblData[[#This Row],[Singapore LogiP(t)]]-tblData[[#This Row],[Singapore]])^2,"")</f>
        <v>804.60297771907165</v>
      </c>
      <c r="BJ44" s="11">
        <f>IF(ISNUMBER(tblData[Day'# Singapore]),tblData[Singapore LogiP(t)]/$BI$9,"")</f>
        <v>103.64867614192836</v>
      </c>
      <c r="BK44" s="11">
        <f>IF(ISNUMBER(tblData[Day'# Generic]),betaGeneric/(deltaGeneric+betaPodeltaGeneric*EXP(-betaGeneric*tblData[Day'# Generic])),"")</f>
        <v>65326.707941240347</v>
      </c>
      <c r="BL44" s="11">
        <f>IF(AND(ISNUMBER(tblData[Generic]),tblData[Date]&gt;=StartDt2Generic),(tblData[Generic LogiP(t)]-tblData[[#This Row],[Generic]])^2,"")</f>
        <v>1080992.6030782415</v>
      </c>
      <c r="BM44" s="11">
        <f>IF(ISNUMBER(tblData[Day'# Generic]),tblData[Generic LogiP(t)]/$BL$9,"")</f>
        <v>11166.958622434247</v>
      </c>
      <c r="BO44" s="11"/>
      <c r="BP44" s="11" t="str">
        <f>IF(ISNUMBER(tblData[[#This Row],[Tests]]),tblData[[#This Row],[Tests]]-BP43,"")</f>
        <v/>
      </c>
      <c r="BQ44" s="11" t="str">
        <f>IF(ISNUMBER(tblData[[#This Row],[NSW Under Investigation'']]),tblData[[#This Row],[NSW Under Investigation'']]-BO43,"")</f>
        <v/>
      </c>
      <c r="BR44" s="11"/>
      <c r="BS44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44" s="11" t="str">
        <f>IF(tblData[Tests]&gt;0,(tblData[[#This Row],[Tests]]-tblData[[#This Row],[NSW Test Logi]])^2,"")</f>
        <v/>
      </c>
      <c r="BU44" s="11" t="str">
        <f>IF(ISNUMBER(tblData[Tests]),tblData[Tests]/$BS$9/100,"")</f>
        <v/>
      </c>
      <c r="BV44" s="11" t="str">
        <f>IF(AND(tblData[[#This Row],[NSW Test Day Number]]&gt;0,ISNUMBER(tblData[[#This Row],[NSW Test Day Number]])),TestsLogestB*TestsLogestM^tblData[[#This Row],[NSW Test Day Number]],"")</f>
        <v/>
      </c>
      <c r="BW44" s="11" t="str">
        <f>IF(AND(tblData[[#This Row],[NSW Test Day Number]]&gt;0,ISNUMBER(tblData[Tests])),(tblData[Tests]-tblData[[#This Row],[NSW Test Per Capita]])^2,"")</f>
        <v/>
      </c>
      <c r="BX44" s="11"/>
      <c r="BY44" s="11"/>
      <c r="BZ44"/>
      <c r="CB44" s="25"/>
      <c r="CD44" s="25"/>
      <c r="CK44"/>
      <c r="CL44"/>
      <c r="CN44" s="25"/>
      <c r="CO44" s="25"/>
      <c r="CP44" s="25"/>
      <c r="DC44"/>
      <c r="DD44"/>
      <c r="DG44" s="25"/>
      <c r="DH44" s="25"/>
      <c r="DV44"/>
      <c r="DW44"/>
      <c r="DX44"/>
      <c r="DY44" s="25" t="s">
        <v>153</v>
      </c>
      <c r="DZ44" s="76">
        <v>43913.686701388891</v>
      </c>
      <c r="EA44" s="26">
        <v>43855</v>
      </c>
      <c r="EB44" s="26">
        <v>43855</v>
      </c>
      <c r="EC44">
        <v>1</v>
      </c>
      <c r="ED44" s="25">
        <v>0.19304193258456839</v>
      </c>
      <c r="EE44" s="95">
        <v>7.7143821954333995E-7</v>
      </c>
      <c r="EF44" s="25">
        <v>9.0879985336590873E-3</v>
      </c>
      <c r="EG44" s="95">
        <v>250236.41257862665</v>
      </c>
      <c r="EH44" s="25">
        <v>4.8079619102153499</v>
      </c>
      <c r="EI44" s="25">
        <v>21.241412491295243</v>
      </c>
      <c r="EJ44" s="97">
        <v>7.7143821954333994E-4</v>
      </c>
      <c r="EK44" s="26">
        <v>43913</v>
      </c>
      <c r="EL44" s="25" t="s">
        <v>1340</v>
      </c>
      <c r="EM44" s="25">
        <v>250236.41257862665</v>
      </c>
      <c r="EN44" s="98">
        <v>669</v>
      </c>
      <c r="EO44" s="25" t="s">
        <v>1341</v>
      </c>
      <c r="EP44" s="26">
        <v>43913</v>
      </c>
      <c r="EQ44" s="25">
        <v>59</v>
      </c>
      <c r="ER44" t="s">
        <v>1342</v>
      </c>
      <c r="ES44" s="25"/>
      <c r="ET44" t="s">
        <v>1343</v>
      </c>
      <c r="EV44" t="s">
        <v>1344</v>
      </c>
      <c r="EW44" s="25">
        <v>827.97029702970292</v>
      </c>
      <c r="EX44" s="82"/>
      <c r="EY44" s="25"/>
      <c r="EZ44" s="82"/>
      <c r="FB44" t="s">
        <v>1339</v>
      </c>
      <c r="FC44" s="25"/>
    </row>
    <row r="45" spans="2:159" x14ac:dyDescent="0.25">
      <c r="B45" s="1">
        <v>43886</v>
      </c>
      <c r="C45">
        <v>7</v>
      </c>
      <c r="D45" s="25">
        <v>0</v>
      </c>
      <c r="E45">
        <v>4</v>
      </c>
      <c r="F45">
        <v>0</v>
      </c>
      <c r="G45">
        <v>5</v>
      </c>
      <c r="H45">
        <v>2</v>
      </c>
      <c r="I45">
        <v>0</v>
      </c>
      <c r="J45">
        <v>4</v>
      </c>
      <c r="K45">
        <v>0</v>
      </c>
      <c r="L45" s="12">
        <f>IF(ISNUMBER(tblData[[#This Row],[NSW]]),tblData[[#This Row],[New South Wales]]/$L$9,"")</f>
        <v>4.9504950495049505</v>
      </c>
      <c r="M45" s="25">
        <v>322</v>
      </c>
      <c r="N45" s="124">
        <f>IF(ISNUMBER(tblData[Italy]),tblData[Italy]/$N$9,"")</f>
        <v>53.236339588327688</v>
      </c>
      <c r="O45">
        <v>51</v>
      </c>
      <c r="P45" s="124">
        <f>IF(ISNUMBER(tblData[US]),tblData[US]/$P$9,"")</f>
        <v>1.5490796453103319</v>
      </c>
      <c r="Q45">
        <v>977</v>
      </c>
      <c r="R45" s="124">
        <f>IF(ISNUMBER(tblData[SKorea]),tblData[SKorea]/$R$9,"")</f>
        <v>190.07782101167317</v>
      </c>
      <c r="S45">
        <v>13</v>
      </c>
      <c r="T45" s="124">
        <f>IF(ISNUMBER(tblData[UK]),tblData[UK]/$T$9,"")</f>
        <v>1.9566526189042746</v>
      </c>
      <c r="U45">
        <v>77754</v>
      </c>
      <c r="V45" s="124">
        <f>IF(ISNUMBER(tblData[China]),tblData[China]/$V$9,"")</f>
        <v>540.21201689646796</v>
      </c>
      <c r="W45">
        <v>91</v>
      </c>
      <c r="X45" s="124">
        <f>IF(ISNUMBER(tblData[Singapore]),tblData[Singapore]/$X$9,"")</f>
        <v>155.55555555555557</v>
      </c>
      <c r="Y45">
        <v>64786</v>
      </c>
      <c r="Z45" s="20">
        <f>IF(AND(LEN(tblData[Generic])&gt;0,ISNUMBER(tblData[Generic])),tblData[Generic]/$Z$9,"")</f>
        <v>11074.529914529916</v>
      </c>
      <c r="AA45" s="25">
        <f>IF(tblData[[#This Row],[Date]]&lt;ItalyStart,"",tblData[[#This Row],[Date]]-ItalyStart)</f>
        <v>26</v>
      </c>
      <c r="AB45" s="25">
        <f>IF(tblData[[#This Row],[Date]]&lt;USStart,"",tblData[[#This Row],[Date]]-USStart)</f>
        <v>34</v>
      </c>
      <c r="AC45" s="25">
        <f>IF(tblData[[#This Row],[Date]]&lt;ChinaStart,"",tblData[[#This Row],[Date]]-ChinaStart)</f>
        <v>34</v>
      </c>
      <c r="AD45" s="25">
        <f>IF(tblData[[#This Row],[Date]]&lt;StartDt2Korea,"",tblData[[#This Row],[Date]]-StartDt2Korea)</f>
        <v>6</v>
      </c>
      <c r="AE45" s="25">
        <f>IF(tblData[[#This Row],[Date]]&lt;UKStart,"",tblData[[#This Row],[Date]]-UKStart)</f>
        <v>26</v>
      </c>
      <c r="AF45" s="25">
        <f>IF(tblData[[#This Row],[Date]]&lt;SingaporeStart,"",tblData[[#This Row],[Date]]-SingaporeStart)</f>
        <v>33</v>
      </c>
      <c r="AG45" s="25">
        <f>IF(tblData[[#This Row],[Date]]&lt;GenStart,"",tblData[[#This Row],[Date]]-GenStart)</f>
        <v>34</v>
      </c>
      <c r="AH45">
        <f>IF(tblData[Date]&gt;=StartDt2Au,tblData[Date]-StartDt2Au,"")</f>
        <v>31</v>
      </c>
      <c r="AI45" s="25">
        <f>IF(tblData[New South Wales]&gt;0,SUM(tblData[[#This Row],[Australian Capital Territory]:[Western Australia]]),"")</f>
        <v>15</v>
      </c>
      <c r="AJ45" s="12">
        <f>IF(ISNUMBER(tblData[Au]),tblData[Au]/$AE$9,"")</f>
        <v>5.9138937076170954</v>
      </c>
      <c r="AK45" s="19">
        <f>IF(ISNUMBER(tblData[[#This Row],[Day'# Aust]]),betaAu/(deltaAu+betaPodeltaAu*EXP(-betaAu*tblData[[#This Row],[Day'# Aust]])),"")</f>
        <v>2.4682354572999956</v>
      </c>
      <c r="AL45" s="66">
        <f>IF(ISNUMBER(tblData[Day'# Aust]),tblData[Au LogiP(t)]/$AJ$9,"")</f>
        <v>0.97312547598958987</v>
      </c>
      <c r="AM45" s="11">
        <f>IF(AND(tblData[Date]&gt;=StartDt2Au,ISNUMBER(tblData[NSW])),(tblData[[#This Row],[Au LogiP(t)]]-tblData[[#This Row],[Au]])^2,"")</f>
        <v>157.04512255367305</v>
      </c>
      <c r="AN45">
        <f>IF(tblData[Date]&gt;StartDt2NSW,tblData[Date]-StartDt2NSW,"")</f>
        <v>31</v>
      </c>
      <c r="AO45">
        <f t="shared" si="4"/>
        <v>4</v>
      </c>
      <c r="AP45" s="11">
        <f>IF(tblData[Date]&gt;StartDt2NSW,betaNSW/(deltaNSW+betaPodeltaNSW*EXP(-betaNSW*tblData[[#This Row],[Day '# NSW]])),"")</f>
        <v>2.6838152925099932</v>
      </c>
      <c r="AQ45" s="12">
        <f>IF(AND(ISNUMBER(tblData[NSW]),tblData[Date]&gt;StartDt2NSW),(tblData[[#This Row],[NSW LogiP(t)]]-tblData[[#This Row],[NSW]])^2,"")</f>
        <v>1.7323421842305549</v>
      </c>
      <c r="AR45" s="12">
        <f>IF(AND(tblData[Date]&gt;StartDt2NSW,ISNUMBER(tblData[Day'# Aust])),tblData[NSW LogiP(t)]/$AQ$9,"")</f>
        <v>3.3215535798391</v>
      </c>
      <c r="AS45" s="11">
        <f>IF(AND(tblData[Date]&gt;StartDt2Italy,ISNUMBER(tblData[Days'# Italy])),betaItaly/(deltaItaly+betaPodeltaItaly*EXP(-betaItaly*tblData[Days'# Italy])),"")</f>
        <v>356.16788030445508</v>
      </c>
      <c r="AT45" s="11">
        <f>IF(AND(tblData[Date]&gt;StartDt2Italy,ISNUMBER(tblData[Italy])),(tblData[[#This Row],[Italy LogiP(t)]]-tblData[[#This Row],[Italy]])^2,"")</f>
        <v>1167.4440444995696</v>
      </c>
      <c r="AU45" s="41">
        <f>IF(AND(tblData[Date]&gt;StartDt2Italy,ISNUMBER(tblData[Days'# Italy])),tblData[[#This Row],[Italy LogiP(t)]]/$AT$9,"")</f>
        <v>58.88532368429447</v>
      </c>
      <c r="AV45" s="20">
        <f>IF(ISNUMBER(tblData[[#This Row],[Days'# US]]),betaUS/(deltaUS+betaPodeltaUS*EXP(-betaUS*tblData[Days'# US])),"")</f>
        <v>28.273087808745181</v>
      </c>
      <c r="AW45" s="11">
        <f>IF(AND(tblData[Date]&gt;=StartDt2US,ISNUMBER(tblData[US])),(tblData[[#This Row],[US LogiP(t)]]-tblData[US])^2,"")</f>
        <v>516.51253774900692</v>
      </c>
      <c r="AX45" s="20">
        <f>IF(ISNUMBER(tblData[[#This Row],[Days'# US]]),tblData[[#This Row],[US LogiP(t)]]/$AW$9,"")</f>
        <v>0.85876989871762466</v>
      </c>
      <c r="AY45" s="20">
        <f>IF(tblData[Date]&gt;=StartDt2Korea,betaSKorea/(deltaSKorea+betaPodeltaSKorea*EXP(-betaSKorea*(tblData[Date]-StartDt2Korea))),"")</f>
        <v>1177.2410892740611</v>
      </c>
      <c r="AZ45" s="20">
        <f>IF(AND(tblData[Date]&gt;=StartDt2Korea,ISNUMBER(tblData[SKorea])),(tblData[[#This Row],[SKorea LogiP(t)]]-tblData[[#This Row],[SKorea]])^2,"")</f>
        <v>40096.493833662505</v>
      </c>
      <c r="BA45" s="20">
        <f>IF(tblData[Date]&gt;=StartDt2Korea,tblData[[#This Row],[SKorea LogiP(t)]]/$AZ$9,"")</f>
        <v>229.0352313762765</v>
      </c>
      <c r="BB45" s="11">
        <f>IF(ISNUMBER(tblData[Days'# UK]),betaUK/(deltaUK+betaPodeltaUK*EXP(-betaUK*tblData[Days'# UK])),"")</f>
        <v>15.438100752062947</v>
      </c>
      <c r="BC45" s="20">
        <f>IF(ISNUMBER(tblData[UK]),(tblData[[#This Row],[UK LogiP(t)]]-tblData[[#This Row],[UK]])^2,"")</f>
        <v>5.9443352772099098</v>
      </c>
      <c r="BD45" s="20">
        <f>IF(ISNUMBER(tblData[Days'# UK]),tblData[[#This Row],[UK LogiP(t)]]/$BC$9,"")</f>
        <v>2.3236154051870783</v>
      </c>
      <c r="BE45" s="11">
        <f>IF(ISNUMBER(tblData[Days'# China]),betaChina/(deltaChina+betaPodeltaChina*EXP(-betaChina*tblData[Days'# China])),"")</f>
        <v>78877.13157808414</v>
      </c>
      <c r="BF45" s="11">
        <f>IF(ISNUMBER(tblData[China]),(tblData[[#This Row],[China LogiP(t)]]-tblData[[#This Row],[China]])^2,"")</f>
        <v>1261424.5416897698</v>
      </c>
      <c r="BG45" s="11">
        <f>tblData[[#This Row],[China LogiP(t)]]/$BF$9</f>
        <v>548.01520612193474</v>
      </c>
      <c r="BH45" s="11">
        <f>IF(ISNUMBER(tblData[Day'# Singapore]),betaSingapore/(deltaSingapore+betaPodeltaSingapore*EXP(-betaSingapore*tblData[Day'# Singapore])),"")</f>
        <v>65.322796918367985</v>
      </c>
      <c r="BI45" s="11">
        <f>IF(AND(ISNUMBER(tblData[Singapore]),tblData[Date]&gt;=StartDt2Singapore),(tblData[[#This Row],[Singapore LogiP(t)]]-tblData[[#This Row],[Singapore]])^2,"")</f>
        <v>659.31875809537269</v>
      </c>
      <c r="BJ45" s="11">
        <f>IF(ISNUMBER(tblData[Day'# Singapore]),tblData[Singapore LogiP(t)]/$BI$9,"")</f>
        <v>111.66290071515895</v>
      </c>
      <c r="BK45" s="11">
        <f>IF(ISNUMBER(tblData[Day'# Generic]),betaGeneric/(deltaGeneric+betaPodeltaGeneric*EXP(-betaGeneric*tblData[Day'# Generic])),"")</f>
        <v>65708.507301779144</v>
      </c>
      <c r="BL45" s="11">
        <f>IF(AND(ISNUMBER(tblData[Generic]),tblData[Date]&gt;=StartDt2Generic),(tblData[Generic LogiP(t)]-tblData[[#This Row],[Generic]])^2,"")</f>
        <v>851019.72183583619</v>
      </c>
      <c r="BM45" s="11">
        <f>IF(ISNUMBER(tblData[Day'# Generic]),tblData[Generic LogiP(t)]/$BL$9,"")</f>
        <v>11232.223470389597</v>
      </c>
      <c r="BO45" s="11"/>
      <c r="BP45" s="11" t="str">
        <f>IF(ISNUMBER(tblData[[#This Row],[Tests]]),tblData[[#This Row],[Tests]]-BP44,"")</f>
        <v/>
      </c>
      <c r="BQ45" s="11" t="str">
        <f>IF(ISNUMBER(tblData[[#This Row],[NSW Under Investigation'']]),tblData[[#This Row],[NSW Under Investigation'']]-BO44,"")</f>
        <v/>
      </c>
      <c r="BR45" s="11"/>
      <c r="BS45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45" s="11" t="str">
        <f>IF(tblData[Tests]&gt;0,(tblData[[#This Row],[Tests]]-tblData[[#This Row],[NSW Test Logi]])^2,"")</f>
        <v/>
      </c>
      <c r="BU45" s="11" t="str">
        <f>IF(ISNUMBER(tblData[Tests]),tblData[Tests]/$BS$9/100,"")</f>
        <v/>
      </c>
      <c r="BV45" s="11" t="str">
        <f>IF(AND(tblData[[#This Row],[NSW Test Day Number]]&gt;0,ISNUMBER(tblData[[#This Row],[NSW Test Day Number]])),TestsLogestB*TestsLogestM^tblData[[#This Row],[NSW Test Day Number]],"")</f>
        <v/>
      </c>
      <c r="BW45" s="11" t="str">
        <f>IF(AND(tblData[[#This Row],[NSW Test Day Number]]&gt;0,ISNUMBER(tblData[Tests])),(tblData[Tests]-tblData[[#This Row],[NSW Test Per Capita]])^2,"")</f>
        <v/>
      </c>
      <c r="BX45" s="11"/>
      <c r="BY45" s="11"/>
      <c r="BZ45"/>
      <c r="CB45" s="25"/>
      <c r="CD45" s="25"/>
      <c r="CK45"/>
      <c r="CL45"/>
      <c r="CN45" s="25"/>
      <c r="CO45" s="25"/>
      <c r="CP45" s="25"/>
      <c r="DC45"/>
      <c r="DD45"/>
      <c r="DG45" s="25"/>
      <c r="DH45" s="25"/>
      <c r="DV45"/>
      <c r="DW45"/>
      <c r="DX45"/>
      <c r="DY45" s="25" t="s">
        <v>153</v>
      </c>
      <c r="DZ45" s="76">
        <v>43913.916145833333</v>
      </c>
      <c r="EA45" s="26">
        <v>43855</v>
      </c>
      <c r="EB45" s="26">
        <v>43855</v>
      </c>
      <c r="EC45" s="25">
        <v>1</v>
      </c>
      <c r="ED45" s="25">
        <v>0.19833894448440331</v>
      </c>
      <c r="EE45" s="25">
        <v>1.0000000000276037E-12</v>
      </c>
      <c r="EF45" s="25">
        <v>6.8604805376862562E-3</v>
      </c>
      <c r="EG45" s="95">
        <v>198338944478.92844</v>
      </c>
      <c r="EH45" s="25">
        <v>6.5477230241247009</v>
      </c>
      <c r="EI45" s="25">
        <v>28.910357429756317</v>
      </c>
      <c r="EJ45" s="97">
        <v>1.0000000000276037E-9</v>
      </c>
      <c r="EK45" s="26">
        <v>43913</v>
      </c>
      <c r="EL45" s="25" t="s">
        <v>1379</v>
      </c>
      <c r="EM45" s="25">
        <v>198338944478.92786</v>
      </c>
      <c r="EN45" s="98">
        <v>704</v>
      </c>
      <c r="EO45" s="25" t="s">
        <v>1380</v>
      </c>
      <c r="EP45" s="26">
        <v>43913</v>
      </c>
      <c r="EQ45" s="25">
        <v>59</v>
      </c>
      <c r="ER45" s="25" t="s">
        <v>1381</v>
      </c>
      <c r="ES45" s="25"/>
      <c r="ET45" s="25" t="s">
        <v>1382</v>
      </c>
      <c r="EU45" s="25"/>
      <c r="EV45" s="25" t="s">
        <v>1383</v>
      </c>
      <c r="EW45" s="25">
        <v>871.28712871287121</v>
      </c>
      <c r="EX45" s="82"/>
      <c r="EY45" s="25"/>
      <c r="EZ45" s="82"/>
      <c r="FB45" s="25" t="s">
        <v>1378</v>
      </c>
      <c r="FC45" s="25"/>
    </row>
    <row r="46" spans="2:159" x14ac:dyDescent="0.25">
      <c r="B46" s="1">
        <v>43887</v>
      </c>
      <c r="C46">
        <v>7</v>
      </c>
      <c r="D46" s="25">
        <v>0</v>
      </c>
      <c r="E46">
        <v>4</v>
      </c>
      <c r="F46">
        <v>0</v>
      </c>
      <c r="G46">
        <v>5</v>
      </c>
      <c r="H46">
        <v>2</v>
      </c>
      <c r="I46">
        <v>0</v>
      </c>
      <c r="J46">
        <v>4</v>
      </c>
      <c r="K46">
        <v>0</v>
      </c>
      <c r="L46" s="12">
        <f>IF(ISNUMBER(tblData[[#This Row],[NSW]]),tblData[[#This Row],[New South Wales]]/$L$9,"")</f>
        <v>4.9504950495049505</v>
      </c>
      <c r="M46" s="25">
        <v>453</v>
      </c>
      <c r="N46" s="124">
        <f>IF(ISNUMBER(tblData[Italy]),tblData[Italy]/$N$9,"")</f>
        <v>74.894601967429949</v>
      </c>
      <c r="O46">
        <v>57</v>
      </c>
      <c r="P46" s="124">
        <f>IF(ISNUMBER(tblData[US]),tblData[US]/$P$9,"")</f>
        <v>1.7313243094644886</v>
      </c>
      <c r="Q46">
        <v>1261</v>
      </c>
      <c r="R46" s="124">
        <f>IF(ISNUMBER(tblData[SKorea]),tblData[SKorea]/$R$9,"")</f>
        <v>245.33073929961091</v>
      </c>
      <c r="S46">
        <v>13</v>
      </c>
      <c r="T46" s="124">
        <f>IF(ISNUMBER(tblData[UK]),tblData[UK]/$T$9,"")</f>
        <v>1.9566526189042746</v>
      </c>
      <c r="U46">
        <v>78166</v>
      </c>
      <c r="V46" s="124">
        <f>IF(ISNUMBER(tblData[China]),tblData[China]/$V$9,"")</f>
        <v>543.07447221659743</v>
      </c>
      <c r="W46">
        <v>93</v>
      </c>
      <c r="X46" s="124">
        <f>IF(ISNUMBER(tblData[Singapore]),tblData[Singapore]/$X$9,"")</f>
        <v>158.97435897435898</v>
      </c>
      <c r="Y46">
        <v>65187</v>
      </c>
      <c r="Z46" s="20">
        <f>IF(AND(LEN(tblData[Generic])&gt;0,ISNUMBER(tblData[Generic])),tblData[Generic]/$Z$9,"")</f>
        <v>11143.076923076924</v>
      </c>
      <c r="AA46" s="25">
        <f>IF(tblData[[#This Row],[Date]]&lt;ItalyStart,"",tblData[[#This Row],[Date]]-ItalyStart)</f>
        <v>27</v>
      </c>
      <c r="AB46" s="25">
        <f>IF(tblData[[#This Row],[Date]]&lt;USStart,"",tblData[[#This Row],[Date]]-USStart)</f>
        <v>35</v>
      </c>
      <c r="AC46" s="25">
        <f>IF(tblData[[#This Row],[Date]]&lt;ChinaStart,"",tblData[[#This Row],[Date]]-ChinaStart)</f>
        <v>35</v>
      </c>
      <c r="AD46" s="25">
        <f>IF(tblData[[#This Row],[Date]]&lt;StartDt2Korea,"",tblData[[#This Row],[Date]]-StartDt2Korea)</f>
        <v>7</v>
      </c>
      <c r="AE46" s="25">
        <f>IF(tblData[[#This Row],[Date]]&lt;UKStart,"",tblData[[#This Row],[Date]]-UKStart)</f>
        <v>27</v>
      </c>
      <c r="AF46" s="25">
        <f>IF(tblData[[#This Row],[Date]]&lt;SingaporeStart,"",tblData[[#This Row],[Date]]-SingaporeStart)</f>
        <v>34</v>
      </c>
      <c r="AG46" s="25">
        <f>IF(tblData[[#This Row],[Date]]&lt;GenStart,"",tblData[[#This Row],[Date]]-GenStart)</f>
        <v>35</v>
      </c>
      <c r="AH46">
        <f>IF(tblData[Date]&gt;=StartDt2Au,tblData[Date]-StartDt2Au,"")</f>
        <v>32</v>
      </c>
      <c r="AI46" s="25">
        <f>IF(tblData[New South Wales]&gt;0,SUM(tblData[[#This Row],[Australian Capital Territory]:[Western Australia]]),"")</f>
        <v>15</v>
      </c>
      <c r="AJ46" s="12">
        <f>IF(ISNUMBER(tblData[Au]),tblData[Au]/$AE$9,"")</f>
        <v>5.9138937076170954</v>
      </c>
      <c r="AK46" s="19">
        <f>IF(ISNUMBER(tblData[[#This Row],[Day'# Aust]]),betaAu/(deltaAu+betaPodeltaAu*EXP(-betaAu*tblData[[#This Row],[Day'# Aust]])),"")</f>
        <v>3.1752627561181037</v>
      </c>
      <c r="AL46" s="66">
        <f>IF(ISNUMBER(tblData[Day'# Aust]),tblData[Au LogiP(t)]/$AJ$9,"")</f>
        <v>1.2518777622291846</v>
      </c>
      <c r="AM46" s="11">
        <f>IF(AND(tblData[Date]&gt;=StartDt2Au,ISNUMBER(tblData[NSW])),(tblData[[#This Row],[Au LogiP(t)]]-tblData[[#This Row],[Au]])^2,"")</f>
        <v>139.82441088684763</v>
      </c>
      <c r="AN46">
        <f>IF(tblData[Date]&gt;StartDt2NSW,tblData[Date]-StartDt2NSW,"")</f>
        <v>32</v>
      </c>
      <c r="AO46">
        <f t="shared" si="4"/>
        <v>4</v>
      </c>
      <c r="AP46" s="11">
        <f>IF(tblData[Date]&gt;StartDt2NSW,betaNSW/(deltaNSW+betaPodeltaNSW*EXP(-betaNSW*tblData[[#This Row],[Day '# NSW]])),"")</f>
        <v>3.3059703322541716</v>
      </c>
      <c r="AQ46" s="12">
        <f>IF(AND(ISNUMBER(tblData[NSW]),tblData[Date]&gt;StartDt2NSW),(tblData[[#This Row],[NSW LogiP(t)]]-tblData[[#This Row],[NSW]])^2,"")</f>
        <v>0.48167717971138496</v>
      </c>
      <c r="AR46" s="12">
        <f>IF(AND(tblData[Date]&gt;StartDt2NSW,ISNUMBER(tblData[Day'# Aust])),tblData[NSW LogiP(t)]/$AQ$9,"")</f>
        <v>4.0915474409086281</v>
      </c>
      <c r="AS46" s="11">
        <f>IF(AND(tblData[Date]&gt;StartDt2Italy,ISNUMBER(tblData[Days'# Italy])),betaItaly/(deltaItaly+betaPodeltaItaly*EXP(-betaItaly*tblData[Days'# Italy])),"")</f>
        <v>460.15135171528857</v>
      </c>
      <c r="AT46" s="11">
        <f>IF(AND(tblData[Date]&gt;StartDt2Italy,ISNUMBER(tblData[Italy])),(tblData[[#This Row],[Italy LogiP(t)]]-tblData[[#This Row],[Italy]])^2,"")</f>
        <v>51.141831355760772</v>
      </c>
      <c r="AU46" s="41">
        <f>IF(AND(tblData[Date]&gt;StartDt2Italy,ISNUMBER(tblData[Days'# Italy])),tblData[[#This Row],[Italy LogiP(t)]]/$AT$9,"")</f>
        <v>76.076936714109053</v>
      </c>
      <c r="AV46" s="20">
        <f>IF(ISNUMBER(tblData[[#This Row],[Days'# US]]),betaUS/(deltaUS+betaPodeltaUS*EXP(-betaUS*tblData[Days'# US])),"")</f>
        <v>37.307786283301567</v>
      </c>
      <c r="AW46" s="11">
        <f>IF(AND(tblData[Date]&gt;=StartDt2US,ISNUMBER(tblData[US])),(tblData[[#This Row],[US LogiP(t)]]-tblData[US])^2,"")</f>
        <v>387.7832810641259</v>
      </c>
      <c r="AX46" s="20">
        <f>IF(ISNUMBER(tblData[[#This Row],[Days'# US]]),tblData[[#This Row],[US LogiP(t)]]/$AW$9,"")</f>
        <v>1.1331908302558913</v>
      </c>
      <c r="AY46" s="20">
        <f>IF(tblData[Date]&gt;=StartDt2Korea,betaSKorea/(deltaSKorea+betaPodeltaSKorea*EXP(-betaSKorea*(tblData[Date]-StartDt2Korea))),"")</f>
        <v>1516.7895508043646</v>
      </c>
      <c r="AZ46" s="20">
        <f>IF(AND(tblData[Date]&gt;=StartDt2Korea,ISNUMBER(tblData[SKorea])),(tblData[[#This Row],[SKorea LogiP(t)]]-tblData[[#This Row],[SKorea]])^2,"")</f>
        <v>65428.29430069861</v>
      </c>
      <c r="BA46" s="20">
        <f>IF(tblData[Date]&gt;=StartDt2Korea,tblData[[#This Row],[SKorea LogiP(t)]]/$AZ$9,"")</f>
        <v>295.09524334715269</v>
      </c>
      <c r="BB46" s="11">
        <f>IF(ISNUMBER(tblData[Days'# UK]),betaUK/(deltaUK+betaPodeltaUK*EXP(-betaUK*tblData[Days'# UK])),"")</f>
        <v>19.570294450191433</v>
      </c>
      <c r="BC46" s="20">
        <f>IF(ISNUMBER(tblData[UK]),(tblData[[#This Row],[UK LogiP(t)]]-tblData[[#This Row],[UK]])^2,"")</f>
        <v>43.168769162216343</v>
      </c>
      <c r="BD46" s="20">
        <f>IF(ISNUMBER(tblData[Days'# UK]),tblData[[#This Row],[UK LogiP(t)]]/$BC$9,"")</f>
        <v>2.9455590683611428</v>
      </c>
      <c r="BE46" s="11">
        <f>IF(ISNUMBER(tblData[Days'# China]),betaChina/(deltaChina+betaPodeltaChina*EXP(-betaChina*tblData[Days'# China])),"")</f>
        <v>79294.129731930181</v>
      </c>
      <c r="BF46" s="11">
        <f>IF(ISNUMBER(tblData[China]),(tblData[[#This Row],[China LogiP(t)]]-tblData[[#This Row],[China]])^2,"")</f>
        <v>1272676.6920648625</v>
      </c>
      <c r="BG46" s="11">
        <f>tblData[[#This Row],[China LogiP(t)]]/$BF$9</f>
        <v>550.91238715096574</v>
      </c>
      <c r="BH46" s="11">
        <f>IF(ISNUMBER(tblData[Day'# Singapore]),betaSingapore/(deltaSingapore+betaPodeltaSingapore*EXP(-betaSingapore*tblData[Day'# Singapore])),"")</f>
        <v>70.373624229495235</v>
      </c>
      <c r="BI46" s="11">
        <f>IF(AND(ISNUMBER(tblData[Singapore]),tblData[Date]&gt;=StartDt2Singapore),(tblData[[#This Row],[Singapore LogiP(t)]]-tblData[[#This Row],[Singapore]])^2,"")</f>
        <v>511.95288050808512</v>
      </c>
      <c r="BJ46" s="11">
        <f>IF(ISNUMBER(tblData[Day'# Singapore]),tblData[Singapore LogiP(t)]/$BI$9,"")</f>
        <v>120.29679355469271</v>
      </c>
      <c r="BK46" s="11">
        <f>IF(ISNUMBER(tblData[Day'# Generic]),betaGeneric/(deltaGeneric+betaPodeltaGeneric*EXP(-betaGeneric*tblData[Day'# Generic])),"")</f>
        <v>66018.226908466706</v>
      </c>
      <c r="BL46" s="11">
        <f>IF(AND(ISNUMBER(tblData[Generic]),tblData[Date]&gt;=StartDt2Generic),(tblData[Generic LogiP(t)]-tblData[[#This Row],[Generic]])^2,"")</f>
        <v>690938.17335911747</v>
      </c>
      <c r="BM46" s="11">
        <f>IF(ISNUMBER(tblData[Day'# Generic]),tblData[Generic LogiP(t)]/$BL$9,"")</f>
        <v>11285.166992900293</v>
      </c>
      <c r="BO46" s="11"/>
      <c r="BP46" s="11" t="str">
        <f>IF(ISNUMBER(tblData[[#This Row],[Tests]]),tblData[[#This Row],[Tests]]-BP45,"")</f>
        <v/>
      </c>
      <c r="BQ46" s="11" t="str">
        <f>IF(ISNUMBER(tblData[[#This Row],[NSW Under Investigation'']]),tblData[[#This Row],[NSW Under Investigation'']]-BO45,"")</f>
        <v/>
      </c>
      <c r="BR46" s="11"/>
      <c r="BS46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46" s="11" t="str">
        <f>IF(tblData[Tests]&gt;0,(tblData[[#This Row],[Tests]]-tblData[[#This Row],[NSW Test Logi]])^2,"")</f>
        <v/>
      </c>
      <c r="BU46" s="11" t="str">
        <f>IF(ISNUMBER(tblData[Tests]),tblData[Tests]/$BS$9/100,"")</f>
        <v/>
      </c>
      <c r="BV46" s="11" t="str">
        <f>IF(AND(tblData[[#This Row],[NSW Test Day Number]]&gt;0,ISNUMBER(tblData[[#This Row],[NSW Test Day Number]])),TestsLogestB*TestsLogestM^tblData[[#This Row],[NSW Test Day Number]],"")</f>
        <v/>
      </c>
      <c r="BW46" s="11" t="str">
        <f>IF(AND(tblData[[#This Row],[NSW Test Day Number]]&gt;0,ISNUMBER(tblData[Tests])),(tblData[Tests]-tblData[[#This Row],[NSW Test Per Capita]])^2,"")</f>
        <v/>
      </c>
      <c r="BX46" s="11"/>
      <c r="BY46" s="11"/>
      <c r="BZ46"/>
      <c r="CB46" s="25"/>
      <c r="CD46" s="25"/>
      <c r="CK46"/>
      <c r="CL46"/>
      <c r="CN46" s="25"/>
      <c r="CO46" s="25"/>
      <c r="CP46" s="25"/>
      <c r="DC46"/>
      <c r="DD46"/>
      <c r="DG46" s="25"/>
      <c r="DH46" s="25"/>
      <c r="DV46"/>
      <c r="DW46"/>
      <c r="DX46"/>
      <c r="DY46" t="s">
        <v>153</v>
      </c>
      <c r="DZ46" s="76">
        <v>43914.307824074072</v>
      </c>
      <c r="EA46" s="26">
        <v>43855</v>
      </c>
      <c r="EB46" s="26">
        <v>43855</v>
      </c>
      <c r="EC46">
        <v>1</v>
      </c>
      <c r="ED46" s="25">
        <v>0.1983387068698996</v>
      </c>
      <c r="EE46" s="25">
        <v>1.0000000000276037E-12</v>
      </c>
      <c r="EF46" s="25">
        <v>6.8604801032473477E-3</v>
      </c>
      <c r="EG46" s="95">
        <v>198338706864.42471</v>
      </c>
      <c r="EH46" s="25">
        <v>6.5477226922036946</v>
      </c>
      <c r="EI46" s="25">
        <v>28.910324625241735</v>
      </c>
      <c r="EJ46" s="97">
        <v>1.0000000000276037E-9</v>
      </c>
      <c r="EK46" s="26">
        <v>43913</v>
      </c>
      <c r="EL46" s="25" t="s">
        <v>1379</v>
      </c>
      <c r="EM46" s="25">
        <v>198338706864.42416</v>
      </c>
      <c r="EN46" s="98">
        <v>704</v>
      </c>
      <c r="EO46" s="25" t="s">
        <v>1380</v>
      </c>
      <c r="EP46" s="26">
        <v>43913</v>
      </c>
      <c r="EQ46" s="25">
        <v>59</v>
      </c>
      <c r="ER46" s="25" t="s">
        <v>1381</v>
      </c>
      <c r="ET46" t="s">
        <v>1382</v>
      </c>
      <c r="EV46" t="s">
        <v>1383</v>
      </c>
      <c r="EW46">
        <v>871.28712871287121</v>
      </c>
      <c r="EX46" s="82"/>
      <c r="EZ46" s="82"/>
      <c r="FA46"/>
      <c r="FB46" t="s">
        <v>1378</v>
      </c>
      <c r="FC46" s="25"/>
    </row>
    <row r="47" spans="2:159" x14ac:dyDescent="0.25">
      <c r="B47" s="1">
        <v>43888</v>
      </c>
      <c r="C47">
        <v>8</v>
      </c>
      <c r="D47" s="25">
        <v>0</v>
      </c>
      <c r="E47">
        <v>4</v>
      </c>
      <c r="F47">
        <v>0</v>
      </c>
      <c r="G47">
        <v>5</v>
      </c>
      <c r="H47">
        <v>2</v>
      </c>
      <c r="I47">
        <v>0</v>
      </c>
      <c r="J47">
        <v>4</v>
      </c>
      <c r="K47">
        <v>0</v>
      </c>
      <c r="L47" s="12">
        <f>IF(ISNUMBER(tblData[[#This Row],[NSW]]),tblData[[#This Row],[New South Wales]]/$L$9,"")</f>
        <v>4.9504950495049505</v>
      </c>
      <c r="M47" s="25">
        <v>655</v>
      </c>
      <c r="N47" s="124">
        <f>IF(ISNUMBER(tblData[Italy]),tblData[Italy]/$N$9,"")</f>
        <v>108.29131189551129</v>
      </c>
      <c r="O47">
        <v>58</v>
      </c>
      <c r="P47" s="124">
        <f>IF(ISNUMBER(tblData[US]),tblData[US]/$P$9,"")</f>
        <v>1.761698420156848</v>
      </c>
      <c r="Q47">
        <v>1766</v>
      </c>
      <c r="R47" s="124">
        <f>IF(ISNUMBER(tblData[SKorea]),tblData[SKorea]/$R$9,"")</f>
        <v>343.579766536965</v>
      </c>
      <c r="S47">
        <v>15</v>
      </c>
      <c r="T47" s="124">
        <f>IF(ISNUMBER(tblData[UK]),tblData[UK]/$T$9,"")</f>
        <v>2.2576760987357014</v>
      </c>
      <c r="U47">
        <v>78600</v>
      </c>
      <c r="V47" s="124">
        <f>IF(ISNUMBER(tblData[China]),tblData[China]/$V$9,"")</f>
        <v>546.08977709265605</v>
      </c>
      <c r="W47">
        <v>93</v>
      </c>
      <c r="X47" s="124">
        <f>IF(ISNUMBER(tblData[Singapore]),tblData[Singapore]/$X$9,"")</f>
        <v>158.97435897435898</v>
      </c>
      <c r="Y47">
        <v>65596</v>
      </c>
      <c r="Z47" s="20">
        <f>IF(AND(LEN(tblData[Generic])&gt;0,ISNUMBER(tblData[Generic])),tblData[Generic]/$Z$9,"")</f>
        <v>11212.991452991453</v>
      </c>
      <c r="AA47" s="25">
        <f>IF(tblData[[#This Row],[Date]]&lt;ItalyStart,"",tblData[[#This Row],[Date]]-ItalyStart)</f>
        <v>28</v>
      </c>
      <c r="AB47" s="25">
        <f>IF(tblData[[#This Row],[Date]]&lt;USStart,"",tblData[[#This Row],[Date]]-USStart)</f>
        <v>36</v>
      </c>
      <c r="AC47" s="25">
        <f>IF(tblData[[#This Row],[Date]]&lt;ChinaStart,"",tblData[[#This Row],[Date]]-ChinaStart)</f>
        <v>36</v>
      </c>
      <c r="AD47" s="25">
        <f>IF(tblData[[#This Row],[Date]]&lt;StartDt2Korea,"",tblData[[#This Row],[Date]]-StartDt2Korea)</f>
        <v>8</v>
      </c>
      <c r="AE47" s="25">
        <f>IF(tblData[[#This Row],[Date]]&lt;UKStart,"",tblData[[#This Row],[Date]]-UKStart)</f>
        <v>28</v>
      </c>
      <c r="AF47" s="25">
        <f>IF(tblData[[#This Row],[Date]]&lt;SingaporeStart,"",tblData[[#This Row],[Date]]-SingaporeStart)</f>
        <v>35</v>
      </c>
      <c r="AG47" s="25">
        <f>IF(tblData[[#This Row],[Date]]&lt;GenStart,"",tblData[[#This Row],[Date]]-GenStart)</f>
        <v>36</v>
      </c>
      <c r="AH47">
        <f>IF(tblData[Date]&gt;=StartDt2Au,tblData[Date]-StartDt2Au,"")</f>
        <v>33</v>
      </c>
      <c r="AI47" s="25">
        <f>IF(tblData[New South Wales]&gt;0,SUM(tblData[[#This Row],[Australian Capital Territory]:[Western Australia]]),"")</f>
        <v>15</v>
      </c>
      <c r="AJ47" s="12">
        <f>IF(ISNUMBER(tblData[Au]),tblData[Au]/$AE$9,"")</f>
        <v>5.9138937076170954</v>
      </c>
      <c r="AK47" s="19">
        <f>IF(ISNUMBER(tblData[[#This Row],[Day'# Aust]]),betaAu/(deltaAu+betaPodeltaAu*EXP(-betaAu*tblData[[#This Row],[Day'# Aust]])),"")</f>
        <v>4.0847007725356503</v>
      </c>
      <c r="AL47" s="66">
        <f>IF(ISNUMBER(tblData[Day'# Aust]),tblData[Au LogiP(t)]/$AJ$9,"")</f>
        <v>1.610432413079818</v>
      </c>
      <c r="AM47" s="11">
        <f>IF(AND(tblData[Date]&gt;=StartDt2Au,ISNUMBER(tblData[NSW])),(tblData[[#This Row],[Au LogiP(t)]]-tblData[[#This Row],[Au]])^2,"")</f>
        <v>119.1437572250838</v>
      </c>
      <c r="AN47">
        <f>IF(tblData[Date]&gt;StartDt2NSW,tblData[Date]-StartDt2NSW,"")</f>
        <v>33</v>
      </c>
      <c r="AO47">
        <f t="shared" si="4"/>
        <v>4</v>
      </c>
      <c r="AP47" s="11">
        <f>IF(tblData[Date]&gt;StartDt2NSW,betaNSW/(deltaNSW+betaPodeltaNSW*EXP(-betaNSW*tblData[[#This Row],[Day '# NSW]])),"")</f>
        <v>4.0722905270142791</v>
      </c>
      <c r="AQ47" s="12">
        <f>IF(AND(ISNUMBER(tblData[NSW]),tblData[Date]&gt;StartDt2NSW),(tblData[[#This Row],[NSW LogiP(t)]]-tblData[[#This Row],[NSW]])^2,"")</f>
        <v>5.2259202960022125E-3</v>
      </c>
      <c r="AR47" s="12">
        <f>IF(AND(tblData[Date]&gt;StartDt2NSW,ISNUMBER(tblData[Day'# Aust])),tblData[NSW LogiP(t)]/$AQ$9,"")</f>
        <v>5.0399635235325233</v>
      </c>
      <c r="AS47" s="11">
        <f>IF(AND(tblData[Date]&gt;StartDt2Italy,ISNUMBER(tblData[Days'# Italy])),betaItaly/(deltaItaly+betaPodeltaItaly*EXP(-betaItaly*tblData[Days'# Italy])),"")</f>
        <v>594.25456563857256</v>
      </c>
      <c r="AT47" s="11">
        <f>IF(AND(tblData[Date]&gt;StartDt2Italy,ISNUMBER(tblData[Italy])),(tblData[[#This Row],[Italy LogiP(t)]]-tblData[[#This Row],[Italy]])^2,"")</f>
        <v>3690.0077957584899</v>
      </c>
      <c r="AU47" s="41">
        <f>IF(AND(tblData[Date]&gt;StartDt2Italy,ISNUMBER(tblData[Days'# Italy])),tblData[[#This Row],[Italy LogiP(t)]]/$AT$9,"")</f>
        <v>98.248254218165258</v>
      </c>
      <c r="AV47" s="20">
        <f>IF(ISNUMBER(tblData[[#This Row],[Days'# US]]),betaUS/(deltaUS+betaPodeltaUS*EXP(-betaUS*tblData[Days'# US])),"")</f>
        <v>49.228774630469843</v>
      </c>
      <c r="AW47" s="11">
        <f>IF(AND(tblData[Date]&gt;=StartDt2US,ISNUMBER(tblData[US])),(tblData[[#This Row],[US LogiP(t)]]-tblData[US])^2,"")</f>
        <v>76.934394483089434</v>
      </c>
      <c r="AX47" s="20">
        <f>IF(ISNUMBER(tblData[[#This Row],[Days'# US]]),tblData[[#This Row],[US LogiP(t)]]/$AW$9,"")</f>
        <v>1.4952802498751077</v>
      </c>
      <c r="AY47" s="20">
        <f>IF(tblData[Date]&gt;=StartDt2Korea,betaSKorea/(deltaSKorea+betaPodeltaSKorea*EXP(-betaSKorea*(tblData[Date]-StartDt2Korea))),"")</f>
        <v>1928.8499078635091</v>
      </c>
      <c r="AZ47" s="20">
        <f>IF(AND(tblData[Date]&gt;=StartDt2Korea,ISNUMBER(tblData[SKorea])),(tblData[[#This Row],[SKorea LogiP(t)]]-tblData[[#This Row],[SKorea]])^2,"")</f>
        <v>26520.092491153398</v>
      </c>
      <c r="BA47" s="20">
        <f>IF(tblData[Date]&gt;=StartDt2Korea,tblData[[#This Row],[SKorea LogiP(t)]]/$AZ$9,"")</f>
        <v>375.26262798900956</v>
      </c>
      <c r="BB47" s="11">
        <f>IF(ISNUMBER(tblData[Days'# UK]),betaUK/(deltaUK+betaPodeltaUK*EXP(-betaUK*tblData[Days'# UK])),"")</f>
        <v>24.80727315163832</v>
      </c>
      <c r="BC47" s="20">
        <f>IF(ISNUMBER(tblData[UK]),(tblData[[#This Row],[UK LogiP(t)]]-tblData[[#This Row],[UK]])^2,"")</f>
        <v>96.182606670845828</v>
      </c>
      <c r="BD47" s="20">
        <f>IF(ISNUMBER(tblData[Days'# UK]),tblData[[#This Row],[UK LogiP(t)]]/$BC$9,"")</f>
        <v>3.7337858446174472</v>
      </c>
      <c r="BE47" s="11">
        <f>IF(ISNUMBER(tblData[Days'# China]),betaChina/(deltaChina+betaPodeltaChina*EXP(-betaChina*tblData[Days'# China])),"")</f>
        <v>79631.254844704192</v>
      </c>
      <c r="BF47" s="11">
        <f>IF(ISNUMBER(tblData[China]),(tblData[[#This Row],[China LogiP(t)]]-tblData[[#This Row],[China]])^2,"")</f>
        <v>1063486.5547258668</v>
      </c>
      <c r="BG47" s="11">
        <f>tblData[[#This Row],[China LogiP(t)]]/$BF$9</f>
        <v>553.254633686425</v>
      </c>
      <c r="BH47" s="11">
        <f>IF(ISNUMBER(tblData[Day'# Singapore]),betaSingapore/(deltaSingapore+betaPodeltaSingapore*EXP(-betaSingapore*tblData[Day'# Singapore])),"")</f>
        <v>75.814986816274242</v>
      </c>
      <c r="BI47" s="11">
        <f>IF(AND(ISNUMBER(tblData[Singapore]),tblData[Date]&gt;=StartDt2Singapore),(tblData[[#This Row],[Singapore LogiP(t)]]-tblData[[#This Row],[Singapore]])^2,"")</f>
        <v>295.3246781248281</v>
      </c>
      <c r="BJ47" s="11">
        <f>IF(ISNUMBER(tblData[Day'# Singapore]),tblData[Singapore LogiP(t)]/$BI$9,"")</f>
        <v>129.59826806200726</v>
      </c>
      <c r="BK47" s="11">
        <f>IF(ISNUMBER(tblData[Day'# Generic]),betaGeneric/(deltaGeneric+betaPodeltaGeneric*EXP(-betaGeneric*tblData[Day'# Generic])),"")</f>
        <v>66268.96348672139</v>
      </c>
      <c r="BL47" s="11">
        <f>IF(AND(ISNUMBER(tblData[Generic]),tblData[Date]&gt;=StartDt2Generic),(tblData[Generic LogiP(t)]-tblData[[#This Row],[Generic]])^2,"")</f>
        <v>452879.85446021036</v>
      </c>
      <c r="BM47" s="11">
        <f>IF(ISNUMBER(tblData[Day'# Generic]),tblData[Generic LogiP(t)]/$BL$9,"")</f>
        <v>11328.027946448101</v>
      </c>
      <c r="BO47" s="11"/>
      <c r="BP47" s="11" t="str">
        <f>IF(ISNUMBER(tblData[[#This Row],[Tests]]),tblData[[#This Row],[Tests]]-BP46,"")</f>
        <v/>
      </c>
      <c r="BQ47" s="11" t="str">
        <f>IF(ISNUMBER(tblData[[#This Row],[NSW Under Investigation'']]),tblData[[#This Row],[NSW Under Investigation'']]-BO46,"")</f>
        <v/>
      </c>
      <c r="BR47" s="11"/>
      <c r="BS47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47" s="11" t="str">
        <f>IF(tblData[Tests]&gt;0,(tblData[[#This Row],[Tests]]-tblData[[#This Row],[NSW Test Logi]])^2,"")</f>
        <v/>
      </c>
      <c r="BU47" s="11" t="str">
        <f>IF(ISNUMBER(tblData[Tests]),tblData[Tests]/$BS$9/100,"")</f>
        <v/>
      </c>
      <c r="BV47" s="11" t="str">
        <f>IF(AND(tblData[[#This Row],[NSW Test Day Number]]&gt;0,ISNUMBER(tblData[[#This Row],[NSW Test Day Number]])),TestsLogestB*TestsLogestM^tblData[[#This Row],[NSW Test Day Number]],"")</f>
        <v/>
      </c>
      <c r="BW47" s="11" t="str">
        <f>IF(AND(tblData[[#This Row],[NSW Test Day Number]]&gt;0,ISNUMBER(tblData[Tests])),(tblData[Tests]-tblData[[#This Row],[NSW Test Per Capita]])^2,"")</f>
        <v/>
      </c>
      <c r="BX47" s="11"/>
      <c r="BY47" s="11"/>
      <c r="BZ47"/>
      <c r="CB47" s="25"/>
      <c r="CD47" s="25"/>
      <c r="CK47"/>
      <c r="CL47"/>
      <c r="CN47" s="25"/>
      <c r="CO47" s="25"/>
      <c r="CP47" s="25"/>
      <c r="DC47"/>
      <c r="DD47"/>
      <c r="DG47" s="25"/>
      <c r="DH47" s="25"/>
      <c r="DV47"/>
      <c r="DW47"/>
      <c r="DX47"/>
      <c r="DY47" s="26" t="s">
        <v>153</v>
      </c>
      <c r="DZ47" s="76">
        <v>43914.450960648152</v>
      </c>
      <c r="EA47" s="26">
        <v>43855</v>
      </c>
      <c r="EB47" s="26">
        <v>43855</v>
      </c>
      <c r="EC47">
        <v>1</v>
      </c>
      <c r="ED47" s="25">
        <v>0.19833870533418094</v>
      </c>
      <c r="EE47" s="25">
        <v>1.448335037648097E-6</v>
      </c>
      <c r="EF47" s="25">
        <v>6.8604800987280834E-3</v>
      </c>
      <c r="EG47" s="95">
        <v>136942.55830215677</v>
      </c>
      <c r="EH47" s="25">
        <v>6.5849197221904419</v>
      </c>
      <c r="EI47" s="25">
        <v>28.910322972102019</v>
      </c>
      <c r="EJ47" s="97">
        <v>1.4483350376480969E-3</v>
      </c>
      <c r="EK47" s="26">
        <v>43914</v>
      </c>
      <c r="EL47" s="25" t="s">
        <v>1404</v>
      </c>
      <c r="EM47" s="25">
        <v>136942.55830215677</v>
      </c>
      <c r="EN47" s="98">
        <v>818</v>
      </c>
      <c r="EO47" t="s">
        <v>1405</v>
      </c>
      <c r="EP47" s="26">
        <v>43914</v>
      </c>
      <c r="EQ47" s="25">
        <v>60</v>
      </c>
      <c r="ER47" s="25" t="s">
        <v>1406</v>
      </c>
      <c r="ET47" t="s">
        <v>1407</v>
      </c>
      <c r="EV47" s="82" t="s">
        <v>1408</v>
      </c>
      <c r="EW47" s="25">
        <v>1012.3762376237623</v>
      </c>
      <c r="EX47" s="82"/>
      <c r="EY47" s="25"/>
      <c r="EZ47" s="25"/>
      <c r="FB47" t="s">
        <v>1403</v>
      </c>
      <c r="FC47" s="25"/>
    </row>
    <row r="48" spans="2:159" x14ac:dyDescent="0.25">
      <c r="B48" s="1">
        <v>43889</v>
      </c>
      <c r="C48">
        <v>8</v>
      </c>
      <c r="D48" s="25">
        <v>0</v>
      </c>
      <c r="E48">
        <v>4</v>
      </c>
      <c r="F48">
        <v>0</v>
      </c>
      <c r="G48">
        <v>5</v>
      </c>
      <c r="H48">
        <v>2</v>
      </c>
      <c r="I48">
        <v>0</v>
      </c>
      <c r="J48">
        <v>4</v>
      </c>
      <c r="K48">
        <v>0</v>
      </c>
      <c r="L48" s="12">
        <f>IF(ISNUMBER(tblData[[#This Row],[NSW]]),tblData[[#This Row],[New South Wales]]/$L$9,"")</f>
        <v>4.9504950495049505</v>
      </c>
      <c r="M48" s="25">
        <v>888</v>
      </c>
      <c r="N48" s="124">
        <f>IF(ISNUMBER(tblData[Italy]),tblData[Italy]/$N$9,"")</f>
        <v>146.81325948582293</v>
      </c>
      <c r="O48">
        <v>60</v>
      </c>
      <c r="P48" s="124">
        <f>IF(ISNUMBER(tblData[US]),tblData[US]/$P$9,"")</f>
        <v>1.822446641541567</v>
      </c>
      <c r="Q48">
        <v>2337</v>
      </c>
      <c r="R48" s="124">
        <f>IF(ISNUMBER(tblData[SKorea]),tblData[SKorea]/$R$9,"")</f>
        <v>454.66926070038915</v>
      </c>
      <c r="S48">
        <v>20</v>
      </c>
      <c r="T48" s="124">
        <f>IF(ISNUMBER(tblData[UK]),tblData[UK]/$T$9,"")</f>
        <v>3.0102347983142685</v>
      </c>
      <c r="U48">
        <v>78928</v>
      </c>
      <c r="V48" s="124">
        <f>IF(ISNUMBER(tblData[China]),tblData[China]/$V$9,"")</f>
        <v>548.36862501741928</v>
      </c>
      <c r="W48">
        <v>93</v>
      </c>
      <c r="X48" s="124">
        <f>IF(ISNUMBER(tblData[Singapore]),tblData[Singapore]/$X$9,"")</f>
        <v>158.97435897435898</v>
      </c>
      <c r="Y48">
        <v>65914</v>
      </c>
      <c r="Z48" s="20">
        <f>IF(AND(LEN(tblData[Generic])&gt;0,ISNUMBER(tblData[Generic])),tblData[Generic]/$Z$9,"")</f>
        <v>11267.350427350428</v>
      </c>
      <c r="AA48" s="25">
        <f>IF(tblData[[#This Row],[Date]]&lt;ItalyStart,"",tblData[[#This Row],[Date]]-ItalyStart)</f>
        <v>29</v>
      </c>
      <c r="AB48" s="25">
        <f>IF(tblData[[#This Row],[Date]]&lt;USStart,"",tblData[[#This Row],[Date]]-USStart)</f>
        <v>37</v>
      </c>
      <c r="AC48" s="25">
        <f>IF(tblData[[#This Row],[Date]]&lt;ChinaStart,"",tblData[[#This Row],[Date]]-ChinaStart)</f>
        <v>37</v>
      </c>
      <c r="AD48" s="25">
        <f>IF(tblData[[#This Row],[Date]]&lt;StartDt2Korea,"",tblData[[#This Row],[Date]]-StartDt2Korea)</f>
        <v>9</v>
      </c>
      <c r="AE48" s="25">
        <f>IF(tblData[[#This Row],[Date]]&lt;UKStart,"",tblData[[#This Row],[Date]]-UKStart)</f>
        <v>29</v>
      </c>
      <c r="AF48" s="25">
        <f>IF(tblData[[#This Row],[Date]]&lt;SingaporeStart,"",tblData[[#This Row],[Date]]-SingaporeStart)</f>
        <v>36</v>
      </c>
      <c r="AG48" s="25">
        <f>IF(tblData[[#This Row],[Date]]&lt;GenStart,"",tblData[[#This Row],[Date]]-GenStart)</f>
        <v>37</v>
      </c>
      <c r="AH48">
        <f>IF(tblData[Date]&gt;=StartDt2Au,tblData[Date]-StartDt2Au,"")</f>
        <v>34</v>
      </c>
      <c r="AI48" s="25">
        <f>IF(tblData[New South Wales]&gt;0,SUM(tblData[[#This Row],[Australian Capital Territory]:[Western Australia]]),"")</f>
        <v>15</v>
      </c>
      <c r="AJ48" s="12">
        <f>IF(ISNUMBER(tblData[Au]),tblData[Au]/$AE$9,"")</f>
        <v>5.9138937076170954</v>
      </c>
      <c r="AK48" s="19">
        <f>IF(ISNUMBER(tblData[[#This Row],[Day'# Aust]]),betaAu/(deltaAu+betaPodeltaAu*EXP(-betaAu*tblData[[#This Row],[Day'# Aust]])),"")</f>
        <v>5.2544194877767616</v>
      </c>
      <c r="AL48" s="66">
        <f>IF(ISNUMBER(tblData[Day'# Aust]),tblData[Au LogiP(t)]/$AJ$9,"")</f>
        <v>2.0716052230629085</v>
      </c>
      <c r="AM48" s="11">
        <f>IF(AND(tblData[Date]&gt;=StartDt2Au,ISNUMBER(tblData[NSW])),(tblData[[#This Row],[Au LogiP(t)]]-tblData[[#This Row],[Au]])^2,"")</f>
        <v>94.976339520225352</v>
      </c>
      <c r="AN48" s="25">
        <f>IF(tblData[Date]&gt;StartDt2NSW,tblData[Date]-StartDt2NSW,"")</f>
        <v>34</v>
      </c>
      <c r="AO48">
        <f t="shared" si="4"/>
        <v>4</v>
      </c>
      <c r="AP48" s="11">
        <f>IF(tblData[Date]&gt;StartDt2NSW,betaNSW/(deltaNSW+betaPodeltaNSW*EXP(-betaNSW*tblData[[#This Row],[Day '# NSW]])),"")</f>
        <v>5.0161500294354342</v>
      </c>
      <c r="AQ48" s="12">
        <f>IF(AND(ISNUMBER(tblData[NSW]),tblData[Date]&gt;StartDt2NSW),(tblData[[#This Row],[NSW LogiP(t)]]-tblData[[#This Row],[NSW]])^2,"")</f>
        <v>1.0325608823216339</v>
      </c>
      <c r="AR48" s="12">
        <f>IF(AND(tblData[Date]&gt;StartDt2NSW,ISNUMBER(tblData[Day'# Aust])),tblData[NSW LogiP(t)]/$AQ$9,"")</f>
        <v>6.208106472073557</v>
      </c>
      <c r="AS48" s="11">
        <f>IF(AND(tblData[Date]&gt;StartDt2Italy,ISNUMBER(tblData[Days'# Italy])),betaItaly/(deltaItaly+betaPodeltaItaly*EXP(-betaItaly*tblData[Days'# Italy])),"")</f>
        <v>767.04332071747785</v>
      </c>
      <c r="AT48" s="11">
        <f>IF(AND(tblData[Date]&gt;StartDt2Italy,ISNUMBER(tblData[Italy])),(tblData[[#This Row],[Italy LogiP(t)]]-tblData[[#This Row],[Italy]])^2,"")</f>
        <v>14630.518263054922</v>
      </c>
      <c r="AU48" s="41">
        <f>IF(AND(tblData[Date]&gt;StartDt2Italy,ISNUMBER(tblData[Days'# Italy])),tblData[[#This Row],[Italy LogiP(t)]]/$AT$9,"")</f>
        <v>126.81546180333602</v>
      </c>
      <c r="AV48" s="20">
        <f>IF(ISNUMBER(tblData[[#This Row],[Days'# US]]),betaUS/(deltaUS+betaPodeltaUS*EXP(-betaUS*tblData[Days'# US])),"")</f>
        <v>64.957565586344444</v>
      </c>
      <c r="AW48" s="11">
        <f>IF(AND(tblData[Date]&gt;=StartDt2US,ISNUMBER(tblData[US])),(tblData[[#This Row],[US LogiP(t)]]-tblData[US])^2,"")</f>
        <v>24.577456542906731</v>
      </c>
      <c r="AX48" s="20">
        <f>IF(ISNUMBER(tblData[[#This Row],[Days'# US]]),tblData[[#This Row],[US LogiP(t)]]/$AW$9,"")</f>
        <v>1.9730282874258249</v>
      </c>
      <c r="AY48" s="20">
        <f>IF(tblData[Date]&gt;=StartDt2Korea,betaSKorea/(deltaSKorea+betaPodeltaSKorea*EXP(-betaSKorea*(tblData[Date]-StartDt2Korea))),"")</f>
        <v>2414.7314337268017</v>
      </c>
      <c r="AZ48" s="20">
        <f>IF(AND(tblData[Date]&gt;=StartDt2Korea,ISNUMBER(tblData[SKorea])),(tblData[[#This Row],[SKorea LogiP(t)]]-tblData[[#This Row],[SKorea]])^2,"")</f>
        <v>6042.175789224164</v>
      </c>
      <c r="BA48" s="20">
        <f>IF(tblData[Date]&gt;=StartDt2Korea,tblData[[#This Row],[SKorea LogiP(t)]]/$AZ$9,"")</f>
        <v>469.79210772894976</v>
      </c>
      <c r="BB48" s="11">
        <f>IF(ISNUMBER(tblData[Days'# UK]),betaUK/(deltaUK+betaPodeltaUK*EXP(-betaUK*tblData[Days'# UK])),"")</f>
        <v>31.443656592922249</v>
      </c>
      <c r="BC48" s="20">
        <f>IF(ISNUMBER(tblData[UK]),(tblData[[#This Row],[UK LogiP(t)]]-tblData[[#This Row],[UK]])^2,"")</f>
        <v>130.95727621673285</v>
      </c>
      <c r="BD48" s="20">
        <f>IF(ISNUMBER(tblData[Days'# UK]),tblData[[#This Row],[UK LogiP(t)]]/$BC$9,"")</f>
        <v>4.7326394631129212</v>
      </c>
      <c r="BE48" s="11">
        <f>IF(ISNUMBER(tblData[Days'# China]),betaChina/(deltaChina+betaPodeltaChina*EXP(-betaChina*tblData[Days'# China])),"")</f>
        <v>79903.298937354091</v>
      </c>
      <c r="BF48" s="11">
        <f>IF(ISNUMBER(tblData[China]),(tblData[[#This Row],[China LogiP(t)]]-tblData[[#This Row],[China]])^2,"")</f>
        <v>951208.01720401971</v>
      </c>
      <c r="BG48" s="11">
        <f>tblData[[#This Row],[China LogiP(t)]]/$BF$9</f>
        <v>555.14471635709356</v>
      </c>
      <c r="BH48" s="11">
        <f>IF(ISNUMBER(tblData[Day'# Singapore]),betaSingapore/(deltaSingapore+betaPodeltaSingapore*EXP(-betaSingapore*tblData[Day'# Singapore])),"")</f>
        <v>81.6770812765713</v>
      </c>
      <c r="BI48" s="11">
        <f>IF(AND(ISNUMBER(tblData[Singapore]),tblData[Date]&gt;=StartDt2Singapore),(tblData[[#This Row],[Singapore LogiP(t)]]-tblData[[#This Row],[Singapore]])^2,"")</f>
        <v>128.20848841737222</v>
      </c>
      <c r="BJ48" s="11">
        <f>IF(ISNUMBER(tblData[Day'# Singapore]),tblData[Singapore LogiP(t)]/$BI$9,"")</f>
        <v>139.61894235311334</v>
      </c>
      <c r="BK48" s="11">
        <f>IF(ISNUMBER(tblData[Day'# Generic]),betaGeneric/(deltaGeneric+betaPodeltaGeneric*EXP(-betaGeneric*tblData[Day'# Generic])),"")</f>
        <v>66471.61529842946</v>
      </c>
      <c r="BL48" s="11">
        <f>IF(AND(ISNUMBER(tblData[Generic]),tblData[Date]&gt;=StartDt2Generic),(tblData[Generic LogiP(t)]-tblData[[#This Row],[Generic]])^2,"")</f>
        <v>310934.82104257616</v>
      </c>
      <c r="BM48" s="11">
        <f>IF(ISNUMBER(tblData[Day'# Generic]),tblData[Generic LogiP(t)]/$BL$9,"")</f>
        <v>11362.669281782815</v>
      </c>
      <c r="BO48" s="11"/>
      <c r="BP48" s="11" t="str">
        <f>IF(ISNUMBER(tblData[[#This Row],[Tests]]),tblData[[#This Row],[Tests]]-BP47,"")</f>
        <v/>
      </c>
      <c r="BQ48" s="11" t="str">
        <f>IF(ISNUMBER(tblData[[#This Row],[NSW Under Investigation'']]),tblData[[#This Row],[NSW Under Investigation'']]-BO47,"")</f>
        <v/>
      </c>
      <c r="BR48" s="11"/>
      <c r="BS48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48" s="11" t="str">
        <f>IF(tblData[Tests]&gt;0,(tblData[[#This Row],[Tests]]-tblData[[#This Row],[NSW Test Logi]])^2,"")</f>
        <v/>
      </c>
      <c r="BU48" s="11" t="str">
        <f>IF(ISNUMBER(tblData[Tests]),tblData[Tests]/$BS$9/100,"")</f>
        <v/>
      </c>
      <c r="BV48" s="11" t="str">
        <f>IF(AND(tblData[[#This Row],[NSW Test Day Number]]&gt;0,ISNUMBER(tblData[[#This Row],[NSW Test Day Number]])),TestsLogestB*TestsLogestM^tblData[[#This Row],[NSW Test Day Number]],"")</f>
        <v/>
      </c>
      <c r="BW48" s="11" t="str">
        <f>IF(AND(tblData[[#This Row],[NSW Test Day Number]]&gt;0,ISNUMBER(tblData[Tests])),(tblData[Tests]-tblData[[#This Row],[NSW Test Per Capita]])^2,"")</f>
        <v/>
      </c>
      <c r="BX48" s="11"/>
      <c r="BY48" s="11"/>
      <c r="BZ48"/>
      <c r="CB48" s="25"/>
      <c r="CD48" s="25"/>
      <c r="CK48"/>
      <c r="CL48"/>
      <c r="CN48" s="25"/>
      <c r="CO48" s="25"/>
      <c r="CP48" s="25"/>
      <c r="DC48"/>
      <c r="DD48"/>
      <c r="DG48" s="25"/>
      <c r="DH48" s="25"/>
      <c r="DV48"/>
      <c r="DW48"/>
      <c r="DX48"/>
      <c r="DY48" s="26" t="s">
        <v>153</v>
      </c>
      <c r="DZ48" s="76">
        <v>43915.843715277777</v>
      </c>
      <c r="EA48" s="26">
        <v>43855</v>
      </c>
      <c r="EB48" s="26">
        <v>43855</v>
      </c>
      <c r="EC48">
        <v>1</v>
      </c>
      <c r="ED48" s="25">
        <v>0.19809310308987077</v>
      </c>
      <c r="EE48" s="25">
        <v>1.0000000000276037E-12</v>
      </c>
      <c r="EF48" s="25">
        <v>7.0703096258903893E-3</v>
      </c>
      <c r="EG48" s="95">
        <v>198093103084.40268</v>
      </c>
      <c r="EH48" s="25">
        <v>15.318740634164564</v>
      </c>
      <c r="EI48" s="25">
        <v>28.017599450592257</v>
      </c>
      <c r="EJ48" s="97">
        <v>1.0000000000276037E-9</v>
      </c>
      <c r="EK48" s="26">
        <v>43915</v>
      </c>
      <c r="EL48" s="26" t="s">
        <v>1379</v>
      </c>
      <c r="EM48" s="25">
        <v>198093103084.40207</v>
      </c>
      <c r="EN48" s="25">
        <v>1029</v>
      </c>
      <c r="EO48" s="98" t="s">
        <v>1380</v>
      </c>
      <c r="EP48" s="26">
        <v>43915</v>
      </c>
      <c r="EQ48" s="25">
        <v>61</v>
      </c>
      <c r="ER48" s="25" t="s">
        <v>1381</v>
      </c>
      <c r="ET48" t="s">
        <v>1382</v>
      </c>
      <c r="EV48" t="s">
        <v>1777</v>
      </c>
      <c r="EW48" s="82">
        <v>1273.5148514851485</v>
      </c>
      <c r="EX48" s="25"/>
      <c r="EY48" s="82"/>
      <c r="EZ48" s="25"/>
      <c r="FA48"/>
      <c r="FB48" t="s">
        <v>1776</v>
      </c>
      <c r="FC48" s="25"/>
    </row>
    <row r="49" spans="2:194" x14ac:dyDescent="0.25">
      <c r="B49" s="1">
        <v>43890</v>
      </c>
      <c r="C49">
        <v>0</v>
      </c>
      <c r="D49" s="25">
        <v>0</v>
      </c>
      <c r="E49">
        <v>4</v>
      </c>
      <c r="F49">
        <v>0</v>
      </c>
      <c r="G49">
        <v>9</v>
      </c>
      <c r="H49">
        <v>3</v>
      </c>
      <c r="I49">
        <v>0</v>
      </c>
      <c r="J49">
        <v>7</v>
      </c>
      <c r="K49">
        <v>2</v>
      </c>
      <c r="L49" s="12">
        <f>IF(ISNUMBER(tblData[[#This Row],[NSW]]),tblData[[#This Row],[New South Wales]]/$L$9,"")</f>
        <v>4.9504950495049505</v>
      </c>
      <c r="M49" s="25">
        <v>1128</v>
      </c>
      <c r="N49" s="124">
        <f>IF(ISNUMBER(tblData[Italy]),tblData[Italy]/$N$9,"")</f>
        <v>186.49251880631562</v>
      </c>
      <c r="O49">
        <v>68</v>
      </c>
      <c r="P49" s="124">
        <f>IF(ISNUMBER(tblData[US]),tblData[US]/$P$9,"")</f>
        <v>2.0654395270804424</v>
      </c>
      <c r="Q49">
        <v>3150</v>
      </c>
      <c r="R49" s="124">
        <f>IF(ISNUMBER(tblData[SKorea]),tblData[SKorea]/$R$9,"")</f>
        <v>612.84046692607012</v>
      </c>
      <c r="S49">
        <v>23</v>
      </c>
      <c r="T49" s="124">
        <f>IF(ISNUMBER(tblData[UK]),tblData[UK]/$T$9,"")</f>
        <v>3.4617700180614088</v>
      </c>
      <c r="U49">
        <v>79356</v>
      </c>
      <c r="V49" s="124">
        <f>IF(ISNUMBER(tblData[China]),tblData[China]/$V$9,"")</f>
        <v>551.34224365095179</v>
      </c>
      <c r="W49">
        <v>102</v>
      </c>
      <c r="X49" s="124">
        <f>IF(ISNUMBER(tblData[Singapore]),tblData[Singapore]/$X$9,"")</f>
        <v>174.35897435897436</v>
      </c>
      <c r="Y49">
        <v>66337</v>
      </c>
      <c r="Z49" s="20">
        <f>IF(AND(LEN(tblData[Generic])&gt;0,ISNUMBER(tblData[Generic])),tblData[Generic]/$Z$9,"")</f>
        <v>11339.658119658121</v>
      </c>
      <c r="AA49" s="25">
        <f>IF(tblData[[#This Row],[Date]]&lt;ItalyStart,"",tblData[[#This Row],[Date]]-ItalyStart)</f>
        <v>30</v>
      </c>
      <c r="AB49" s="25">
        <f>IF(tblData[[#This Row],[Date]]&lt;USStart,"",tblData[[#This Row],[Date]]-USStart)</f>
        <v>38</v>
      </c>
      <c r="AC49" s="25">
        <f>IF(tblData[[#This Row],[Date]]&lt;ChinaStart,"",tblData[[#This Row],[Date]]-ChinaStart)</f>
        <v>38</v>
      </c>
      <c r="AD49" s="25">
        <f>IF(tblData[[#This Row],[Date]]&lt;StartDt2Korea,"",tblData[[#This Row],[Date]]-StartDt2Korea)</f>
        <v>10</v>
      </c>
      <c r="AE49" s="25">
        <f>IF(tblData[[#This Row],[Date]]&lt;UKStart,"",tblData[[#This Row],[Date]]-UKStart)</f>
        <v>30</v>
      </c>
      <c r="AF49" s="25">
        <f>IF(tblData[[#This Row],[Date]]&lt;SingaporeStart,"",tblData[[#This Row],[Date]]-SingaporeStart)</f>
        <v>37</v>
      </c>
      <c r="AG49" s="25">
        <f>IF(tblData[[#This Row],[Date]]&lt;GenStart,"",tblData[[#This Row],[Date]]-GenStart)</f>
        <v>38</v>
      </c>
      <c r="AH49">
        <f>IF(tblData[Date]&gt;=StartDt2Au,tblData[Date]-StartDt2Au,"")</f>
        <v>35</v>
      </c>
      <c r="AI49" s="25">
        <f>IF(tblData[New South Wales]&gt;0,SUM(tblData[[#This Row],[Australian Capital Territory]:[Western Australia]]),"")</f>
        <v>25</v>
      </c>
      <c r="AJ49" s="12">
        <f>IF(ISNUMBER(tblData[Au]),tblData[Au]/$AE$9,"")</f>
        <v>9.856489512695159</v>
      </c>
      <c r="AK49" s="19">
        <f>IF(ISNUMBER(tblData[[#This Row],[Day'# Aust]]),betaAu/(deltaAu+betaPodeltaAu*EXP(-betaAu*tblData[[#This Row],[Day'# Aust]])),"")</f>
        <v>6.7587837324366307</v>
      </c>
      <c r="AL49" s="66">
        <f>IF(ISNUMBER(tblData[Day'# Aust]),tblData[Au LogiP(t)]/$AJ$9,"")</f>
        <v>2.6647152390934514</v>
      </c>
      <c r="AM49" s="11">
        <f>IF(AND(tblData[Date]&gt;=StartDt2Au,ISNUMBER(tblData[NSW])),(tblData[[#This Row],[Au LogiP(t)]]-tblData[[#This Row],[Au]])^2,"")</f>
        <v>332.74197092001856</v>
      </c>
      <c r="AN49" s="25">
        <f>IF(tblData[Date]&gt;StartDt2NSW,tblData[Date]-StartDt2NSW,"")</f>
        <v>35</v>
      </c>
      <c r="AO49">
        <f t="shared" si="4"/>
        <v>4</v>
      </c>
      <c r="AP49" s="11">
        <f>IF(tblData[Date]&gt;StartDt2NSW,betaNSW/(deltaNSW+betaPodeltaNSW*EXP(-betaNSW*tblData[[#This Row],[Day '# NSW]])),"")</f>
        <v>6.1786327192843906</v>
      </c>
      <c r="AQ49" s="12">
        <f>IF(AND(ISNUMBER(tblData[NSW]),tblData[Date]&gt;StartDt2NSW),(tblData[[#This Row],[NSW LogiP(t)]]-tblData[[#This Row],[NSW]])^2,"")</f>
        <v>4.7464405255364985</v>
      </c>
      <c r="AR49" s="12">
        <f>IF(AND(tblData[Date]&gt;StartDt2NSW,ISNUMBER(tblData[Day'# Aust])),tblData[NSW LogiP(t)]/$AQ$9,"")</f>
        <v>7.6468226723816715</v>
      </c>
      <c r="AS49" s="11">
        <f>IF(AND(tblData[Date]&gt;StartDt2Italy,ISNUMBER(tblData[Days'# Italy])),betaItaly/(deltaItaly+betaPodeltaItaly*EXP(-betaItaly*tblData[Days'# Italy])),"")</f>
        <v>989.41438040196897</v>
      </c>
      <c r="AT49" s="11">
        <f>IF(AND(tblData[Date]&gt;StartDt2Italy,ISNUMBER(tblData[Italy])),(tblData[[#This Row],[Italy LogiP(t)]]-tblData[[#This Row],[Italy]])^2,"")</f>
        <v>19205.973959370163</v>
      </c>
      <c r="AU49" s="41">
        <f>IF(AND(tblData[Date]&gt;StartDt2Italy,ISNUMBER(tblData[Days'# Italy])),tblData[[#This Row],[Italy LogiP(t)]]/$AT$9,"")</f>
        <v>163.58012406414301</v>
      </c>
      <c r="AV49" s="20">
        <f>IF(ISNUMBER(tblData[[#This Row],[Days'# US]]),betaUS/(deltaUS+betaPodeltaUS*EXP(-betaUS*tblData[Days'# US])),"")</f>
        <v>85.709468912341762</v>
      </c>
      <c r="AW49" s="11">
        <f>IF(AND(tblData[Date]&gt;=StartDt2US,ISNUMBER(tblData[US])),(tblData[[#This Row],[US LogiP(t)]]-tblData[US])^2,"")</f>
        <v>313.62528915719935</v>
      </c>
      <c r="AX49" s="20">
        <f>IF(ISNUMBER(tblData[[#This Row],[Days'# US]]),tblData[[#This Row],[US LogiP(t)]]/$AW$9,"")</f>
        <v>2.6033488961268096</v>
      </c>
      <c r="AY49" s="20">
        <f>IF(tblData[Date]&gt;=StartDt2Korea,betaSKorea/(deltaSKorea+betaPodeltaSKorea*EXP(-betaSKorea*(tblData[Date]-StartDt2Korea))),"")</f>
        <v>2968.6046433350416</v>
      </c>
      <c r="AZ49" s="20">
        <f>IF(AND(tblData[Date]&gt;=StartDt2Korea,ISNUMBER(tblData[SKorea])),(tblData[[#This Row],[SKorea LogiP(t)]]-tblData[[#This Row],[SKorea]])^2,"")</f>
        <v>32904.275419607467</v>
      </c>
      <c r="BA49" s="20">
        <f>IF(tblData[Date]&gt;=StartDt2Korea,tblData[[#This Row],[SKorea LogiP(t)]]/$AZ$9,"")</f>
        <v>577.54954150487197</v>
      </c>
      <c r="BB49" s="11">
        <f>IF(ISNUMBER(tblData[Days'# UK]),betaUK/(deltaUK+betaPodeltaUK*EXP(-betaUK*tblData[Days'# UK])),"")</f>
        <v>39.852174280807631</v>
      </c>
      <c r="BC49" s="20">
        <f>IF(ISNUMBER(tblData[UK]),(tblData[[#This Row],[UK LogiP(t)]]-tblData[[#This Row],[UK]])^2,"")</f>
        <v>283.9957779907142</v>
      </c>
      <c r="BD49" s="20">
        <f>IF(ISNUMBER(tblData[Days'# UK]),tblData[[#This Row],[UK LogiP(t)]]/$BC$9,"")</f>
        <v>5.9982200904286014</v>
      </c>
      <c r="BE49" s="11">
        <f>IF(ISNUMBER(tblData[Days'# China]),betaChina/(deltaChina+betaPodeltaChina*EXP(-betaChina*tblData[Days'# China])),"")</f>
        <v>80122.496001082516</v>
      </c>
      <c r="BF49" s="11">
        <f>IF(ISNUMBER(tblData[China]),(tblData[[#This Row],[China LogiP(t)]]-tblData[[#This Row],[China]])^2,"")</f>
        <v>587516.11967548856</v>
      </c>
      <c r="BG49" s="11">
        <f>tblData[[#This Row],[China LogiP(t)]]/$BF$9</f>
        <v>556.66763335036103</v>
      </c>
      <c r="BH49" s="11">
        <f>IF(ISNUMBER(tblData[Day'# Singapore]),betaSingapore/(deltaSingapore+betaPodeltaSingapore*EXP(-betaSingapore*tblData[Day'# Singapore])),"")</f>
        <v>87.992439040918214</v>
      </c>
      <c r="BI49" s="11">
        <f>IF(AND(ISNUMBER(tblData[Singapore]),tblData[Date]&gt;=StartDt2Singapore),(tblData[[#This Row],[Singapore LogiP(t)]]-tblData[[#This Row],[Singapore]])^2,"")</f>
        <v>196.21176402239226</v>
      </c>
      <c r="BJ49" s="11">
        <f>IF(ISNUMBER(tblData[Day'# Singapore]),tblData[Singapore LogiP(t)]/$BI$9,"")</f>
        <v>150.4144257109713</v>
      </c>
      <c r="BK49" s="11">
        <f>IF(ISNUMBER(tblData[Day'# Generic]),betaGeneric/(deltaGeneric+betaPodeltaGeneric*EXP(-betaGeneric*tblData[Day'# Generic])),"")</f>
        <v>66635.18555829738</v>
      </c>
      <c r="BL49" s="11">
        <f>IF(AND(ISNUMBER(tblData[Generic]),tblData[Date]&gt;=StartDt2Generic),(tblData[Generic LogiP(t)]-tblData[[#This Row],[Generic]])^2,"")</f>
        <v>88914.627177120405</v>
      </c>
      <c r="BM49" s="11">
        <f>IF(ISNUMBER(tblData[Day'# Generic]),tblData[Generic LogiP(t)]/$BL$9,"")</f>
        <v>11390.630009965365</v>
      </c>
      <c r="BO49" s="11"/>
      <c r="BP49" s="11" t="str">
        <f>IF(ISNUMBER(tblData[[#This Row],[Tests]]),tblData[[#This Row],[Tests]]-BP48,"")</f>
        <v/>
      </c>
      <c r="BQ49" s="11" t="str">
        <f>IF(ISNUMBER(tblData[[#This Row],[NSW Under Investigation'']]),tblData[[#This Row],[NSW Under Investigation'']]-BO48,"")</f>
        <v/>
      </c>
      <c r="BR49" s="11"/>
      <c r="BS49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49" s="11" t="str">
        <f>IF(tblData[Tests]&gt;0,(tblData[[#This Row],[Tests]]-tblData[[#This Row],[NSW Test Logi]])^2,"")</f>
        <v/>
      </c>
      <c r="BU49" s="11" t="str">
        <f>IF(ISNUMBER(tblData[Tests]),tblData[Tests]/$BS$9/100,"")</f>
        <v/>
      </c>
      <c r="BV49" s="11" t="str">
        <f>IF(AND(tblData[[#This Row],[NSW Test Day Number]]&gt;0,ISNUMBER(tblData[[#This Row],[NSW Test Day Number]])),TestsLogestB*TestsLogestM^tblData[[#This Row],[NSW Test Day Number]],"")</f>
        <v/>
      </c>
      <c r="BW49" s="11" t="str">
        <f>IF(AND(tblData[[#This Row],[NSW Test Day Number]]&gt;0,ISNUMBER(tblData[Tests])),(tblData[Tests]-tblData[[#This Row],[NSW Test Per Capita]])^2,"")</f>
        <v/>
      </c>
      <c r="BX49" s="11"/>
      <c r="BY49" s="11"/>
      <c r="BZ49"/>
      <c r="CB49" s="25"/>
      <c r="CD49" s="25"/>
      <c r="CK49"/>
      <c r="CL49"/>
      <c r="CN49" s="25"/>
      <c r="CO49" s="25"/>
      <c r="CP49" s="25"/>
      <c r="DC49"/>
      <c r="DD49"/>
      <c r="DG49" s="25"/>
      <c r="DH49" s="25"/>
      <c r="DV49"/>
      <c r="DW49"/>
      <c r="DX49"/>
      <c r="DY49" s="26" t="s">
        <v>153</v>
      </c>
      <c r="DZ49" s="76">
        <v>43915.873495370368</v>
      </c>
      <c r="EA49" s="26">
        <v>43855</v>
      </c>
      <c r="EB49" s="26">
        <v>43855</v>
      </c>
      <c r="EC49">
        <v>1</v>
      </c>
      <c r="ED49" s="25">
        <v>0.19809310308987077</v>
      </c>
      <c r="EE49" s="25">
        <v>1.0000000000276037E-12</v>
      </c>
      <c r="EF49" s="25">
        <v>7.0703096258903893E-3</v>
      </c>
      <c r="EG49" s="95">
        <v>198093103084.40268</v>
      </c>
      <c r="EH49" s="25">
        <v>15.318740634164564</v>
      </c>
      <c r="EI49" s="25">
        <v>28.017599450592257</v>
      </c>
      <c r="EJ49" s="97">
        <v>1.0000000000276037E-9</v>
      </c>
      <c r="EK49" s="26">
        <v>43915</v>
      </c>
      <c r="EL49" s="26" t="s">
        <v>1379</v>
      </c>
      <c r="EM49" s="25">
        <v>198093103084.40207</v>
      </c>
      <c r="EN49" s="25">
        <v>1029</v>
      </c>
      <c r="EO49" s="98" t="s">
        <v>1380</v>
      </c>
      <c r="EP49" s="26">
        <v>43915</v>
      </c>
      <c r="EQ49" s="25">
        <v>61</v>
      </c>
      <c r="ER49" s="25" t="s">
        <v>1381</v>
      </c>
      <c r="ET49" t="s">
        <v>1382</v>
      </c>
      <c r="EV49" s="25" t="s">
        <v>1777</v>
      </c>
      <c r="EW49" s="82">
        <v>1273.5148514851485</v>
      </c>
      <c r="EX49" s="25"/>
      <c r="EY49" s="82"/>
      <c r="EZ49" s="25"/>
      <c r="FB49" t="s">
        <v>1776</v>
      </c>
      <c r="FC49" s="25"/>
    </row>
    <row r="50" spans="2:194" x14ac:dyDescent="0.25">
      <c r="B50" s="1">
        <v>43891</v>
      </c>
      <c r="C50">
        <v>0</v>
      </c>
      <c r="D50" s="25">
        <v>0</v>
      </c>
      <c r="E50">
        <v>6</v>
      </c>
      <c r="F50">
        <v>0</v>
      </c>
      <c r="G50">
        <v>9</v>
      </c>
      <c r="H50">
        <v>3</v>
      </c>
      <c r="I50">
        <v>0</v>
      </c>
      <c r="J50">
        <v>7</v>
      </c>
      <c r="K50">
        <v>2</v>
      </c>
      <c r="L50" s="12">
        <f>IF(ISNUMBER(tblData[[#This Row],[NSW]]),tblData[[#This Row],[New South Wales]]/$L$9,"")</f>
        <v>7.4257425742574252</v>
      </c>
      <c r="M50" s="25">
        <v>1694</v>
      </c>
      <c r="N50" s="124">
        <f>IF(ISNUMBER(tblData[Italy]),tblData[Italy]/$N$9,"")</f>
        <v>280.06943870381087</v>
      </c>
      <c r="O50">
        <v>74</v>
      </c>
      <c r="P50" s="124">
        <f>IF(ISNUMBER(tblData[US]),tblData[US]/$P$9,"")</f>
        <v>2.2476841912345993</v>
      </c>
      <c r="Q50">
        <v>3736</v>
      </c>
      <c r="R50" s="124">
        <f>IF(ISNUMBER(tblData[SKorea]),tblData[SKorea]/$R$9,"")</f>
        <v>726.84824902723744</v>
      </c>
      <c r="S50">
        <v>36</v>
      </c>
      <c r="T50" s="124">
        <f>IF(ISNUMBER(tblData[UK]),tblData[UK]/$T$9,"")</f>
        <v>5.4184226369656834</v>
      </c>
      <c r="U50">
        <v>79932</v>
      </c>
      <c r="V50" s="124">
        <f>IF(ISNUMBER(tblData[China]),tblData[China]/$V$9,"")</f>
        <v>555.34412293346293</v>
      </c>
      <c r="W50">
        <v>106</v>
      </c>
      <c r="X50" s="124">
        <f>IF(ISNUMBER(tblData[Singapore]),tblData[Singapore]/$X$9,"")</f>
        <v>181.19658119658121</v>
      </c>
      <c r="Y50">
        <v>66907</v>
      </c>
      <c r="Z50" s="20">
        <f>IF(AND(LEN(tblData[Generic])&gt;0,ISNUMBER(tblData[Generic])),tblData[Generic]/$Z$9,"")</f>
        <v>11437.094017094018</v>
      </c>
      <c r="AA50" s="25">
        <f>IF(tblData[[#This Row],[Date]]&lt;ItalyStart,"",tblData[[#This Row],[Date]]-ItalyStart)</f>
        <v>31</v>
      </c>
      <c r="AB50" s="25">
        <f>IF(tblData[[#This Row],[Date]]&lt;USStart,"",tblData[[#This Row],[Date]]-USStart)</f>
        <v>39</v>
      </c>
      <c r="AC50" s="25">
        <f>IF(tblData[[#This Row],[Date]]&lt;ChinaStart,"",tblData[[#This Row],[Date]]-ChinaStart)</f>
        <v>39</v>
      </c>
      <c r="AD50" s="25">
        <f>IF(tblData[[#This Row],[Date]]&lt;StartDt2Korea,"",tblData[[#This Row],[Date]]-StartDt2Korea)</f>
        <v>11</v>
      </c>
      <c r="AE50" s="25">
        <f>IF(tblData[[#This Row],[Date]]&lt;UKStart,"",tblData[[#This Row],[Date]]-UKStart)</f>
        <v>31</v>
      </c>
      <c r="AF50" s="25">
        <f>IF(tblData[[#This Row],[Date]]&lt;SingaporeStart,"",tblData[[#This Row],[Date]]-SingaporeStart)</f>
        <v>38</v>
      </c>
      <c r="AG50" s="25">
        <f>IF(tblData[[#This Row],[Date]]&lt;GenStart,"",tblData[[#This Row],[Date]]-GenStart)</f>
        <v>39</v>
      </c>
      <c r="AH50">
        <f>IF(tblData[Date]&gt;=StartDt2Au,tblData[Date]-StartDt2Au,"")</f>
        <v>36</v>
      </c>
      <c r="AI50" s="25">
        <f>IF(tblData[New South Wales]&gt;0,SUM(tblData[[#This Row],[Australian Capital Territory]:[Western Australia]]),"")</f>
        <v>27</v>
      </c>
      <c r="AJ50" s="12">
        <f>IF(ISNUMBER(tblData[Au]),tblData[Au]/$AE$9,"")</f>
        <v>10.645008673710771</v>
      </c>
      <c r="AK50" s="19">
        <f>IF(ISNUMBER(tblData[[#This Row],[Day'# Aust]]),betaAu/(deltaAu+betaPodeltaAu*EXP(-betaAu*tblData[[#This Row],[Day'# Aust]])),"")</f>
        <v>8.6933217906586719</v>
      </c>
      <c r="AL50" s="66">
        <f>IF(ISNUMBER(tblData[Day'# Aust]),tblData[Au LogiP(t)]/$AJ$9,"")</f>
        <v>3.4274254024044599</v>
      </c>
      <c r="AM50" s="11">
        <f>IF(AND(tblData[Date]&gt;=StartDt2Au,ISNUMBER(tblData[NSW])),(tblData[[#This Row],[Au LogiP(t)]]-tblData[[#This Row],[Au]])^2,"")</f>
        <v>335.13446706037263</v>
      </c>
      <c r="AN50" s="25">
        <f>IF(tblData[Date]&gt;StartDt2NSW,tblData[Date]-StartDt2NSW,"")</f>
        <v>36</v>
      </c>
      <c r="AO50">
        <f t="shared" si="4"/>
        <v>6</v>
      </c>
      <c r="AP50" s="11">
        <f>IF(tblData[Date]&gt;StartDt2NSW,betaNSW/(deltaNSW+betaPodeltaNSW*EXP(-betaNSW*tblData[[#This Row],[Day '# NSW]])),"")</f>
        <v>7.6103047544066778</v>
      </c>
      <c r="AQ50" s="12">
        <f>IF(AND(ISNUMBER(tblData[NSW]),tblData[Date]&gt;StartDt2NSW),(tblData[[#This Row],[NSW LogiP(t)]]-tblData[[#This Row],[NSW]])^2,"")</f>
        <v>2.5930814020647506</v>
      </c>
      <c r="AR50" s="12">
        <f>IF(AND(tblData[Date]&gt;StartDt2NSW,ISNUMBER(tblData[Day'# Aust])),tblData[NSW LogiP(t)]/$AQ$9,"")</f>
        <v>9.4186940029785617</v>
      </c>
      <c r="AS50" s="11">
        <f>IF(AND(tblData[Date]&gt;StartDt2Italy,ISNUMBER(tblData[Days'# Italy])),betaItaly/(deltaItaly+betaPodeltaItaly*EXP(-betaItaly*tblData[Days'# Italy])),"")</f>
        <v>1275.1604846937248</v>
      </c>
      <c r="AT50" s="11">
        <f>IF(AND(tblData[Date]&gt;StartDt2Italy,ISNUMBER(tblData[Italy])),(tblData[[#This Row],[Italy LogiP(t)]]-tblData[[#This Row],[Italy]])^2,"")</f>
        <v>175426.53958199552</v>
      </c>
      <c r="AU50" s="41">
        <f>IF(AND(tblData[Date]&gt;StartDt2Italy,ISNUMBER(tblData[Days'# Italy])),tblData[[#This Row],[Italy LogiP(t)]]/$AT$9,"")</f>
        <v>210.82259811419772</v>
      </c>
      <c r="AV50" s="20">
        <f>IF(ISNUMBER(tblData[[#This Row],[Days'# US]]),betaUS/(deltaUS+betaPodeltaUS*EXP(-betaUS*tblData[Days'# US])),"")</f>
        <v>113.08695127672198</v>
      </c>
      <c r="AW50" s="11">
        <f>IF(AND(tblData[Date]&gt;=StartDt2US,ISNUMBER(tblData[US])),(tblData[[#This Row],[US LogiP(t)]]-tblData[US])^2,"")</f>
        <v>1527.7897601088378</v>
      </c>
      <c r="AX50" s="20">
        <f>IF(ISNUMBER(tblData[[#This Row],[Days'# US]]),tblData[[#This Row],[US LogiP(t)]]/$AW$9,"")</f>
        <v>3.4349155759406131</v>
      </c>
      <c r="AY50" s="20">
        <f>IF(tblData[Date]&gt;=StartDt2Korea,betaSKorea/(deltaSKorea+betaPodeltaSKorea*EXP(-betaSKorea*(tblData[Date]-StartDt2Korea))),"")</f>
        <v>3576.1577337865751</v>
      </c>
      <c r="AZ50" s="20">
        <f>IF(AND(tblData[Date]&gt;=StartDt2Korea,ISNUMBER(tblData[SKorea])),(tblData[[#This Row],[SKorea LogiP(t)]]-tblData[[#This Row],[SKorea]])^2,"")</f>
        <v>25549.550068243385</v>
      </c>
      <c r="BA50" s="20">
        <f>IF(tblData[Date]&gt;=StartDt2Korea,tblData[[#This Row],[SKorea LogiP(t)]]/$AZ$9,"")</f>
        <v>695.75053186509251</v>
      </c>
      <c r="BB50" s="11">
        <f>IF(ISNUMBER(tblData[Days'# UK]),betaUK/(deltaUK+betaPodeltaUK*EXP(-betaUK*tblData[Days'# UK])),"")</f>
        <v>50.504096374750233</v>
      </c>
      <c r="BC50" s="20">
        <f>IF(ISNUMBER(tblData[UK]),(tblData[[#This Row],[UK LogiP(t)]]-tblData[[#This Row],[UK]])^2,"")</f>
        <v>210.36881164804285</v>
      </c>
      <c r="BD50" s="20">
        <f>IF(ISNUMBER(tblData[Days'# UK]),tblData[[#This Row],[UK LogiP(t)]]/$BC$9,"")</f>
        <v>7.6014594182345325</v>
      </c>
      <c r="BE50" s="11">
        <f>IF(ISNUMBER(tblData[Days'# China]),betaChina/(deltaChina+betaPodeltaChina*EXP(-betaChina*tblData[Days'# China])),"")</f>
        <v>80298.898255198073</v>
      </c>
      <c r="BF50" s="11">
        <f>IF(ISNUMBER(tblData[China]),(tblData[[#This Row],[China LogiP(t)]]-tblData[[#This Row],[China]])^2,"")</f>
        <v>134614.32966739064</v>
      </c>
      <c r="BG50" s="11">
        <f>tblData[[#This Row],[China LogiP(t)]]/$BF$9</f>
        <v>557.89322454156468</v>
      </c>
      <c r="BH50" s="11">
        <f>IF(ISNUMBER(tblData[Day'# Singapore]),betaSingapore/(deltaSingapore+betaPodeltaSingapore*EXP(-betaSingapore*tblData[Day'# Singapore])),"")</f>
        <v>94.796106904225198</v>
      </c>
      <c r="BI50" s="11">
        <f>IF(AND(ISNUMBER(tblData[Singapore]),tblData[Date]&gt;=StartDt2Singapore),(tblData[[#This Row],[Singapore LogiP(t)]]-tblData[[#This Row],[Singapore]])^2,"")</f>
        <v>125.52722050155027</v>
      </c>
      <c r="BJ50" s="11">
        <f>IF(ISNUMBER(tblData[Day'# Singapore]),tblData[Singapore LogiP(t)]/$BI$9,"")</f>
        <v>162.04462718670976</v>
      </c>
      <c r="BK50" s="11">
        <f>IF(ISNUMBER(tblData[Day'# Generic]),betaGeneric/(deltaGeneric+betaPodeltaGeneric*EXP(-betaGeneric*tblData[Day'# Generic])),"")</f>
        <v>66767.069173412485</v>
      </c>
      <c r="BL50" s="11">
        <f>IF(AND(ISNUMBER(tblData[Generic]),tblData[Date]&gt;=StartDt2Generic),(tblData[Generic LogiP(t)]-tblData[[#This Row],[Generic]])^2,"")</f>
        <v>19580.636229465246</v>
      </c>
      <c r="BM50" s="11">
        <f>IF(ISNUMBER(tblData[Day'# Generic]),tblData[Generic LogiP(t)]/$BL$9,"")</f>
        <v>11413.174217677348</v>
      </c>
      <c r="BO50" s="11"/>
      <c r="BP50" s="11" t="str">
        <f>IF(ISNUMBER(tblData[[#This Row],[Tests]]),tblData[[#This Row],[Tests]]-BP49,"")</f>
        <v/>
      </c>
      <c r="BQ50" s="11" t="str">
        <f>IF(ISNUMBER(tblData[[#This Row],[NSW Under Investigation'']]),tblData[[#This Row],[NSW Under Investigation'']]-BO49,"")</f>
        <v/>
      </c>
      <c r="BR50" s="11"/>
      <c r="BS50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50" s="11" t="str">
        <f>IF(tblData[Tests]&gt;0,(tblData[[#This Row],[Tests]]-tblData[[#This Row],[NSW Test Logi]])^2,"")</f>
        <v/>
      </c>
      <c r="BU50" s="11" t="str">
        <f>IF(ISNUMBER(tblData[Tests]),tblData[Tests]/$BS$9/100,"")</f>
        <v/>
      </c>
      <c r="BV50" s="11" t="str">
        <f>IF(AND(tblData[[#This Row],[NSW Test Day Number]]&gt;0,ISNUMBER(tblData[[#This Row],[NSW Test Day Number]])),TestsLogestB*TestsLogestM^tblData[[#This Row],[NSW Test Day Number]],"")</f>
        <v/>
      </c>
      <c r="BW50" s="11" t="str">
        <f>IF(AND(tblData[[#This Row],[NSW Test Day Number]]&gt;0,ISNUMBER(tblData[Tests])),(tblData[Tests]-tblData[[#This Row],[NSW Test Per Capita]])^2,"")</f>
        <v/>
      </c>
      <c r="BX50" s="11"/>
      <c r="BY50" s="11"/>
      <c r="BZ50"/>
      <c r="CB50" s="25"/>
      <c r="CD50" s="25"/>
      <c r="CK50"/>
      <c r="CL50"/>
      <c r="CN50" s="25"/>
      <c r="CO50" s="25"/>
      <c r="CP50" s="25"/>
      <c r="DC50"/>
      <c r="DD50"/>
      <c r="DG50" s="25"/>
      <c r="DH50" s="25"/>
      <c r="DV50"/>
      <c r="DW50"/>
      <c r="DX50"/>
      <c r="DY50" s="26" t="s">
        <v>153</v>
      </c>
      <c r="DZ50" s="76">
        <v>43915.900972222225</v>
      </c>
      <c r="EA50" s="26">
        <v>43855</v>
      </c>
      <c r="EB50" s="26">
        <v>43855</v>
      </c>
      <c r="EC50">
        <v>1</v>
      </c>
      <c r="ED50" s="25">
        <v>0.19974190539273551</v>
      </c>
      <c r="EE50" s="25">
        <v>9.9999999981584546E-13</v>
      </c>
      <c r="EF50" s="25">
        <v>6.3441791267384584E-3</v>
      </c>
      <c r="EG50" s="95">
        <v>199741905429.51889</v>
      </c>
      <c r="EH50" s="25">
        <v>6.9145473337675369</v>
      </c>
      <c r="EI50" s="25">
        <v>31.484278959099388</v>
      </c>
      <c r="EJ50" s="97">
        <v>9.9999999981584546E-10</v>
      </c>
      <c r="EK50" s="26">
        <v>43915</v>
      </c>
      <c r="EL50" s="25" t="s">
        <v>1815</v>
      </c>
      <c r="EM50" s="25">
        <v>199741905429.51849</v>
      </c>
      <c r="EN50" s="98">
        <v>1029</v>
      </c>
      <c r="EO50" s="25" t="s">
        <v>1816</v>
      </c>
      <c r="EP50" s="26">
        <v>43915</v>
      </c>
      <c r="EQ50" s="25">
        <v>61</v>
      </c>
      <c r="ER50" s="25" t="s">
        <v>1817</v>
      </c>
      <c r="ET50" t="s">
        <v>1818</v>
      </c>
      <c r="EV50" s="82" t="s">
        <v>1819</v>
      </c>
      <c r="EW50" s="25">
        <v>1273.5148514851485</v>
      </c>
      <c r="EX50" s="82"/>
      <c r="EY50" s="25"/>
      <c r="EZ50" s="25"/>
      <c r="FB50" t="s">
        <v>1776</v>
      </c>
      <c r="FC50" s="25"/>
    </row>
    <row r="51" spans="2:194" x14ac:dyDescent="0.25">
      <c r="B51" s="1">
        <v>43892</v>
      </c>
      <c r="C51">
        <v>0</v>
      </c>
      <c r="D51" s="25">
        <v>0</v>
      </c>
      <c r="E51">
        <v>6</v>
      </c>
      <c r="F51">
        <v>0</v>
      </c>
      <c r="G51">
        <v>9</v>
      </c>
      <c r="H51">
        <v>3</v>
      </c>
      <c r="I51">
        <v>1</v>
      </c>
      <c r="J51">
        <v>9</v>
      </c>
      <c r="K51">
        <v>2</v>
      </c>
      <c r="L51" s="12">
        <f>IF(ISNUMBER(tblData[[#This Row],[NSW]]),tblData[[#This Row],[New South Wales]]/$L$9,"")</f>
        <v>7.4257425742574252</v>
      </c>
      <c r="M51" s="25">
        <v>2036</v>
      </c>
      <c r="N51" s="124">
        <f>IF(ISNUMBER(tblData[Italy]),tblData[Italy]/$N$9,"")</f>
        <v>336.61238323551294</v>
      </c>
      <c r="O51">
        <v>98</v>
      </c>
      <c r="P51" s="124">
        <f>IF(ISNUMBER(tblData[US]),tblData[US]/$P$9,"")</f>
        <v>2.9766628478512263</v>
      </c>
      <c r="Q51">
        <v>4335</v>
      </c>
      <c r="R51" s="124">
        <f>IF(ISNUMBER(tblData[SKorea]),tblData[SKorea]/$R$9,"")</f>
        <v>843.38521400778211</v>
      </c>
      <c r="S51">
        <v>40</v>
      </c>
      <c r="T51" s="124">
        <f>IF(ISNUMBER(tblData[UK]),tblData[UK]/$T$9,"")</f>
        <v>6.0204695966285371</v>
      </c>
      <c r="U51">
        <v>80136</v>
      </c>
      <c r="V51" s="124">
        <f>IF(ISNUMBER(tblData[China]),tblData[China]/$V$9,"")</f>
        <v>556.7614551793522</v>
      </c>
      <c r="W51">
        <v>108</v>
      </c>
      <c r="X51" s="124">
        <f>IF(ISNUMBER(tblData[Singapore]),tblData[Singapore]/$X$9,"")</f>
        <v>184.61538461538461</v>
      </c>
      <c r="Y51">
        <v>67103</v>
      </c>
      <c r="Z51" s="20">
        <f>IF(AND(LEN(tblData[Generic])&gt;0,ISNUMBER(tblData[Generic])),tblData[Generic]/$Z$9,"")</f>
        <v>11470.598290598291</v>
      </c>
      <c r="AA51" s="25">
        <f>IF(tblData[[#This Row],[Date]]&lt;ItalyStart,"",tblData[[#This Row],[Date]]-ItalyStart)</f>
        <v>32</v>
      </c>
      <c r="AB51" s="25">
        <f>IF(tblData[[#This Row],[Date]]&lt;USStart,"",tblData[[#This Row],[Date]]-USStart)</f>
        <v>40</v>
      </c>
      <c r="AC51" s="25">
        <f>IF(tblData[[#This Row],[Date]]&lt;ChinaStart,"",tblData[[#This Row],[Date]]-ChinaStart)</f>
        <v>40</v>
      </c>
      <c r="AD51" s="25">
        <f>IF(tblData[[#This Row],[Date]]&lt;StartDt2Korea,"",tblData[[#This Row],[Date]]-StartDt2Korea)</f>
        <v>12</v>
      </c>
      <c r="AE51" s="25">
        <f>IF(tblData[[#This Row],[Date]]&lt;UKStart,"",tblData[[#This Row],[Date]]-UKStart)</f>
        <v>32</v>
      </c>
      <c r="AF51" s="25">
        <f>IF(tblData[[#This Row],[Date]]&lt;SingaporeStart,"",tblData[[#This Row],[Date]]-SingaporeStart)</f>
        <v>39</v>
      </c>
      <c r="AG51" s="25">
        <f>IF(tblData[[#This Row],[Date]]&lt;GenStart,"",tblData[[#This Row],[Date]]-GenStart)</f>
        <v>40</v>
      </c>
      <c r="AH51">
        <f>IF(tblData[Date]&gt;=StartDt2Au,tblData[Date]-StartDt2Au,"")</f>
        <v>37</v>
      </c>
      <c r="AI51" s="25">
        <f>IF(tblData[New South Wales]&gt;0,SUM(tblData[[#This Row],[Australian Capital Territory]:[Western Australia]]),"")</f>
        <v>30</v>
      </c>
      <c r="AJ51" s="12">
        <f>IF(ISNUMBER(tblData[Au]),tblData[Au]/$AE$9,"")</f>
        <v>11.827787415234191</v>
      </c>
      <c r="AK51" s="19">
        <f>IF(ISNUMBER(tblData[[#This Row],[Day'# Aust]]),betaAu/(deltaAu+betaPodeltaAu*EXP(-betaAu*tblData[[#This Row],[Day'# Aust]])),"")</f>
        <v>11.18069380280437</v>
      </c>
      <c r="AL51" s="66">
        <f>IF(ISNUMBER(tblData[Day'# Aust]),tblData[Au LogiP(t)]/$AJ$9,"")</f>
        <v>4.4080956484798808</v>
      </c>
      <c r="AM51" s="11">
        <f>IF(AND(tblData[Date]&gt;=StartDt2Au,ISNUMBER(tblData[NSW])),(tblData[[#This Row],[Au LogiP(t)]]-tblData[[#This Row],[Au]])^2,"")</f>
        <v>354.16628574380582</v>
      </c>
      <c r="AN51" s="25">
        <f>IF(tblData[Date]&gt;StartDt2NSW,tblData[Date]-StartDt2NSW,"")</f>
        <v>37</v>
      </c>
      <c r="AO51">
        <f t="shared" si="4"/>
        <v>6</v>
      </c>
      <c r="AP51" s="11">
        <f>IF(tblData[Date]&gt;StartDt2NSW,betaNSW/(deltaNSW+betaPodeltaNSW*EXP(-betaNSW*tblData[[#This Row],[Day '# NSW]])),"")</f>
        <v>9.3733902723193392</v>
      </c>
      <c r="AQ51" s="12">
        <f>IF(AND(ISNUMBER(tblData[NSW]),tblData[Date]&gt;StartDt2NSW),(tblData[[#This Row],[NSW LogiP(t)]]-tblData[[#This Row],[NSW]])^2,"")</f>
        <v>11.379761929378745</v>
      </c>
      <c r="AR51" s="12">
        <f>IF(AND(tblData[Date]&gt;StartDt2NSW,ISNUMBER(tblData[Day'# Aust])),tblData[NSW LogiP(t)]/$AQ$9,"")</f>
        <v>11.600730535048687</v>
      </c>
      <c r="AS51" s="11">
        <f>IF(AND(tblData[Date]&gt;StartDt2Italy,ISNUMBER(tblData[Days'# Italy])),betaItaly/(deltaItaly+betaPodeltaItaly*EXP(-betaItaly*tblData[Days'# Italy])),"")</f>
        <v>1641.6263337581668</v>
      </c>
      <c r="AT51" s="11">
        <f>IF(AND(tblData[Date]&gt;StartDt2Italy,ISNUMBER(tblData[Italy])),(tblData[[#This Row],[Italy LogiP(t)]]-tblData[[#This Row],[Italy]])^2,"")</f>
        <v>155530.58862502489</v>
      </c>
      <c r="AU51" s="41">
        <f>IF(AND(tblData[Date]&gt;StartDt2Italy,ISNUMBER(tblData[Days'# Italy])),tblData[[#This Row],[Italy LogiP(t)]]/$AT$9,"")</f>
        <v>271.41048751891657</v>
      </c>
      <c r="AV51" s="20">
        <f>IF(ISNUMBER(tblData[[#This Row],[Days'# US]]),betaUS/(deltaUS+betaPodeltaUS*EXP(-betaUS*tblData[Days'# US])),"")</f>
        <v>149.20243449882966</v>
      </c>
      <c r="AW51" s="11">
        <f>IF(AND(tblData[Date]&gt;=StartDt2US,ISNUMBER(tblData[US])),(tblData[[#This Row],[US LogiP(t)]]-tblData[US])^2,"")</f>
        <v>2621.689298606942</v>
      </c>
      <c r="AX51" s="20">
        <f>IF(ISNUMBER(tblData[[#This Row],[Days'# US]]),tblData[[#This Row],[US LogiP(t)]]/$AW$9,"")</f>
        <v>4.5318912610369626</v>
      </c>
      <c r="AY51" s="20">
        <f>IF(tblData[Date]&gt;=StartDt2Korea,betaSKorea/(deltaSKorea+betaPodeltaSKorea*EXP(-betaSKorea*(tblData[Date]-StartDt2Korea))),"")</f>
        <v>4215.1072506574874</v>
      </c>
      <c r="AZ51" s="20">
        <f>IF(AND(tblData[Date]&gt;=StartDt2Korea,ISNUMBER(tblData[SKorea])),(tblData[[#This Row],[SKorea LogiP(t)]]-tblData[[#This Row],[SKorea]])^2,"")</f>
        <v>14374.27134490656</v>
      </c>
      <c r="BA51" s="20">
        <f>IF(tblData[Date]&gt;=StartDt2Korea,tblData[[#This Row],[SKorea LogiP(t)]]/$AZ$9,"")</f>
        <v>820.05977639250727</v>
      </c>
      <c r="BB51" s="11">
        <f>IF(ISNUMBER(tblData[Days'# UK]),betaUK/(deltaUK+betaPodeltaUK*EXP(-betaUK*tblData[Days'# UK])),"")</f>
        <v>63.994840307224607</v>
      </c>
      <c r="BC51" s="20">
        <f>IF(ISNUMBER(tblData[UK]),(tblData[[#This Row],[UK LogiP(t)]]-tblData[[#This Row],[UK]])^2,"")</f>
        <v>575.75236136921069</v>
      </c>
      <c r="BD51" s="20">
        <f>IF(ISNUMBER(tblData[Days'# UK]),tblData[[#This Row],[UK LogiP(t)]]/$BC$9,"")</f>
        <v>9.6319747602686032</v>
      </c>
      <c r="BE51" s="11">
        <f>IF(ISNUMBER(tblData[Days'# China]),betaChina/(deltaChina+betaPodeltaChina*EXP(-betaChina*tblData[Days'# China])),"")</f>
        <v>80440.722390430397</v>
      </c>
      <c r="BF51" s="11">
        <f>IF(ISNUMBER(tblData[China]),(tblData[[#This Row],[China LogiP(t)]]-tblData[[#This Row],[China]])^2,"")</f>
        <v>92855.735229615515</v>
      </c>
      <c r="BG51" s="11">
        <f>tblData[[#This Row],[China LogiP(t)]]/$BF$9</f>
        <v>558.87857709112427</v>
      </c>
      <c r="BH51" s="11">
        <f>IF(ISNUMBER(tblData[Day'# Singapore]),betaSingapore/(deltaSingapore+betaPodeltaSingapore*EXP(-betaSingapore*tblData[Day'# Singapore])),"")</f>
        <v>102.12584151639457</v>
      </c>
      <c r="BI51" s="11">
        <f>IF(AND(ISNUMBER(tblData[Singapore]),tblData[Date]&gt;=StartDt2Singapore),(tblData[[#This Row],[Singapore LogiP(t)]]-tblData[[#This Row],[Singapore]])^2,"")</f>
        <v>34.505737890513615</v>
      </c>
      <c r="BJ51" s="11">
        <f>IF(ISNUMBER(tblData[Day'# Singapore]),tblData[Singapore LogiP(t)]/$BI$9,"")</f>
        <v>174.57408806221295</v>
      </c>
      <c r="BK51" s="11">
        <f>IF(ISNUMBER(tblData[Day'# Generic]),betaGeneric/(deltaGeneric+betaPodeltaGeneric*EXP(-betaGeneric*tblData[Day'# Generic])),"")</f>
        <v>66873.312212541729</v>
      </c>
      <c r="BL51" s="11">
        <f>IF(AND(ISNUMBER(tblData[Generic]),tblData[Date]&gt;=StartDt2Generic),(tblData[Generic LogiP(t)]-tblData[[#This Row],[Generic]])^2,"")</f>
        <v>52756.479707476094</v>
      </c>
      <c r="BM51" s="11">
        <f>IF(ISNUMBER(tblData[Day'# Generic]),tblData[Generic LogiP(t)]/$BL$9,"")</f>
        <v>11431.335420947305</v>
      </c>
      <c r="BO51" s="11"/>
      <c r="BP51" s="11" t="str">
        <f>IF(ISNUMBER(tblData[[#This Row],[Tests]]),tblData[[#This Row],[Tests]]-BP50,"")</f>
        <v/>
      </c>
      <c r="BQ51" s="11" t="str">
        <f>IF(ISNUMBER(tblData[[#This Row],[NSW Under Investigation'']]),tblData[[#This Row],[NSW Under Investigation'']]-BO50,"")</f>
        <v/>
      </c>
      <c r="BR51" s="11"/>
      <c r="BS51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51" s="11" t="str">
        <f>IF(tblData[Tests]&gt;0,(tblData[[#This Row],[Tests]]-tblData[[#This Row],[NSW Test Logi]])^2,"")</f>
        <v/>
      </c>
      <c r="BU51" s="11" t="str">
        <f>IF(ISNUMBER(tblData[Tests]),tblData[Tests]/$BS$9/100,"")</f>
        <v/>
      </c>
      <c r="BV51" s="11" t="str">
        <f>IF(AND(tblData[[#This Row],[NSW Test Day Number]]&gt;0,ISNUMBER(tblData[[#This Row],[NSW Test Day Number]])),TestsLogestB*TestsLogestM^tblData[[#This Row],[NSW Test Day Number]],"")</f>
        <v/>
      </c>
      <c r="BW51" s="11" t="str">
        <f>IF(AND(tblData[[#This Row],[NSW Test Day Number]]&gt;0,ISNUMBER(tblData[Tests])),(tblData[Tests]-tblData[[#This Row],[NSW Test Per Capita]])^2,"")</f>
        <v/>
      </c>
      <c r="BX51" s="11"/>
      <c r="BY51" s="11"/>
      <c r="BZ51"/>
      <c r="CB51" s="25"/>
      <c r="CD51" s="25"/>
      <c r="CK51"/>
      <c r="CL51"/>
      <c r="CN51" s="25"/>
      <c r="CO51" s="25"/>
      <c r="CP51" s="25"/>
      <c r="DC51"/>
      <c r="DD51"/>
      <c r="DG51" s="25"/>
      <c r="DH51" s="25"/>
      <c r="DV51"/>
      <c r="DW51"/>
      <c r="DX51"/>
      <c r="DY51" s="26" t="s">
        <v>153</v>
      </c>
      <c r="DZ51" s="76">
        <v>43916.456736111111</v>
      </c>
      <c r="EA51" s="26">
        <v>43855</v>
      </c>
      <c r="EB51" s="26">
        <v>43855</v>
      </c>
      <c r="EC51">
        <v>1</v>
      </c>
      <c r="ED51" s="25">
        <v>0.20056956946394711</v>
      </c>
      <c r="EE51" s="25">
        <v>1.0069299149402276E-5</v>
      </c>
      <c r="EF51" s="25">
        <v>6.3469803534211338E-3</v>
      </c>
      <c r="EG51" s="95">
        <v>19918.920521479704</v>
      </c>
      <c r="EH51" s="25">
        <v>15.221220460380449</v>
      </c>
      <c r="EI51" s="25">
        <v>31.600776177949367</v>
      </c>
      <c r="EJ51" s="97">
        <v>1.0069299149402276E-2</v>
      </c>
      <c r="EK51" s="26">
        <v>43916</v>
      </c>
      <c r="EL51" s="25" t="s">
        <v>1851</v>
      </c>
      <c r="EM51" s="25">
        <v>19918.920521479704</v>
      </c>
      <c r="EN51" s="98">
        <v>1219</v>
      </c>
      <c r="EO51" s="25" t="s">
        <v>1852</v>
      </c>
      <c r="EP51" s="26">
        <v>43916</v>
      </c>
      <c r="EQ51" s="25">
        <v>62</v>
      </c>
      <c r="ER51" s="25" t="s">
        <v>1853</v>
      </c>
      <c r="ET51" t="s">
        <v>1854</v>
      </c>
      <c r="EV51" s="82" t="s">
        <v>1855</v>
      </c>
      <c r="EW51">
        <v>1508.6633663366335</v>
      </c>
      <c r="EX51" s="82"/>
      <c r="EZ51" s="25"/>
      <c r="FA51"/>
      <c r="FB51" t="s">
        <v>1850</v>
      </c>
      <c r="FC51" s="25"/>
    </row>
    <row r="52" spans="2:194" x14ac:dyDescent="0.25">
      <c r="B52" s="1">
        <v>43893</v>
      </c>
      <c r="C52">
        <v>0</v>
      </c>
      <c r="D52" s="25">
        <v>0</v>
      </c>
      <c r="E52">
        <v>13</v>
      </c>
      <c r="F52">
        <v>0</v>
      </c>
      <c r="G52">
        <v>11</v>
      </c>
      <c r="H52">
        <v>3</v>
      </c>
      <c r="I52">
        <v>1</v>
      </c>
      <c r="J52">
        <v>9</v>
      </c>
      <c r="K52">
        <v>2</v>
      </c>
      <c r="L52" s="12">
        <f>IF(ISNUMBER(tblData[[#This Row],[NSW]]),tblData[[#This Row],[New South Wales]]/$L$9,"")</f>
        <v>16.089108910891088</v>
      </c>
      <c r="M52" s="25">
        <v>2502</v>
      </c>
      <c r="N52" s="124">
        <f>IF(ISNUMBER(tblData[Italy]),tblData[Italy]/$N$9,"")</f>
        <v>413.65627841613627</v>
      </c>
      <c r="O52">
        <v>118</v>
      </c>
      <c r="P52" s="124">
        <f>IF(ISNUMBER(tblData[US]),tblData[US]/$P$9,"")</f>
        <v>3.5841450616984152</v>
      </c>
      <c r="Q52">
        <v>5186</v>
      </c>
      <c r="R52" s="124">
        <f>IF(ISNUMBER(tblData[SKorea]),tblData[SKorea]/$R$9,"")</f>
        <v>1008.9494163424125</v>
      </c>
      <c r="S52">
        <v>51</v>
      </c>
      <c r="T52" s="124">
        <f>IF(ISNUMBER(tblData[UK]),tblData[UK]/$T$9,"")</f>
        <v>7.6760987357013848</v>
      </c>
      <c r="U52">
        <v>80261</v>
      </c>
      <c r="V52" s="124">
        <f>IF(ISNUMBER(tblData[China]),tblData[China]/$V$9,"")</f>
        <v>557.6299185653138</v>
      </c>
      <c r="W52">
        <v>110</v>
      </c>
      <c r="X52" s="124">
        <f>IF(ISNUMBER(tblData[Singapore]),tblData[Singapore]/$X$9,"")</f>
        <v>188.03418803418805</v>
      </c>
      <c r="Y52">
        <v>67217</v>
      </c>
      <c r="Z52" s="20">
        <f>IF(AND(LEN(tblData[Generic])&gt;0,ISNUMBER(tblData[Generic])),tblData[Generic]/$Z$9,"")</f>
        <v>11490.085470085471</v>
      </c>
      <c r="AA52" s="25">
        <f>IF(tblData[[#This Row],[Date]]&lt;ItalyStart,"",tblData[[#This Row],[Date]]-ItalyStart)</f>
        <v>33</v>
      </c>
      <c r="AB52" s="25">
        <f>IF(tblData[[#This Row],[Date]]&lt;USStart,"",tblData[[#This Row],[Date]]-USStart)</f>
        <v>41</v>
      </c>
      <c r="AC52" s="25">
        <f>IF(tblData[[#This Row],[Date]]&lt;ChinaStart,"",tblData[[#This Row],[Date]]-ChinaStart)</f>
        <v>41</v>
      </c>
      <c r="AD52" s="25">
        <f>IF(tblData[[#This Row],[Date]]&lt;StartDt2Korea,"",tblData[[#This Row],[Date]]-StartDt2Korea)</f>
        <v>13</v>
      </c>
      <c r="AE52" s="25">
        <f>IF(tblData[[#This Row],[Date]]&lt;UKStart,"",tblData[[#This Row],[Date]]-UKStart)</f>
        <v>33</v>
      </c>
      <c r="AF52" s="25">
        <f>IF(tblData[[#This Row],[Date]]&lt;SingaporeStart,"",tblData[[#This Row],[Date]]-SingaporeStart)</f>
        <v>40</v>
      </c>
      <c r="AG52" s="25">
        <f>IF(tblData[[#This Row],[Date]]&lt;GenStart,"",tblData[[#This Row],[Date]]-GenStart)</f>
        <v>41</v>
      </c>
      <c r="AH52">
        <f>IF(tblData[Date]&gt;=StartDt2Au,tblData[Date]-StartDt2Au,"")</f>
        <v>38</v>
      </c>
      <c r="AI52" s="25">
        <f>IF(tblData[New South Wales]&gt;0,SUM(tblData[[#This Row],[Australian Capital Territory]:[Western Australia]]),"")</f>
        <v>39</v>
      </c>
      <c r="AJ52" s="12">
        <f>IF(ISNUMBER(tblData[Au]),tblData[Au]/$AE$9,"")</f>
        <v>15.376123639804447</v>
      </c>
      <c r="AK52" s="19">
        <f>IF(ISNUMBER(tblData[[#This Row],[Day'# Aust]]),betaAu/(deltaAu+betaPodeltaAu*EXP(-betaAu*tblData[[#This Row],[Day'# Aust]])),"")</f>
        <v>14.378307698008971</v>
      </c>
      <c r="AL52" s="66">
        <f>IF(ISNUMBER(tblData[Day'# Aust]),tblData[Au LogiP(t)]/$AJ$9,"")</f>
        <v>5.6687855614291793</v>
      </c>
      <c r="AM52" s="11">
        <f>IF(AND(tblData[Date]&gt;=StartDt2Au,ISNUMBER(tblData[NSW])),(tblData[[#This Row],[Au LogiP(t)]]-tblData[[#This Row],[Au]])^2,"")</f>
        <v>606.22773181392427</v>
      </c>
      <c r="AN52">
        <f>IF(tblData[Date]&gt;StartDt2NSW,tblData[Date]-StartDt2NSW,"")</f>
        <v>38</v>
      </c>
      <c r="AO52">
        <f t="shared" si="4"/>
        <v>13</v>
      </c>
      <c r="AP52" s="11">
        <f>IF(tblData[Date]&gt;StartDt2NSW,betaNSW/(deltaNSW+betaPodeltaNSW*EXP(-betaNSW*tblData[[#This Row],[Day '# NSW]])),"")</f>
        <v>11.544439666870307</v>
      </c>
      <c r="AQ52" s="12">
        <f>IF(AND(ISNUMBER(tblData[NSW]),tblData[Date]&gt;StartDt2NSW),(tblData[[#This Row],[NSW LogiP(t)]]-tblData[[#This Row],[NSW]])^2,"")</f>
        <v>2.1186558833806224</v>
      </c>
      <c r="AR52" s="12">
        <f>IF(AND(tblData[Date]&gt;StartDt2NSW,ISNUMBER(tblData[Day'# Aust])),tblData[NSW LogiP(t)]/$AQ$9,"")</f>
        <v>14.287672855037508</v>
      </c>
      <c r="AS52" s="11">
        <f>IF(AND(tblData[Date]&gt;StartDt2Italy,ISNUMBER(tblData[Days'# Italy])),betaItaly/(deltaItaly+betaPodeltaItaly*EXP(-betaItaly*tblData[Days'# Italy])),"")</f>
        <v>2110.43792977156</v>
      </c>
      <c r="AT52" s="11">
        <f>IF(AND(tblData[Date]&gt;StartDt2Italy,ISNUMBER(tblData[Italy])),(tblData[[#This Row],[Italy LogiP(t)]]-tblData[[#This Row],[Italy]])^2,"")</f>
        <v>153320.85484158178</v>
      </c>
      <c r="AU52" s="41">
        <f>IF(AND(tblData[Date]&gt;StartDt2Italy,ISNUMBER(tblData[Days'# Italy])),tblData[[#This Row],[Italy LogiP(t)]]/$AT$9,"")</f>
        <v>348.91922456337272</v>
      </c>
      <c r="AV52" s="20">
        <f>IF(ISNUMBER(tblData[[#This Row],[Days'# US]]),betaUS/(deltaUS+betaPodeltaUS*EXP(-betaUS*tblData[Days'# US])),"")</f>
        <v>196.83964520234028</v>
      </c>
      <c r="AW52" s="11">
        <f>IF(AND(tblData[Date]&gt;=StartDt2US,ISNUMBER(tblData[US])),(tblData[[#This Row],[US LogiP(t)]]-tblData[US])^2,"")</f>
        <v>6215.6896556308966</v>
      </c>
      <c r="AX52" s="20">
        <f>IF(ISNUMBER(tblData[[#This Row],[Days'# US]]),tblData[[#This Row],[US LogiP(t)]]/$AW$9,"")</f>
        <v>5.9788291720206441</v>
      </c>
      <c r="AY52" s="20">
        <f>IF(tblData[Date]&gt;=StartDt2Korea,betaSKorea/(deltaSKorea+betaPodeltaSKorea*EXP(-betaSKorea*(tblData[Date]-StartDt2Korea))),"")</f>
        <v>4857.9913118647628</v>
      </c>
      <c r="AZ52" s="20">
        <f>IF(AND(tblData[Date]&gt;=StartDt2Korea,ISNUMBER(tblData[SKorea])),(tblData[[#This Row],[SKorea LogiP(t)]]-tblData[[#This Row],[SKorea]])^2,"")</f>
        <v>107589.6994921993</v>
      </c>
      <c r="BA52" s="20">
        <f>IF(tblData[Date]&gt;=StartDt2Korea,tblData[[#This Row],[SKorea LogiP(t)]]/$AZ$9,"")</f>
        <v>945.13449647174377</v>
      </c>
      <c r="BB52" s="11">
        <f>IF(ISNUMBER(tblData[Days'# UK]),betaUK/(deltaUK+betaPodeltaUK*EXP(-betaUK*tblData[Days'# UK])),"")</f>
        <v>81.075961824223825</v>
      </c>
      <c r="BC52" s="20">
        <f>IF(ISNUMBER(tblData[UK]),(tblData[[#This Row],[UK LogiP(t)]]-tblData[[#This Row],[UK]])^2,"")</f>
        <v>904.56347965216889</v>
      </c>
      <c r="BD52" s="20">
        <f>IF(ISNUMBER(tblData[Days'# UK]),tblData[[#This Row],[UK LogiP(t)]]/$BC$9,"")</f>
        <v>12.202884079503887</v>
      </c>
      <c r="BE52" s="11">
        <f>IF(ISNUMBER(tblData[Days'# China]),betaChina/(deltaChina+betaPodeltaChina*EXP(-betaChina*tblData[Days'# China])),"")</f>
        <v>80554.657016745914</v>
      </c>
      <c r="BF52" s="11">
        <f>IF(ISNUMBER(tblData[China]),(tblData[[#This Row],[China LogiP(t)]]-tblData[[#This Row],[China]])^2,"")</f>
        <v>86234.443484110016</v>
      </c>
      <c r="BG52" s="11">
        <f>tblData[[#This Row],[China LogiP(t)]]/$BF$9</f>
        <v>559.67016150191012</v>
      </c>
      <c r="BH52" s="11">
        <f>IF(ISNUMBER(tblData[Day'# Singapore]),betaSingapore/(deltaSingapore+betaPodeltaSingapore*EXP(-betaSingapore*tblData[Day'# Singapore])),"")</f>
        <v>110.0223189111525</v>
      </c>
      <c r="BI52" s="11">
        <f>IF(AND(ISNUMBER(tblData[Singapore]),tblData[Date]&gt;=StartDt2Singapore),(tblData[[#This Row],[Singapore LogiP(t)]]-tblData[[#This Row],[Singapore]])^2,"")</f>
        <v>4.9813379503300839E-4</v>
      </c>
      <c r="BJ52" s="11">
        <f>IF(ISNUMBER(tblData[Day'# Singapore]),tblData[Singapore LogiP(t)]/$BI$9,"")</f>
        <v>188.07234001906411</v>
      </c>
      <c r="BK52" s="11">
        <f>IF(ISNUMBER(tblData[Day'# Generic]),betaGeneric/(deltaGeneric+betaPodeltaGeneric*EXP(-betaGeneric*tblData[Day'# Generic])),"")</f>
        <v>66958.839857243511</v>
      </c>
      <c r="BL52" s="11">
        <f>IF(AND(ISNUMBER(tblData[Generic]),tblData[Date]&gt;=StartDt2Generic),(tblData[Generic LogiP(t)]-tblData[[#This Row],[Generic]])^2,"")</f>
        <v>66646.65930805089</v>
      </c>
      <c r="BM52" s="11">
        <f>IF(ISNUMBER(tblData[Day'# Generic]),tblData[Generic LogiP(t)]/$BL$9,"")</f>
        <v>11445.955531152738</v>
      </c>
      <c r="BO52" s="11"/>
      <c r="BP52" s="11" t="str">
        <f>IF(ISNUMBER(tblData[[#This Row],[Tests]]),tblData[[#This Row],[Tests]]-BP51,"")</f>
        <v/>
      </c>
      <c r="BQ52" s="11" t="str">
        <f>IF(ISNUMBER(tblData[[#This Row],[NSW Under Investigation'']]),tblData[[#This Row],[NSW Under Investigation'']]-BO51,"")</f>
        <v/>
      </c>
      <c r="BR52" s="11"/>
      <c r="BS52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52" s="11" t="str">
        <f>IF(tblData[Tests]&gt;0,(tblData[[#This Row],[Tests]]-tblData[[#This Row],[NSW Test Logi]])^2,"")</f>
        <v/>
      </c>
      <c r="BU52" s="11" t="str">
        <f>IF(ISNUMBER(tblData[Tests]),tblData[Tests]/$BS$9/100,"")</f>
        <v/>
      </c>
      <c r="BV52" s="11" t="str">
        <f>IF(AND(tblData[[#This Row],[NSW Test Day Number]]&gt;0,ISNUMBER(tblData[[#This Row],[NSW Test Day Number]])),TestsLogestB*TestsLogestM^tblData[[#This Row],[NSW Test Day Number]],"")</f>
        <v/>
      </c>
      <c r="BW52" s="11" t="str">
        <f>IF(AND(tblData[[#This Row],[NSW Test Day Number]]&gt;0,ISNUMBER(tblData[Tests])),(tblData[Tests]-tblData[[#This Row],[NSW Test Per Capita]])^2,"")</f>
        <v/>
      </c>
      <c r="BX52" s="11"/>
      <c r="BY52" s="11"/>
      <c r="BZ52"/>
      <c r="CB52" s="25"/>
      <c r="CD52" s="25"/>
      <c r="CK52"/>
      <c r="CL52"/>
      <c r="CN52" s="25"/>
      <c r="CO52" s="25"/>
      <c r="CP52" s="25"/>
      <c r="DC52"/>
      <c r="DD52"/>
      <c r="DG52" s="25"/>
      <c r="DH52" s="25"/>
      <c r="DV52"/>
      <c r="DW52"/>
      <c r="DX52"/>
      <c r="DY52" s="26" t="s">
        <v>153</v>
      </c>
      <c r="DZ52" s="76">
        <v>43916.899039351854</v>
      </c>
      <c r="EA52" s="26">
        <v>43855</v>
      </c>
      <c r="EB52" s="26">
        <v>43855</v>
      </c>
      <c r="EC52">
        <v>1</v>
      </c>
      <c r="ED52" s="25">
        <v>0.20855545594562394</v>
      </c>
      <c r="EE52" s="95">
        <v>2.1724930507479493E-5</v>
      </c>
      <c r="EF52" s="25">
        <v>4.178927841893056E-3</v>
      </c>
      <c r="EG52" s="25">
        <v>9599.8215448294359</v>
      </c>
      <c r="EH52" s="97">
        <v>15.099122382386785</v>
      </c>
      <c r="EI52" s="26">
        <v>49.906428885412708</v>
      </c>
      <c r="EJ52" s="25">
        <v>2.1724930507479492E-2</v>
      </c>
      <c r="EK52" s="26">
        <v>43916</v>
      </c>
      <c r="EL52" s="98" t="s">
        <v>1873</v>
      </c>
      <c r="EM52" s="25">
        <v>9599.8215448294359</v>
      </c>
      <c r="EN52" s="26">
        <v>1219</v>
      </c>
      <c r="EO52" s="25" t="s">
        <v>1785</v>
      </c>
      <c r="EP52" s="26">
        <v>43916</v>
      </c>
      <c r="EQ52" s="25">
        <v>62</v>
      </c>
      <c r="ER52" s="25" t="s">
        <v>1874</v>
      </c>
      <c r="ET52" s="82" t="s">
        <v>1875</v>
      </c>
      <c r="EV52" s="82" t="s">
        <v>1876</v>
      </c>
      <c r="EW52">
        <v>1508.6633663366335</v>
      </c>
      <c r="EX52" s="25"/>
      <c r="EZ52" s="25"/>
      <c r="FA52"/>
      <c r="FB52" t="s">
        <v>1850</v>
      </c>
      <c r="FC52" s="25"/>
    </row>
    <row r="53" spans="2:194" x14ac:dyDescent="0.25">
      <c r="B53" s="1">
        <v>43894</v>
      </c>
      <c r="C53">
        <v>0</v>
      </c>
      <c r="D53" s="25">
        <v>0</v>
      </c>
      <c r="E53">
        <v>22</v>
      </c>
      <c r="F53">
        <v>1</v>
      </c>
      <c r="G53">
        <v>11</v>
      </c>
      <c r="H53">
        <v>5</v>
      </c>
      <c r="I53">
        <v>1</v>
      </c>
      <c r="J53">
        <v>10</v>
      </c>
      <c r="K53">
        <v>2</v>
      </c>
      <c r="L53" s="12">
        <f>IF(ISNUMBER(tblData[[#This Row],[NSW]]),tblData[[#This Row],[New South Wales]]/$L$9,"")</f>
        <v>27.227722772277225</v>
      </c>
      <c r="M53" s="25">
        <v>3089</v>
      </c>
      <c r="N53" s="124">
        <f>IF(ISNUMBER(tblData[Italy]),tblData[Italy]/$N$9,"")</f>
        <v>510.70513350417463</v>
      </c>
      <c r="O53">
        <v>149</v>
      </c>
      <c r="P53" s="124">
        <f>IF(ISNUMBER(tblData[US]),tblData[US]/$P$9,"")</f>
        <v>4.525742493161558</v>
      </c>
      <c r="Q53">
        <v>5621</v>
      </c>
      <c r="R53" s="124">
        <f>IF(ISNUMBER(tblData[SKorea]),tblData[SKorea]/$R$9,"")</f>
        <v>1093.5797665369651</v>
      </c>
      <c r="S53">
        <v>86</v>
      </c>
      <c r="T53" s="124">
        <f>IF(ISNUMBER(tblData[UK]),tblData[UK]/$T$9,"")</f>
        <v>12.944009632751355</v>
      </c>
      <c r="U53">
        <v>80386</v>
      </c>
      <c r="V53" s="124">
        <f>IF(ISNUMBER(tblData[China]),tblData[China]/$V$9,"")</f>
        <v>558.49838195127541</v>
      </c>
      <c r="W53">
        <v>110</v>
      </c>
      <c r="X53" s="124">
        <f>IF(ISNUMBER(tblData[Singapore]),tblData[Singapore]/$X$9,"")</f>
        <v>188.03418803418805</v>
      </c>
      <c r="Y53">
        <v>67332</v>
      </c>
      <c r="Z53" s="20">
        <f>IF(AND(LEN(tblData[Generic])&gt;0,ISNUMBER(tblData[Generic])),tblData[Generic]/$Z$9,"")</f>
        <v>11509.74358974359</v>
      </c>
      <c r="AA53" s="25">
        <f>IF(tblData[[#This Row],[Date]]&lt;ItalyStart,"",tblData[[#This Row],[Date]]-ItalyStart)</f>
        <v>34</v>
      </c>
      <c r="AB53" s="25">
        <f>IF(tblData[[#This Row],[Date]]&lt;USStart,"",tblData[[#This Row],[Date]]-USStart)</f>
        <v>42</v>
      </c>
      <c r="AC53" s="25">
        <f>IF(tblData[[#This Row],[Date]]&lt;ChinaStart,"",tblData[[#This Row],[Date]]-ChinaStart)</f>
        <v>42</v>
      </c>
      <c r="AD53" s="25">
        <f>IF(tblData[[#This Row],[Date]]&lt;StartDt2Korea,"",tblData[[#This Row],[Date]]-StartDt2Korea)</f>
        <v>14</v>
      </c>
      <c r="AE53" s="25">
        <f>IF(tblData[[#This Row],[Date]]&lt;UKStart,"",tblData[[#This Row],[Date]]-UKStart)</f>
        <v>34</v>
      </c>
      <c r="AF53" s="25">
        <f>IF(tblData[[#This Row],[Date]]&lt;SingaporeStart,"",tblData[[#This Row],[Date]]-SingaporeStart)</f>
        <v>41</v>
      </c>
      <c r="AG53" s="25">
        <f>IF(tblData[[#This Row],[Date]]&lt;GenStart,"",tblData[[#This Row],[Date]]-GenStart)</f>
        <v>42</v>
      </c>
      <c r="AH53">
        <f>IF(tblData[Date]&gt;=StartDt2Au,tblData[Date]-StartDt2Au,"")</f>
        <v>39</v>
      </c>
      <c r="AI53" s="25">
        <f>IF(tblData[New South Wales]&gt;0,SUM(tblData[[#This Row],[Australian Capital Territory]:[Western Australia]]),"")</f>
        <v>52</v>
      </c>
      <c r="AJ53" s="12">
        <f>IF(ISNUMBER(tblData[Au]),tblData[Au]/$AE$9,"")</f>
        <v>20.501498186405929</v>
      </c>
      <c r="AK53" s="19">
        <f>IF(ISNUMBER(tblData[[#This Row],[Day'# Aust]]),betaAu/(deltaAu+betaPodeltaAu*EXP(-betaAu*tblData[[#This Row],[Day'# Aust]])),"")</f>
        <v>18.488014060921593</v>
      </c>
      <c r="AL53" s="66">
        <f>IF(ISNUMBER(tblData[Day'# Aust]),tblData[Au LogiP(t)]/$AJ$9,"")</f>
        <v>7.2890766680813721</v>
      </c>
      <c r="AM53" s="11">
        <f>IF(AND(tblData[Date]&gt;=StartDt2Au,ISNUMBER(tblData[NSW])),(tblData[[#This Row],[Au LogiP(t)]]-tblData[[#This Row],[Au]])^2,"")</f>
        <v>1123.0532015809888</v>
      </c>
      <c r="AN53">
        <f>IF(tblData[Date]&gt;StartDt2NSW,tblData[Date]-StartDt2NSW,"")</f>
        <v>39</v>
      </c>
      <c r="AO53">
        <f t="shared" si="4"/>
        <v>22</v>
      </c>
      <c r="AP53" s="11">
        <f>IF(tblData[Date]&gt;StartDt2NSW,betaNSW/(deltaNSW+betaPodeltaNSW*EXP(-betaNSW*tblData[[#This Row],[Day '# NSW]])),"")</f>
        <v>14.217598517817352</v>
      </c>
      <c r="AQ53" s="12">
        <f>IF(AND(ISNUMBER(tblData[NSW]),tblData[Date]&gt;StartDt2NSW),(tblData[[#This Row],[NSW LogiP(t)]]-tblData[[#This Row],[NSW]])^2,"")</f>
        <v>60.565772829878675</v>
      </c>
      <c r="AR53" s="12">
        <f>IF(AND(tblData[Date]&gt;StartDt2NSW,ISNUMBER(tblData[Day'# Aust])),tblData[NSW LogiP(t)]/$AQ$9,"")</f>
        <v>17.596037769575929</v>
      </c>
      <c r="AS53" s="11">
        <f>IF(AND(tblData[Date]&gt;StartDt2Italy,ISNUMBER(tblData[Days'# Italy])),betaItaly/(deltaItaly+betaPodeltaItaly*EXP(-betaItaly*tblData[Days'# Italy])),"")</f>
        <v>2708.2591970047456</v>
      </c>
      <c r="AT53" s="11">
        <f>IF(AND(tblData[Date]&gt;StartDt2Italy,ISNUMBER(tblData[Italy])),(tblData[[#This Row],[Italy LogiP(t)]]-tblData[[#This Row],[Italy]])^2,"")</f>
        <v>144963.55906547111</v>
      </c>
      <c r="AU53" s="41">
        <f>IF(AND(tblData[Date]&gt;StartDt2Italy,ISNUMBER(tblData[Days'# Italy])),tblData[[#This Row],[Italy LogiP(t)]]/$AT$9,"")</f>
        <v>447.75716243775247</v>
      </c>
      <c r="AV53" s="20">
        <f>IF(ISNUMBER(tblData[[#This Row],[Days'# US]]),betaUS/(deltaUS+betaPodeltaUS*EXP(-betaUS*tblData[Days'# US])),"")</f>
        <v>259.66532388183964</v>
      </c>
      <c r="AW53" s="11">
        <f>IF(AND(tblData[Date]&gt;=StartDt2US,ISNUMBER(tblData[US])),(tblData[[#This Row],[US LogiP(t)]]-tblData[US])^2,"")</f>
        <v>12246.813909872468</v>
      </c>
      <c r="AX53" s="20">
        <f>IF(ISNUMBER(tblData[[#This Row],[Days'# US]]),tblData[[#This Row],[US LogiP(t)]]/$AW$9,"")</f>
        <v>7.8871032905543652</v>
      </c>
      <c r="AY53" s="20">
        <f>IF(tblData[Date]&gt;=StartDt2Korea,betaSKorea/(deltaSKorea+betaPodeltaSKorea*EXP(-betaSKorea*(tblData[Date]-StartDt2Korea))),"")</f>
        <v>5476.6723944450814</v>
      </c>
      <c r="AZ53" s="20">
        <f>IF(AND(tblData[Date]&gt;=StartDt2Korea,ISNUMBER(tblData[SKorea])),(tblData[[#This Row],[SKorea LogiP(t)]]-tblData[[#This Row],[SKorea]])^2,"")</f>
        <v>20830.457725216169</v>
      </c>
      <c r="BA53" s="20">
        <f>IF(tblData[Date]&gt;=StartDt2Korea,tblData[[#This Row],[SKorea LogiP(t)]]/$AZ$9,"")</f>
        <v>1065.5004658453468</v>
      </c>
      <c r="BB53" s="11">
        <f>IF(ISNUMBER(tblData[Days'# UK]),betaUK/(deltaUK+betaPodeltaUK*EXP(-betaUK*tblData[Days'# UK])),"")</f>
        <v>102.69495789943865</v>
      </c>
      <c r="BC53" s="20">
        <f>IF(ISNUMBER(tblData[UK]),(tblData[[#This Row],[UK LogiP(t)]]-tblData[[#This Row],[UK]])^2,"")</f>
        <v>278.7216192640289</v>
      </c>
      <c r="BD53" s="20">
        <f>IF(ISNUMBER(tblData[Days'# UK]),tblData[[#This Row],[UK LogiP(t)]]/$BC$9,"")</f>
        <v>15.45679679401545</v>
      </c>
      <c r="BE53" s="11">
        <f>IF(ISNUMBER(tblData[Days'# China]),betaChina/(deltaChina+betaPodeltaChina*EXP(-betaChina*tblData[Days'# China])),"")</f>
        <v>80646.128941548828</v>
      </c>
      <c r="BF53" s="11">
        <f>IF(ISNUMBER(tblData[China]),(tblData[[#This Row],[China LogiP(t)]]-tblData[[#This Row],[China]])^2,"")</f>
        <v>67667.066231313656</v>
      </c>
      <c r="BG53" s="11">
        <f>tblData[[#This Row],[China LogiP(t)]]/$BF$9</f>
        <v>560.30568164218823</v>
      </c>
      <c r="BH53" s="11">
        <f>IF(ISNUMBER(tblData[Day'# Singapore]),betaSingapore/(deltaSingapore+betaPodeltaSingapore*EXP(-betaSingapore*tblData[Day'# Singapore])),"")</f>
        <v>118.52936023587007</v>
      </c>
      <c r="BI53" s="11">
        <f>IF(AND(ISNUMBER(tblData[Singapore]),tblData[Date]&gt;=StartDt2Singapore),(tblData[[#This Row],[Singapore LogiP(t)]]-tblData[[#This Row],[Singapore]])^2,"")</f>
        <v>72.749986033241584</v>
      </c>
      <c r="BJ53" s="11">
        <f>IF(ISNUMBER(tblData[Day'# Singapore]),tblData[Singapore LogiP(t)]/$BI$9,"")</f>
        <v>202.61429100148732</v>
      </c>
      <c r="BK53" s="11">
        <f>IF(ISNUMBER(tblData[Day'# Generic]),betaGeneric/(deltaGeneric+betaPodeltaGeneric*EXP(-betaGeneric*tblData[Day'# Generic])),"")</f>
        <v>67027.652479335913</v>
      </c>
      <c r="BL53" s="11">
        <f>IF(AND(ISNUMBER(tblData[Generic]),tblData[Date]&gt;=StartDt2Generic),(tblData[Generic LogiP(t)]-tblData[[#This Row],[Generic]])^2,"")</f>
        <v>92627.413334376804</v>
      </c>
      <c r="BM53" s="11">
        <f>IF(ISNUMBER(tblData[Day'# Generic]),tblData[Generic LogiP(t)]/$BL$9,"")</f>
        <v>11457.718372536054</v>
      </c>
      <c r="BO53" s="11"/>
      <c r="BP53" s="11" t="str">
        <f>IF(ISNUMBER(tblData[[#This Row],[Tests]]),tblData[[#This Row],[Tests]]-BP52,"")</f>
        <v/>
      </c>
      <c r="BQ53" s="11" t="str">
        <f>IF(ISNUMBER(tblData[[#This Row],[NSW Under Investigation'']]),tblData[[#This Row],[NSW Under Investigation'']]-BO52,"")</f>
        <v/>
      </c>
      <c r="BR53" s="11"/>
      <c r="BS53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53" s="11" t="str">
        <f>IF(tblData[Tests]&gt;0,(tblData[[#This Row],[Tests]]-tblData[[#This Row],[NSW Test Logi]])^2,"")</f>
        <v/>
      </c>
      <c r="BU53" s="11" t="str">
        <f>IF(ISNUMBER(tblData[Tests]),tblData[Tests]/$BS$9/100,"")</f>
        <v/>
      </c>
      <c r="BV53" s="11" t="str">
        <f>IF(AND(tblData[[#This Row],[NSW Test Day Number]]&gt;0,ISNUMBER(tblData[[#This Row],[NSW Test Day Number]])),TestsLogestB*TestsLogestM^tblData[[#This Row],[NSW Test Day Number]],"")</f>
        <v/>
      </c>
      <c r="BW53" s="11" t="str">
        <f>IF(AND(tblData[[#This Row],[NSW Test Day Number]]&gt;0,ISNUMBER(tblData[Tests])),(tblData[Tests]-tblData[[#This Row],[NSW Test Per Capita]])^2,"")</f>
        <v/>
      </c>
      <c r="BX53" s="11"/>
      <c r="BY53" s="11"/>
      <c r="BZ53"/>
      <c r="CB53" s="25"/>
      <c r="CD53" s="25"/>
      <c r="CK53"/>
      <c r="CL53"/>
      <c r="CN53" s="25"/>
      <c r="CO53" s="25"/>
      <c r="CP53" s="25"/>
      <c r="DC53"/>
      <c r="DD53"/>
      <c r="DG53" s="25"/>
      <c r="DH53" s="25"/>
      <c r="DV53"/>
      <c r="DW53"/>
      <c r="DX53"/>
      <c r="DY53" s="25" t="s">
        <v>58</v>
      </c>
      <c r="EA53" s="26">
        <v>43860</v>
      </c>
      <c r="EC53">
        <v>2</v>
      </c>
      <c r="ED53" s="22">
        <v>0.26341245608301456</v>
      </c>
      <c r="EE53" s="24">
        <v>8.0178356113971791E-6</v>
      </c>
      <c r="EF53" s="21">
        <v>0.43807876080500274</v>
      </c>
      <c r="EG53" s="96">
        <v>32853.312146806733</v>
      </c>
      <c r="EH53" s="19">
        <v>317.87708238738571</v>
      </c>
      <c r="EI53" s="36">
        <v>0.60128216021130942</v>
      </c>
      <c r="EJ53" s="98">
        <v>8.0178356113971786E-3</v>
      </c>
      <c r="EK53" s="26">
        <v>43904</v>
      </c>
      <c r="EL53" s="26" t="s">
        <v>215</v>
      </c>
      <c r="EM53" s="26"/>
      <c r="EN53" s="98"/>
      <c r="EO53" s="19"/>
      <c r="EQ53" s="25"/>
      <c r="ER53" s="18"/>
      <c r="ET53"/>
      <c r="EU53" s="25"/>
      <c r="EV53" s="25"/>
      <c r="EW53" s="25"/>
      <c r="EX53" s="82"/>
      <c r="EY53" s="25"/>
      <c r="EZ53" s="82"/>
      <c r="FC53" s="25"/>
    </row>
    <row r="54" spans="2:194" x14ac:dyDescent="0.25">
      <c r="B54" s="1">
        <v>43895</v>
      </c>
      <c r="C54">
        <v>0</v>
      </c>
      <c r="D54" s="25">
        <v>0</v>
      </c>
      <c r="E54">
        <v>22</v>
      </c>
      <c r="F54">
        <v>1</v>
      </c>
      <c r="G54">
        <v>13</v>
      </c>
      <c r="H54">
        <v>5</v>
      </c>
      <c r="I54">
        <v>1</v>
      </c>
      <c r="J54">
        <v>10</v>
      </c>
      <c r="K54">
        <v>3</v>
      </c>
      <c r="L54" s="12">
        <f>IF(ISNUMBER(tblData[[#This Row],[NSW]]),tblData[[#This Row],[New South Wales]]/$L$9,"")</f>
        <v>27.227722772277225</v>
      </c>
      <c r="M54" s="25">
        <v>3858</v>
      </c>
      <c r="N54" s="124">
        <f>IF(ISNUMBER(tblData[Italy]),tblData[Italy]/$N$9,"")</f>
        <v>637.84409357691993</v>
      </c>
      <c r="O54">
        <v>217</v>
      </c>
      <c r="P54" s="124">
        <f>IF(ISNUMBER(tblData[US]),tblData[US]/$P$9,"")</f>
        <v>6.5911820202420008</v>
      </c>
      <c r="Q54">
        <v>6088</v>
      </c>
      <c r="R54" s="124">
        <f>IF(ISNUMBER(tblData[SKorea]),tblData[SKorea]/$R$9,"")</f>
        <v>1184.4357976653698</v>
      </c>
      <c r="S54">
        <v>116</v>
      </c>
      <c r="T54" s="124">
        <f>IF(ISNUMBER(tblData[UK]),tblData[UK]/$T$9,"")</f>
        <v>17.459361830222758</v>
      </c>
      <c r="U54">
        <v>80537</v>
      </c>
      <c r="V54" s="124">
        <f>IF(ISNUMBER(tblData[China]),tblData[China]/$V$9,"")</f>
        <v>559.54748572151709</v>
      </c>
      <c r="W54">
        <v>117</v>
      </c>
      <c r="X54" s="124">
        <f>IF(ISNUMBER(tblData[Singapore]),tblData[Singapore]/$X$9,"")</f>
        <v>200</v>
      </c>
      <c r="Y54">
        <v>67466</v>
      </c>
      <c r="Z54" s="20">
        <f>IF(AND(LEN(tblData[Generic])&gt;0,ISNUMBER(tblData[Generic])),tblData[Generic]/$Z$9,"")</f>
        <v>11532.649572649574</v>
      </c>
      <c r="AA54" s="25">
        <f>IF(tblData[[#This Row],[Date]]&lt;ItalyStart,"",tblData[[#This Row],[Date]]-ItalyStart)</f>
        <v>35</v>
      </c>
      <c r="AB54" s="25">
        <f>IF(tblData[[#This Row],[Date]]&lt;USStart,"",tblData[[#This Row],[Date]]-USStart)</f>
        <v>43</v>
      </c>
      <c r="AC54" s="25">
        <f>IF(tblData[[#This Row],[Date]]&lt;ChinaStart,"",tblData[[#This Row],[Date]]-ChinaStart)</f>
        <v>43</v>
      </c>
      <c r="AD54" s="25">
        <f>IF(tblData[[#This Row],[Date]]&lt;StartDt2Korea,"",tblData[[#This Row],[Date]]-StartDt2Korea)</f>
        <v>15</v>
      </c>
      <c r="AE54" s="25">
        <f>IF(tblData[[#This Row],[Date]]&lt;UKStart,"",tblData[[#This Row],[Date]]-UKStart)</f>
        <v>35</v>
      </c>
      <c r="AF54" s="25">
        <f>IF(tblData[[#This Row],[Date]]&lt;SingaporeStart,"",tblData[[#This Row],[Date]]-SingaporeStart)</f>
        <v>42</v>
      </c>
      <c r="AG54" s="25">
        <f>IF(tblData[[#This Row],[Date]]&lt;GenStart,"",tblData[[#This Row],[Date]]-GenStart)</f>
        <v>43</v>
      </c>
      <c r="AH54">
        <f>IF(tblData[Date]&gt;=StartDt2Au,tblData[Date]-StartDt2Au,"")</f>
        <v>40</v>
      </c>
      <c r="AI54" s="25">
        <f>IF(tblData[New South Wales]&gt;0,SUM(tblData[[#This Row],[Australian Capital Territory]:[Western Australia]]),"")</f>
        <v>55</v>
      </c>
      <c r="AJ54" s="12">
        <f>IF(ISNUMBER(tblData[Au]),tblData[Au]/$AE$9,"")</f>
        <v>21.68427692792935</v>
      </c>
      <c r="AK54" s="19">
        <f>IF(ISNUMBER(tblData[[#This Row],[Day'# Aust]]),betaAu/(deltaAu+betaPodeltaAu*EXP(-betaAu*tblData[[#This Row],[Day'# Aust]])),"")</f>
        <v>23.768408794805396</v>
      </c>
      <c r="AL54" s="66">
        <f>IF(ISNUMBER(tblData[Day'# Aust]),tblData[Au LogiP(t)]/$AJ$9,"")</f>
        <v>9.3709228807780303</v>
      </c>
      <c r="AM54" s="11">
        <f>IF(AND(tblData[Date]&gt;=StartDt2Au,ISNUMBER(tblData[NSW])),(tblData[[#This Row],[Au LogiP(t)]]-tblData[[#This Row],[Au]])^2,"")</f>
        <v>975.41228920838898</v>
      </c>
      <c r="AN54">
        <f>IF(tblData[Date]&gt;StartDt2NSW,tblData[Date]-StartDt2NSW,"")</f>
        <v>40</v>
      </c>
      <c r="AO54">
        <f t="shared" si="4"/>
        <v>22</v>
      </c>
      <c r="AP54" s="11">
        <f>IF(tblData[Date]&gt;StartDt2NSW,betaNSW/(deltaNSW+betaPodeltaNSW*EXP(-betaNSW*tblData[[#This Row],[Day '# NSW]])),"")</f>
        <v>17.508607169120769</v>
      </c>
      <c r="AQ54" s="12">
        <f>IF(AND(ISNUMBER(tblData[NSW]),tblData[Date]&gt;StartDt2NSW),(tblData[[#This Row],[NSW LogiP(t)]]-tblData[[#This Row],[NSW]])^2,"")</f>
        <v>20.172609561273358</v>
      </c>
      <c r="AR54" s="12">
        <f>IF(AND(tblData[Date]&gt;StartDt2NSW,ISNUMBER(tblData[Day'# Aust])),tblData[NSW LogiP(t)]/$AQ$9,"")</f>
        <v>21.669068278614812</v>
      </c>
      <c r="AS54" s="11">
        <f>IF(AND(tblData[Date]&gt;StartDt2Italy,ISNUMBER(tblData[Days'# Italy])),betaItaly/(deltaItaly+betaPodeltaItaly*EXP(-betaItaly*tblData[Days'# Italy])),"")</f>
        <v>3467.4838978245139</v>
      </c>
      <c r="AT54" s="11">
        <f>IF(AND(tblData[Date]&gt;StartDt2Italy,ISNUMBER(tblData[Italy])),(tblData[[#This Row],[Italy LogiP(t)]]-tblData[[#This Row],[Italy]])^2,"")</f>
        <v>152502.82605833473</v>
      </c>
      <c r="AU54" s="41">
        <f>IF(AND(tblData[Date]&gt;StartDt2Italy,ISNUMBER(tblData[Days'# Italy])),tblData[[#This Row],[Italy LogiP(t)]]/$AT$9,"")</f>
        <v>573.27996988088182</v>
      </c>
      <c r="AV54" s="20">
        <f>IF(ISNUMBER(tblData[[#This Row],[Days'# US]]),betaUS/(deltaUS+betaPodeltaUS*EXP(-betaUS*tblData[Days'# US])),"")</f>
        <v>342.50649843550946</v>
      </c>
      <c r="AW54" s="11">
        <f>IF(AND(tblData[Date]&gt;=StartDt2US,ISNUMBER(tblData[US])),(tblData[[#This Row],[US LogiP(t)]]-tblData[US])^2,"")</f>
        <v>15751.881149542538</v>
      </c>
      <c r="AX54" s="20">
        <f>IF(ISNUMBER(tblData[[#This Row],[Days'# US]]),tblData[[#This Row],[US LogiP(t)]]/$AW$9,"")</f>
        <v>10.403330296332603</v>
      </c>
      <c r="AY54" s="20">
        <f>IF(tblData[Date]&gt;=StartDt2Korea,betaSKorea/(deltaSKorea+betaPodeltaSKorea*EXP(-betaSKorea*(tblData[Date]-StartDt2Korea))),"")</f>
        <v>6047.0750031025427</v>
      </c>
      <c r="AZ54" s="20">
        <f>IF(AND(tblData[Date]&gt;=StartDt2Korea,ISNUMBER(tblData[SKorea])),(tblData[[#This Row],[SKorea LogiP(t)]]-tblData[[#This Row],[SKorea]])^2,"")</f>
        <v>1674.8553710568876</v>
      </c>
      <c r="BA54" s="20">
        <f>IF(tblData[Date]&gt;=StartDt2Korea,tblData[[#This Row],[SKorea LogiP(t)]]/$AZ$9,"")</f>
        <v>1176.4737360121678</v>
      </c>
      <c r="BB54" s="11">
        <f>IF(ISNUMBER(tblData[Days'# UK]),betaUK/(deltaUK+betaPodeltaUK*EXP(-betaUK*tblData[Days'# UK])),"")</f>
        <v>130.04452565006301</v>
      </c>
      <c r="BC54" s="20">
        <f>IF(ISNUMBER(tblData[UK]),(tblData[[#This Row],[UK LogiP(t)]]-tblData[[#This Row],[UK]])^2,"")</f>
        <v>197.24870073527777</v>
      </c>
      <c r="BD54" s="20">
        <f>IF(ISNUMBER(tblData[Days'# UK]),tblData[[#This Row],[UK LogiP(t)]]/$BC$9,"")</f>
        <v>19.573227822104606</v>
      </c>
      <c r="BE54" s="11">
        <f>IF(ISNUMBER(tblData[Days'# China]),betaChina/(deltaChina+betaPodeltaChina*EXP(-betaChina*tblData[Days'# China])),"")</f>
        <v>80719.5296597673</v>
      </c>
      <c r="BF54" s="11">
        <f>IF(ISNUMBER(tblData[China]),(tblData[[#This Row],[China LogiP(t)]]-tblData[[#This Row],[China]])^2,"")</f>
        <v>33317.076694766467</v>
      </c>
      <c r="BG54" s="11">
        <f>tblData[[#This Row],[China LogiP(t)]]/$BF$9</f>
        <v>560.81564833239645</v>
      </c>
      <c r="BH54" s="11">
        <f>IF(ISNUMBER(tblData[Day'# Singapore]),betaSingapore/(deltaSingapore+betaPodeltaSingapore*EXP(-betaSingapore*tblData[Day'# Singapore])),"")</f>
        <v>127.69417493505019</v>
      </c>
      <c r="BI54" s="11">
        <f>IF(AND(ISNUMBER(tblData[Singapore]),tblData[Date]&gt;=StartDt2Singapore),(tblData[[#This Row],[Singapore LogiP(t)]]-tblData[[#This Row],[Singapore]])^2,"")</f>
        <v>114.36537754145563</v>
      </c>
      <c r="BJ54" s="11">
        <f>IF(ISNUMBER(tblData[Day'# Singapore]),tblData[Singapore LogiP(t)]/$BI$9,"")</f>
        <v>218.2806409146157</v>
      </c>
      <c r="BK54" s="11">
        <f>IF(ISNUMBER(tblData[Day'# Generic]),betaGeneric/(deltaGeneric+betaPodeltaGeneric*EXP(-betaGeneric*tblData[Day'# Generic])),"")</f>
        <v>67082.991698691607</v>
      </c>
      <c r="BL54" s="11">
        <f>IF(AND(ISNUMBER(tblData[Generic]),tblData[Date]&gt;=StartDt2Generic),(tblData[Generic LogiP(t)]-tblData[[#This Row],[Generic]])^2,"")</f>
        <v>146695.35887114087</v>
      </c>
      <c r="BM54" s="11">
        <f>IF(ISNUMBER(tblData[Day'# Generic]),tblData[Generic LogiP(t)]/$BL$9,"")</f>
        <v>11467.178068152412</v>
      </c>
      <c r="BN54">
        <v>0</v>
      </c>
      <c r="BO54" s="11"/>
      <c r="BP54" s="11"/>
      <c r="BQ54" s="11" t="str">
        <f>IF(ISNUMBER(tblData[[#This Row],[NSW Under Investigation'']]),tblData[[#This Row],[NSW Under Investigation'']]-BO53,"")</f>
        <v/>
      </c>
      <c r="BR54" s="11"/>
      <c r="BS54" s="11" t="str">
        <f>IF(AND(tblData[[#This Row],[NSW Test Day Number]]&gt;0,ISNUMBER(tblData[[#This Row],[NSW Test Day Number]])),betaTests/(deltaTests+betaPodeltaTests*EXP(-betaTests*tblData[[#This Row],[NSW Test Day Number]])),"")</f>
        <v/>
      </c>
      <c r="BT54" s="11" t="str">
        <f>IF(tblData[Tests]&gt;0,(tblData[[#This Row],[Tests]]-tblData[[#This Row],[NSW Test Logi]])^2,"")</f>
        <v/>
      </c>
      <c r="BU54" s="11">
        <f>IF(ISNUMBER(tblData[Tests]),tblData[Tests]/$BS$9/100,"")</f>
        <v>0</v>
      </c>
      <c r="BV54" s="11" t="str">
        <f>IF(AND(tblData[[#This Row],[NSW Test Day Number]]&gt;0,ISNUMBER(tblData[[#This Row],[NSW Test Day Number]])),TestsLogestB*TestsLogestM^tblData[[#This Row],[NSW Test Day Number]],"")</f>
        <v/>
      </c>
      <c r="BW54" s="11" t="str">
        <f>IF(AND(tblData[[#This Row],[NSW Test Day Number]]&gt;0,ISNUMBER(tblData[Tests])),(tblData[Tests]-tblData[[#This Row],[NSW Test Per Capita]])^2,"")</f>
        <v/>
      </c>
      <c r="BX54" s="11"/>
      <c r="BY54" s="11"/>
      <c r="BZ54"/>
      <c r="CB54" s="25"/>
      <c r="CD54" s="25"/>
      <c r="CK54"/>
      <c r="CL54"/>
      <c r="CN54" s="25"/>
      <c r="CO54" s="25"/>
      <c r="CP54" s="25"/>
      <c r="DC54"/>
      <c r="DD54"/>
      <c r="DG54" s="25"/>
      <c r="DH54" s="25"/>
      <c r="DV54"/>
      <c r="DW54"/>
      <c r="DX54"/>
      <c r="DY54" s="25" t="s">
        <v>58</v>
      </c>
      <c r="EA54" s="26">
        <v>43860</v>
      </c>
      <c r="EC54">
        <v>2</v>
      </c>
      <c r="ED54" s="22">
        <v>0.26295149930522799</v>
      </c>
      <c r="EE54" s="24">
        <v>7.2323673251486775E-6</v>
      </c>
      <c r="EF54" s="21">
        <v>0.43947505980618701</v>
      </c>
      <c r="EG54" s="96">
        <v>36357.597379060448</v>
      </c>
      <c r="EH54" s="21">
        <v>403.75439893608279</v>
      </c>
      <c r="EI54" s="36">
        <v>0.59832364770853697</v>
      </c>
      <c r="EJ54" s="98">
        <v>7.2323673251486779E-3</v>
      </c>
      <c r="EK54" s="26">
        <v>43905</v>
      </c>
      <c r="EL54" s="26" t="s">
        <v>487</v>
      </c>
      <c r="EM54" s="26"/>
      <c r="EN54" s="98"/>
      <c r="EQ54" s="25"/>
      <c r="ER54" s="18"/>
      <c r="ET54"/>
      <c r="EV54"/>
      <c r="EW54" s="25"/>
      <c r="EX54" s="82"/>
      <c r="EY54" s="19"/>
      <c r="EZ54" s="82"/>
      <c r="FC54" s="25"/>
    </row>
    <row r="55" spans="2:194" x14ac:dyDescent="0.25">
      <c r="B55" s="1">
        <v>43896</v>
      </c>
      <c r="C55">
        <v>0</v>
      </c>
      <c r="D55" s="25">
        <v>0</v>
      </c>
      <c r="E55">
        <v>26</v>
      </c>
      <c r="F55">
        <v>0</v>
      </c>
      <c r="G55">
        <v>13</v>
      </c>
      <c r="H55">
        <v>7</v>
      </c>
      <c r="I55">
        <v>1</v>
      </c>
      <c r="J55">
        <v>10</v>
      </c>
      <c r="K55">
        <v>3</v>
      </c>
      <c r="L55" s="12">
        <f>IF(ISNUMBER(tblData[[#This Row],[NSW]]),tblData[[#This Row],[New South Wales]]/$L$9,"")</f>
        <v>32.178217821782177</v>
      </c>
      <c r="M55" s="25">
        <v>4636</v>
      </c>
      <c r="N55" s="124">
        <f>IF(ISNUMBER(tblData[Italy]),tblData[Italy]/$N$9,"")</f>
        <v>766.47102587418374</v>
      </c>
      <c r="O55">
        <v>262</v>
      </c>
      <c r="P55" s="124">
        <f>IF(ISNUMBER(tblData[US]),tblData[US]/$P$9,"")</f>
        <v>7.9580170013981757</v>
      </c>
      <c r="Q55">
        <v>6593</v>
      </c>
      <c r="R55" s="124">
        <f>IF(ISNUMBER(tblData[SKorea]),tblData[SKorea]/$R$9,"")</f>
        <v>1282.6848249027239</v>
      </c>
      <c r="S55">
        <v>164</v>
      </c>
      <c r="T55" s="124">
        <f>IF(ISNUMBER(tblData[UK]),tblData[UK]/$T$9,"")</f>
        <v>24.683925346177002</v>
      </c>
      <c r="U55">
        <v>80690</v>
      </c>
      <c r="V55" s="124">
        <f>IF(ISNUMBER(tblData[China]),tblData[China]/$V$9,"")</f>
        <v>560.61048490593407</v>
      </c>
      <c r="W55">
        <v>130</v>
      </c>
      <c r="X55" s="124">
        <f>IF(ISNUMBER(tblData[Singapore]),tblData[Singapore]/$X$9,"")</f>
        <v>222.22222222222223</v>
      </c>
      <c r="Y55">
        <v>67592</v>
      </c>
      <c r="Z55" s="20">
        <f>IF(AND(LEN(tblData[Generic])&gt;0,ISNUMBER(tblData[Generic])),tblData[Generic]/$Z$9,"")</f>
        <v>11554.188034188035</v>
      </c>
      <c r="AA55" s="25">
        <f>IF(tblData[[#This Row],[Date]]&lt;ItalyStart,"",tblData[[#This Row],[Date]]-ItalyStart)</f>
        <v>36</v>
      </c>
      <c r="AB55" s="25">
        <f>IF(tblData[[#This Row],[Date]]&lt;USStart,"",tblData[[#This Row],[Date]]-USStart)</f>
        <v>44</v>
      </c>
      <c r="AC55" s="25">
        <f>IF(tblData[[#This Row],[Date]]&lt;ChinaStart,"",tblData[[#This Row],[Date]]-ChinaStart)</f>
        <v>44</v>
      </c>
      <c r="AD55" s="25">
        <f>IF(tblData[[#This Row],[Date]]&lt;StartDt2Korea,"",tblData[[#This Row],[Date]]-StartDt2Korea)</f>
        <v>16</v>
      </c>
      <c r="AE55" s="25">
        <f>IF(tblData[[#This Row],[Date]]&lt;UKStart,"",tblData[[#This Row],[Date]]-UKStart)</f>
        <v>36</v>
      </c>
      <c r="AF55" s="25">
        <f>IF(tblData[[#This Row],[Date]]&lt;SingaporeStart,"",tblData[[#This Row],[Date]]-SingaporeStart)</f>
        <v>43</v>
      </c>
      <c r="AG55" s="25">
        <f>IF(tblData[[#This Row],[Date]]&lt;GenStart,"",tblData[[#This Row],[Date]]-GenStart)</f>
        <v>44</v>
      </c>
      <c r="AH55">
        <f>IF(tblData[Date]&gt;=StartDt2Au,tblData[Date]-StartDt2Au,"")</f>
        <v>41</v>
      </c>
      <c r="AI55" s="25">
        <f>IF(tblData[New South Wales]&gt;0,SUM(tblData[[#This Row],[Australian Capital Territory]:[Western Australia]]),"")</f>
        <v>60</v>
      </c>
      <c r="AJ55" s="12">
        <f>IF(ISNUMBER(tblData[Au]),tblData[Au]/$AE$9,"")</f>
        <v>23.655574830468382</v>
      </c>
      <c r="AK55" s="19">
        <f>IF(ISNUMBER(tblData[[#This Row],[Day'# Aust]]),betaAu/(deltaAu+betaPodeltaAu*EXP(-betaAu*tblData[[#This Row],[Day'# Aust]])),"")</f>
        <v>30.550381265109987</v>
      </c>
      <c r="AL55" s="66">
        <f>IF(ISNUMBER(tblData[Day'# Aust]),tblData[Au LogiP(t)]/$AJ$9,"")</f>
        <v>12.04478050193581</v>
      </c>
      <c r="AM55" s="11">
        <f>IF(AND(tblData[Date]&gt;=StartDt2Au,ISNUMBER(tblData[NSW])),(tblData[[#This Row],[Au LogiP(t)]]-tblData[[#This Row],[Au]])^2,"")</f>
        <v>867.28004363038485</v>
      </c>
      <c r="AN55">
        <f>IF(tblData[Date]&gt;StartDt2NSW,tblData[Date]-StartDt2NSW,"")</f>
        <v>41</v>
      </c>
      <c r="AO55">
        <f t="shared" si="4"/>
        <v>26</v>
      </c>
      <c r="AP55" s="11">
        <f>IF(tblData[Date]&gt;StartDt2NSW,betaNSW/(deltaNSW+betaPodeltaNSW*EXP(-betaNSW*tblData[[#This Row],[Day '# NSW]])),"")</f>
        <v>21.559686356996767</v>
      </c>
      <c r="AQ55" s="12">
        <f>IF(AND(ISNUMBER(tblData[NSW]),tblData[Date]&gt;StartDt2NSW),(tblData[[#This Row],[NSW LogiP(t)]]-tblData[[#This Row],[NSW]])^2,"")</f>
        <v>19.716385248240638</v>
      </c>
      <c r="AR55" s="12">
        <f>IF(AND(tblData[Date]&gt;StartDt2NSW,ISNUMBER(tblData[Day'# Aust])),tblData[NSW LogiP(t)]/$AQ$9,"")</f>
        <v>26.682780144797977</v>
      </c>
      <c r="AS55" s="11">
        <f>IF(AND(tblData[Date]&gt;StartDt2Italy,ISNUMBER(tblData[Days'# Italy])),betaItaly/(deltaItaly+betaPodeltaItaly*EXP(-betaItaly*tblData[Days'# Italy])),"")</f>
        <v>4426.7023442389518</v>
      </c>
      <c r="AT55" s="11">
        <f>IF(AND(tblData[Date]&gt;StartDt2Italy,ISNUMBER(tblData[Italy])),(tblData[[#This Row],[Italy LogiP(t)]]-tblData[[#This Row],[Italy]])^2,"")</f>
        <v>43805.508707070228</v>
      </c>
      <c r="AU55" s="41">
        <f>IF(AND(tblData[Date]&gt;StartDt2Italy,ISNUMBER(tblData[Days'# Italy])),tblData[[#This Row],[Italy LogiP(t)]]/$AT$9,"")</f>
        <v>731.86779271537603</v>
      </c>
      <c r="AV55" s="20">
        <f>IF(ISNUMBER(tblData[[#This Row],[Days'# US]]),betaUS/(deltaUS+betaPodeltaUS*EXP(-betaUS*tblData[Days'# US])),"")</f>
        <v>451.71273544570545</v>
      </c>
      <c r="AW55" s="11">
        <f>IF(AND(tblData[Date]&gt;=StartDt2US,ISNUMBER(tblData[US])),(tblData[[#This Row],[US LogiP(t)]]-tblData[US])^2,"")</f>
        <v>35990.921990292227</v>
      </c>
      <c r="AX55" s="20">
        <f>IF(ISNUMBER(tblData[[#This Row],[Days'# US]]),tblData[[#This Row],[US LogiP(t)]]/$AW$9,"")</f>
        <v>13.720372627576337</v>
      </c>
      <c r="AY55" s="20">
        <f>IF(tblData[Date]&gt;=StartDt2Korea,betaSKorea/(deltaSKorea+betaPodeltaSKorea*EXP(-betaSKorea*(tblData[Date]-StartDt2Korea))),"")</f>
        <v>6552.5518288971352</v>
      </c>
      <c r="AZ55" s="20">
        <f>IF(AND(tblData[Date]&gt;=StartDt2Korea,ISNUMBER(tblData[SKorea])),(tblData[[#This Row],[SKorea LogiP(t)]]-tblData[[#This Row],[SKorea]])^2,"")</f>
        <v>1636.054545566624</v>
      </c>
      <c r="BA55" s="20">
        <f>IF(tblData[Date]&gt;=StartDt2Korea,tblData[[#This Row],[SKorea LogiP(t)]]/$AZ$9,"")</f>
        <v>1274.8155309138397</v>
      </c>
      <c r="BB55" s="11">
        <f>IF(ISNUMBER(tblData[Days'# UK]),betaUK/(deltaUK+betaPodeltaUK*EXP(-betaUK*tblData[Days'# UK])),"")</f>
        <v>164.62310165567104</v>
      </c>
      <c r="BC55" s="20">
        <f>IF(ISNUMBER(tblData[UK]),(tblData[[#This Row],[UK LogiP(t)]]-tblData[[#This Row],[UK]])^2,"")</f>
        <v>0.38825567329998606</v>
      </c>
      <c r="BD55" s="20">
        <f>IF(ISNUMBER(tblData[Days'# UK]),tblData[[#This Row],[UK LogiP(t)]]/$BC$9,"")</f>
        <v>24.777709460516412</v>
      </c>
      <c r="BE55" s="11">
        <f>IF(ISNUMBER(tblData[Days'# China]),betaChina/(deltaChina+betaPodeltaChina*EXP(-betaChina*tblData[Days'# China])),"")</f>
        <v>80778.405427230551</v>
      </c>
      <c r="BF55" s="11">
        <f>IF(ISNUMBER(tblData[China]),(tblData[[#This Row],[China LogiP(t)]]-tblData[[#This Row],[China]])^2,"")</f>
        <v>7815.5195638162731</v>
      </c>
      <c r="BG55" s="11">
        <f>tblData[[#This Row],[China LogiP(t)]]/$BF$9</f>
        <v>561.22469991929427</v>
      </c>
      <c r="BH55" s="11">
        <f>IF(ISNUMBER(tblData[Day'# Singapore]),betaSingapore/(deltaSingapore+betaPodeltaSingapore*EXP(-betaSingapore*tblData[Day'# Singapore])),"")</f>
        <v>137.56762273701602</v>
      </c>
      <c r="BI55" s="11">
        <f>IF(AND(ISNUMBER(tblData[Singapore]),tblData[Date]&gt;=StartDt2Singapore),(tblData[[#This Row],[Singapore LogiP(t)]]-tblData[[#This Row],[Singapore]])^2,"")</f>
        <v>57.268913889801887</v>
      </c>
      <c r="BJ55" s="11">
        <f>IF(ISNUMBER(tblData[Day'# Singapore]),tblData[Singapore LogiP(t)]/$BI$9,"")</f>
        <v>235.15832946498466</v>
      </c>
      <c r="BK55" s="11">
        <f>IF(ISNUMBER(tblData[Day'# Generic]),betaGeneric/(deltaGeneric+betaPodeltaGeneric*EXP(-betaGeneric*tblData[Day'# Generic])),"")</f>
        <v>67127.479380759833</v>
      </c>
      <c r="BL55" s="11">
        <f>IF(AND(ISNUMBER(tblData[Generic]),tblData[Date]&gt;=StartDt2Generic),(tblData[Generic LogiP(t)]-tblData[[#This Row],[Generic]])^2,"")</f>
        <v>215779.40569926862</v>
      </c>
      <c r="BM55" s="11">
        <f>IF(ISNUMBER(tblData[Day'# Generic]),tblData[Generic LogiP(t)]/$BL$9,"")</f>
        <v>11474.782800129886</v>
      </c>
      <c r="BN55">
        <v>6217</v>
      </c>
      <c r="BO55" s="11">
        <v>545</v>
      </c>
      <c r="BP55" s="11">
        <f>IF(ISNUMBER(tblData[[#This Row],[Tests]]),tblData[[#This Row],[Tests]]-BP54,"")</f>
        <v>6217</v>
      </c>
      <c r="BQ55" s="11">
        <f>IF(ISNUMBER(tblData[[#This Row],[NSW Under Investigation'']]),tblData[[#This Row],[NSW Under Investigation'']]-BO54,"")</f>
        <v>545</v>
      </c>
      <c r="BR55" s="11">
        <f>IF(tblData[[#This Row],[Date]]&gt;myData!TestsStart,tblData[[#This Row],[Date]]-myData!TestsStart,"")</f>
        <v>1</v>
      </c>
      <c r="BS55" s="11">
        <f>IF(AND(tblData[[#This Row],[NSW Test Day Number]]&gt;0,ISNUMBER(tblData[[#This Row],[NSW Test Day Number]])),betaTests/(deltaTests+betaPodeltaTests*EXP(-betaTests*tblData[[#This Row],[NSW Test Day Number]])),"")</f>
        <v>3762.6292540789545</v>
      </c>
      <c r="BT55" s="11">
        <f>IF(tblData[Tests]&gt;0,(tblData[[#This Row],[Tests]]-tblData[[#This Row],[NSW Test Logi]])^2,"")</f>
        <v>6023935.7584330291</v>
      </c>
      <c r="BU55" s="11">
        <f>IF(ISNUMBER(tblData[Tests]),tblData[Tests]/$BS$9/100,"")</f>
        <v>76.943069306930695</v>
      </c>
      <c r="BV55" s="124">
        <f ca="1">IF(AND(tblData[[#This Row],[NSW Test Day Number]]&gt;0,ISNUMBER(tblData[[#This Row],[NSW Test Day Number]])),TestsLogestB*TestsLogestM^tblData[[#This Row],[NSW Test Day Number]],"")</f>
        <v>5799.6385258679657</v>
      </c>
      <c r="BW55" s="11">
        <f>IF(AND(tblData[[#This Row],[NSW Test Day Number]]&gt;0,ISNUMBER(tblData[Tests])),(tblData[Tests]-tblData[[#This Row],[NSW Test Per Capita]])^2,"")</f>
        <v>37700299.112151995</v>
      </c>
      <c r="BX55" s="124"/>
      <c r="BY55" s="11"/>
      <c r="BZ55"/>
      <c r="CB55" s="25"/>
      <c r="CD55" s="25"/>
      <c r="CK55"/>
      <c r="CL55"/>
      <c r="CN55" s="25"/>
      <c r="CO55" s="25"/>
      <c r="CP55" s="25"/>
      <c r="DC55"/>
      <c r="DD55"/>
      <c r="DG55" s="25"/>
      <c r="DH55" s="25"/>
      <c r="DV55"/>
      <c r="DW55"/>
      <c r="DX55"/>
      <c r="DY55" t="s">
        <v>58</v>
      </c>
      <c r="EA55" s="26">
        <v>43860</v>
      </c>
      <c r="EC55">
        <v>2</v>
      </c>
      <c r="ED55" s="22">
        <v>0.26191421074859073</v>
      </c>
      <c r="EE55" s="24">
        <v>6.140019699733307E-6</v>
      </c>
      <c r="EF55" s="21">
        <v>0.44086139601669905</v>
      </c>
      <c r="EG55" s="96">
        <v>42656.90071971056</v>
      </c>
      <c r="EH55" s="19">
        <v>414.31666978327439</v>
      </c>
      <c r="EI55" s="36">
        <v>0.59409035632825868</v>
      </c>
      <c r="EJ55" s="98">
        <v>6.1400196997333069E-3</v>
      </c>
      <c r="EK55" s="26">
        <v>43906</v>
      </c>
      <c r="EL55" s="26" t="s">
        <v>678</v>
      </c>
      <c r="EM55" s="26"/>
      <c r="EN55" s="98">
        <v>27980</v>
      </c>
      <c r="EO55" s="19" t="s">
        <v>679</v>
      </c>
      <c r="EP55" s="26">
        <v>43906</v>
      </c>
      <c r="EQ55" s="25">
        <v>47</v>
      </c>
      <c r="ER55" s="18" t="s">
        <v>680</v>
      </c>
      <c r="ET55" t="s">
        <v>681</v>
      </c>
      <c r="EV55"/>
      <c r="EX55" s="82"/>
      <c r="EZ55" s="82"/>
      <c r="FA55"/>
      <c r="FC55" s="25"/>
    </row>
    <row r="56" spans="2:194" x14ac:dyDescent="0.25">
      <c r="B56" s="1">
        <v>43897</v>
      </c>
      <c r="C56">
        <v>0</v>
      </c>
      <c r="D56" s="25">
        <v>0</v>
      </c>
      <c r="E56">
        <v>28</v>
      </c>
      <c r="F56">
        <v>0</v>
      </c>
      <c r="G56">
        <v>13</v>
      </c>
      <c r="H56">
        <v>7</v>
      </c>
      <c r="I56">
        <v>1</v>
      </c>
      <c r="J56">
        <v>11</v>
      </c>
      <c r="K56">
        <v>3</v>
      </c>
      <c r="L56" s="12">
        <f>IF(ISNUMBER(tblData[[#This Row],[NSW]]),tblData[[#This Row],[New South Wales]]/$L$9,"")</f>
        <v>34.653465346534652</v>
      </c>
      <c r="M56" s="25">
        <v>5883</v>
      </c>
      <c r="N56" s="124">
        <f>IF(ISNUMBER(tblData[Italy]),tblData[Italy]/$N$9,"")</f>
        <v>972.63784409357697</v>
      </c>
      <c r="O56">
        <v>402</v>
      </c>
      <c r="P56" s="124">
        <f>IF(ISNUMBER(tblData[US]),tblData[US]/$P$9,"")</f>
        <v>12.210392498328499</v>
      </c>
      <c r="Q56">
        <v>7041</v>
      </c>
      <c r="R56" s="124">
        <f>IF(ISNUMBER(tblData[SKorea]),tblData[SKorea]/$R$9,"")</f>
        <v>1369.8443579766538</v>
      </c>
      <c r="S56">
        <v>207</v>
      </c>
      <c r="T56" s="124">
        <f>IF(ISNUMBER(tblData[UK]),tblData[UK]/$T$9,"")</f>
        <v>31.155930162552679</v>
      </c>
      <c r="U56">
        <v>80770</v>
      </c>
      <c r="V56" s="124">
        <f>IF(ISNUMBER(tblData[China]),tblData[China]/$V$9,"")</f>
        <v>561.1663014729495</v>
      </c>
      <c r="W56">
        <v>138</v>
      </c>
      <c r="X56" s="124">
        <f>IF(ISNUMBER(tblData[Singapore]),tblData[Singapore]/$X$9,"")</f>
        <v>235.89743589743591</v>
      </c>
      <c r="Y56">
        <v>67666</v>
      </c>
      <c r="Z56" s="20">
        <f>IF(AND(LEN(tblData[Generic])&gt;0,ISNUMBER(tblData[Generic])),tblData[Generic]/$Z$9,"")</f>
        <v>11566.837606837607</v>
      </c>
      <c r="AA56" s="25">
        <f>IF(tblData[[#This Row],[Date]]&lt;ItalyStart,"",tblData[[#This Row],[Date]]-ItalyStart)</f>
        <v>37</v>
      </c>
      <c r="AB56" s="25">
        <f>IF(tblData[[#This Row],[Date]]&lt;USStart,"",tblData[[#This Row],[Date]]-USStart)</f>
        <v>45</v>
      </c>
      <c r="AC56" s="25">
        <f>IF(tblData[[#This Row],[Date]]&lt;ChinaStart,"",tblData[[#This Row],[Date]]-ChinaStart)</f>
        <v>45</v>
      </c>
      <c r="AD56" s="25">
        <f>IF(tblData[[#This Row],[Date]]&lt;StartDt2Korea,"",tblData[[#This Row],[Date]]-StartDt2Korea)</f>
        <v>17</v>
      </c>
      <c r="AE56" s="25">
        <f>IF(tblData[[#This Row],[Date]]&lt;UKStart,"",tblData[[#This Row],[Date]]-UKStart)</f>
        <v>37</v>
      </c>
      <c r="AF56" s="25">
        <f>IF(tblData[[#This Row],[Date]]&lt;SingaporeStart,"",tblData[[#This Row],[Date]]-SingaporeStart)</f>
        <v>44</v>
      </c>
      <c r="AG56" s="25">
        <f>IF(tblData[[#This Row],[Date]]&lt;GenStart,"",tblData[[#This Row],[Date]]-GenStart)</f>
        <v>45</v>
      </c>
      <c r="AH56">
        <f>IF(tblData[Date]&gt;=StartDt2Au,tblData[Date]-StartDt2Au,"")</f>
        <v>42</v>
      </c>
      <c r="AI56" s="25">
        <f>IF(tblData[New South Wales]&gt;0,SUM(tblData[[#This Row],[Australian Capital Territory]:[Western Australia]]),"")</f>
        <v>63</v>
      </c>
      <c r="AJ56" s="12">
        <f>IF(ISNUMBER(tblData[Au]),tblData[Au]/$AE$9,"")</f>
        <v>24.838353571991799</v>
      </c>
      <c r="AK56" s="19">
        <f>IF(ISNUMBER(tblData[[#This Row],[Day'# Aust]]),betaAu/(deltaAu+betaPodeltaAu*EXP(-betaAu*tblData[[#This Row],[Day'# Aust]])),"")</f>
        <v>39.256658844155744</v>
      </c>
      <c r="AL56" s="66">
        <f>IF(ISNUMBER(tblData[Day'# Aust]),tblData[Au LogiP(t)]/$AJ$9,"")</f>
        <v>15.477313848034909</v>
      </c>
      <c r="AM56" s="11">
        <f>IF(AND(tblData[Date]&gt;=StartDt2Au,ISNUMBER(tblData[NSW])),(tblData[[#This Row],[Au LogiP(t)]]-tblData[[#This Row],[Au]])^2,"")</f>
        <v>563.74624924280761</v>
      </c>
      <c r="AN56">
        <f>IF(tblData[Date]&gt;StartDt2NSW,tblData[Date]-StartDt2NSW,"")</f>
        <v>42</v>
      </c>
      <c r="AO56">
        <f t="shared" si="4"/>
        <v>28</v>
      </c>
      <c r="AP56" s="11">
        <f>IF(tblData[Date]&gt;StartDt2NSW,betaNSW/(deltaNSW+betaPodeltaNSW*EXP(-betaNSW*tblData[[#This Row],[Day '# NSW]])),"")</f>
        <v>26.545493192144473</v>
      </c>
      <c r="AQ56" s="12">
        <f>IF(AND(ISNUMBER(tblData[NSW]),tblData[Date]&gt;StartDt2NSW),(tblData[[#This Row],[NSW LogiP(t)]]-tblData[[#This Row],[NSW]])^2,"")</f>
        <v>2.1155900540980741</v>
      </c>
      <c r="AR56" s="12">
        <f>IF(AND(tblData[Date]&gt;StartDt2NSW,ISNUMBER(tblData[Day'# Aust])),tblData[NSW LogiP(t)]/$AQ$9,"")</f>
        <v>32.853333158594644</v>
      </c>
      <c r="AS56" s="11">
        <f>IF(AND(tblData[Date]&gt;StartDt2Italy,ISNUMBER(tblData[Days'# Italy])),betaItaly/(deltaItaly+betaPodeltaItaly*EXP(-betaItaly*tblData[Days'# Italy])),"")</f>
        <v>5630.6891233259439</v>
      </c>
      <c r="AT56" s="11">
        <f>IF(AND(tblData[Date]&gt;StartDt2Italy,ISNUMBER(tblData[Italy])),(tblData[[#This Row],[Italy LogiP(t)]]-tblData[[#This Row],[Italy]])^2,"")</f>
        <v>63660.778488030744</v>
      </c>
      <c r="AU56" s="41">
        <f>IF(AND(tblData[Date]&gt;StartDt2Italy,ISNUMBER(tblData[Days'# Italy])),tblData[[#This Row],[Italy LogiP(t)]]/$AT$9,"")</f>
        <v>930.92322448969901</v>
      </c>
      <c r="AV56" s="20">
        <f>IF(ISNUMBER(tblData[[#This Row],[Days'# US]]),betaUS/(deltaUS+betaPodeltaUS*EXP(-betaUS*tblData[Days'# US])),"")</f>
        <v>595.6278639094694</v>
      </c>
      <c r="AW56" s="11">
        <f>IF(AND(tblData[Date]&gt;=StartDt2US,ISNUMBER(tblData[US])),(tblData[[#This Row],[US LogiP(t)]]-tblData[US])^2,"")</f>
        <v>37491.749682144</v>
      </c>
      <c r="AX56" s="20">
        <f>IF(ISNUMBER(tblData[[#This Row],[Days'# US]]),tblData[[#This Row],[US LogiP(t)]]/$AW$9,"")</f>
        <v>18.091666669839835</v>
      </c>
      <c r="AY56" s="20">
        <f>IF(tblData[Date]&gt;=StartDt2Korea,betaSKorea/(deltaSKorea+betaPodeltaSKorea*EXP(-betaSKorea*(tblData[Date]-StartDt2Korea))),"")</f>
        <v>6985.0151630673627</v>
      </c>
      <c r="AZ56" s="20">
        <f>IF(AND(tblData[Date]&gt;=StartDt2Korea,ISNUMBER(tblData[SKorea])),(tblData[[#This Row],[SKorea LogiP(t)]]-tblData[[#This Row],[SKorea]])^2,"")</f>
        <v>3134.3019663739933</v>
      </c>
      <c r="BA56" s="20">
        <f>IF(tblData[Date]&gt;=StartDt2Korea,tblData[[#This Row],[SKorea LogiP(t)]]/$AZ$9,"")</f>
        <v>1358.9523663555181</v>
      </c>
      <c r="BB56" s="11">
        <f>IF(ISNUMBER(tblData[Days'# UK]),betaUK/(deltaUK+betaPodeltaUK*EXP(-betaUK*tblData[Days'# UK])),"")</f>
        <v>208.30858908188623</v>
      </c>
      <c r="BC56" s="20">
        <f>IF(ISNUMBER(tblData[UK]),(tblData[[#This Row],[UK LogiP(t)]]-tblData[[#This Row],[UK]])^2,"")</f>
        <v>1.7124053852318342</v>
      </c>
      <c r="BD56" s="20">
        <f>IF(ISNUMBER(tblData[Days'# UK]),tblData[[#This Row],[UK LogiP(t)]]/$BC$9,"")</f>
        <v>31.352888182102081</v>
      </c>
      <c r="BE56" s="11">
        <f>IF(ISNUMBER(tblData[Days'# China]),betaChina/(deltaChina+betaPodeltaChina*EXP(-betaChina*tblData[Days'# China])),"")</f>
        <v>80825.615155328574</v>
      </c>
      <c r="BF56" s="11">
        <f>IF(ISNUMBER(tblData[China]),(tblData[[#This Row],[China LogiP(t)]]-tblData[[#This Row],[China]])^2,"")</f>
        <v>3093.0455022214655</v>
      </c>
      <c r="BG56" s="11">
        <f>tblData[[#This Row],[China LogiP(t)]]/$BF$9</f>
        <v>561.55269928180894</v>
      </c>
      <c r="BH56" s="11">
        <f>IF(ISNUMBER(tblData[Day'# Singapore]),betaSingapore/(deltaSingapore+betaPodeltaSingapore*EXP(-betaSingapore*tblData[Day'# Singapore])),"")</f>
        <v>148.20449589768549</v>
      </c>
      <c r="BI56" s="11">
        <f>IF(AND(ISNUMBER(tblData[Singapore]),tblData[Date]&gt;=StartDt2Singapore),(tblData[[#This Row],[Singapore LogiP(t)]]-tblData[[#This Row],[Singapore]])^2,"")</f>
        <v>104.13173652588</v>
      </c>
      <c r="BJ56" s="11">
        <f>IF(ISNUMBER(tblData[Day'# Singapore]),tblData[Singapore LogiP(t)]/$BI$9,"")</f>
        <v>253.34101862852222</v>
      </c>
      <c r="BK56" s="11">
        <f>IF(ISNUMBER(tblData[Day'# Generic]),betaGeneric/(deltaGeneric+betaPodeltaGeneric*EXP(-betaGeneric*tblData[Day'# Generic])),"")</f>
        <v>67163.232947097975</v>
      </c>
      <c r="BL56" s="11">
        <f>IF(AND(ISNUMBER(tblData[Generic]),tblData[Date]&gt;=StartDt2Generic),(tblData[Generic LogiP(t)]-tblData[[#This Row],[Generic]])^2,"")</f>
        <v>252774.70948378777</v>
      </c>
      <c r="BM56" s="11">
        <f>IF(ISNUMBER(tblData[Day'# Generic]),tblData[Generic LogiP(t)]/$BL$9,"")</f>
        <v>11480.894520871449</v>
      </c>
      <c r="BN56">
        <v>6690</v>
      </c>
      <c r="BO56" s="11">
        <v>488</v>
      </c>
      <c r="BP56" s="11">
        <f>IF(ISNUMBER(tblData[[#This Row],[Tests]]),tblData[[#This Row],[Tests]]-BP55,"")</f>
        <v>473</v>
      </c>
      <c r="BQ56" s="11">
        <f>IF(ISNUMBER(tblData[[#This Row],[NSW Under Investigation'']]),tblData[[#This Row],[NSW Under Investigation'']]-BO55,"")</f>
        <v>-57</v>
      </c>
      <c r="BR56" s="11">
        <f>IF(tblData[[#This Row],[Date]]&gt;myData!TestsStart,tblData[[#This Row],[Date]]-myData!TestsStart,"")</f>
        <v>2</v>
      </c>
      <c r="BS56" s="11">
        <f>IF(AND(tblData[[#This Row],[NSW Test Day Number]]&gt;0,ISNUMBER(tblData[[#This Row],[NSW Test Day Number]])),betaTests/(deltaTests+betaPodeltaTests*EXP(-betaTests*tblData[[#This Row],[NSW Test Day Number]])),"")</f>
        <v>4570.8462360967715</v>
      </c>
      <c r="BT56" s="11">
        <f>IF(tblData[Tests]&gt;0,(tblData[[#This Row],[Tests]]-tblData[[#This Row],[NSW Test Logi]])^2,"")</f>
        <v>4490812.6750652203</v>
      </c>
      <c r="BU56" s="11">
        <f>IF(ISNUMBER(tblData[Tests]),tblData[Tests]/$BS$9/100,"")</f>
        <v>82.797029702970292</v>
      </c>
      <c r="BV56" s="124">
        <f ca="1">IF(AND(tblData[[#This Row],[NSW Test Day Number]]&gt;0,ISNUMBER(tblData[[#This Row],[NSW Test Day Number]])),TestsLogestB*TestsLogestM^tblData[[#This Row],[NSW Test Day Number]],"")</f>
        <v>6638.561856995505</v>
      </c>
      <c r="BW56" s="11">
        <f>IF(AND(tblData[[#This Row],[NSW Test Day Number]]&gt;0,ISNUMBER(tblData[Tests])),(tblData[Tests]-tblData[[#This Row],[NSW Test Per Capita]])^2,"")</f>
        <v>43655131.090701886</v>
      </c>
      <c r="BX56" s="124"/>
      <c r="BY56" s="11"/>
      <c r="BZ56"/>
      <c r="CB56" s="25"/>
      <c r="CD56" s="25"/>
      <c r="CK56"/>
      <c r="CL56"/>
      <c r="CO56" s="25"/>
      <c r="CZ56" s="25"/>
      <c r="DA56" s="25"/>
      <c r="DC56"/>
      <c r="DD56"/>
      <c r="DG56" s="25"/>
      <c r="DH56" s="25"/>
      <c r="DV56"/>
      <c r="DW56"/>
      <c r="DX56"/>
      <c r="DY56" s="25" t="s">
        <v>58</v>
      </c>
      <c r="EA56" s="26">
        <v>43860</v>
      </c>
      <c r="EC56" s="25">
        <v>2</v>
      </c>
      <c r="ED56" s="22">
        <v>0.2615655981515827</v>
      </c>
      <c r="EE56" s="24">
        <v>5.8419822423564144E-6</v>
      </c>
      <c r="EF56" s="21">
        <v>0.44095476463112465</v>
      </c>
      <c r="EG56" s="96">
        <v>44773.432595385282</v>
      </c>
      <c r="EH56" s="19">
        <v>467.53213903899575</v>
      </c>
      <c r="EI56" s="36">
        <v>0.59317427337583117</v>
      </c>
      <c r="EJ56" s="98">
        <v>5.8419822423564144E-3</v>
      </c>
      <c r="EK56" s="26">
        <v>43907</v>
      </c>
      <c r="EL56" s="26" t="s">
        <v>713</v>
      </c>
      <c r="EM56" s="26"/>
      <c r="EN56" s="98">
        <v>31506</v>
      </c>
      <c r="EO56" s="19" t="s">
        <v>714</v>
      </c>
      <c r="EP56" s="26">
        <v>43907</v>
      </c>
      <c r="EQ56" s="25">
        <v>48</v>
      </c>
      <c r="ER56" s="18" t="s">
        <v>715</v>
      </c>
      <c r="ES56" s="25"/>
      <c r="ET56" s="25" t="s">
        <v>716</v>
      </c>
      <c r="EU56" s="25"/>
      <c r="EV56" s="25" t="s">
        <v>717</v>
      </c>
      <c r="EW56" s="25"/>
      <c r="EX56" s="82"/>
      <c r="EY56" s="25"/>
      <c r="EZ56" s="82"/>
      <c r="FC56" s="25"/>
    </row>
    <row r="57" spans="2:194" x14ac:dyDescent="0.25">
      <c r="B57" s="1">
        <v>43898</v>
      </c>
      <c r="C57">
        <v>0</v>
      </c>
      <c r="D57" s="25">
        <v>0</v>
      </c>
      <c r="E57">
        <v>38</v>
      </c>
      <c r="F57">
        <v>0</v>
      </c>
      <c r="G57">
        <v>15</v>
      </c>
      <c r="H57">
        <v>7</v>
      </c>
      <c r="I57">
        <v>2</v>
      </c>
      <c r="J57">
        <v>11</v>
      </c>
      <c r="K57">
        <v>3</v>
      </c>
      <c r="L57" s="12">
        <f>IF(ISNUMBER(tblData[[#This Row],[NSW]]),tblData[[#This Row],[New South Wales]]/$L$9,"")</f>
        <v>47.029702970297024</v>
      </c>
      <c r="M57" s="25">
        <v>7375</v>
      </c>
      <c r="N57" s="124">
        <f>IF(ISNUMBER(tblData[Italy]),tblData[Italy]/$N$9,"")</f>
        <v>1219.3105728693065</v>
      </c>
      <c r="O57">
        <v>518</v>
      </c>
      <c r="P57" s="124">
        <f>IF(ISNUMBER(tblData[US]),tblData[US]/$P$9,"")</f>
        <v>15.733789338642195</v>
      </c>
      <c r="Q57">
        <v>7314</v>
      </c>
      <c r="R57" s="124">
        <f>IF(ISNUMBER(tblData[SKorea]),tblData[SKorea]/$R$9,"")</f>
        <v>1422.95719844358</v>
      </c>
      <c r="S57">
        <v>274</v>
      </c>
      <c r="T57" s="124">
        <f>IF(ISNUMBER(tblData[UK]),tblData[UK]/$T$9,"")</f>
        <v>41.240216736905481</v>
      </c>
      <c r="U57">
        <v>80823</v>
      </c>
      <c r="V57" s="124">
        <f>IF(ISNUMBER(tblData[China]),tblData[China]/$V$9,"")</f>
        <v>561.5345299485972</v>
      </c>
      <c r="W57">
        <v>150</v>
      </c>
      <c r="X57" s="124">
        <f>IF(ISNUMBER(tblData[Singapore]),tblData[Singapore]/$X$9,"")</f>
        <v>256.41025641025641</v>
      </c>
      <c r="Y57">
        <v>67707</v>
      </c>
      <c r="Z57" s="20">
        <f>IF(AND(LEN(tblData[Generic])&gt;0,ISNUMBER(tblData[Generic])),tblData[Generic]/$Z$9,"")</f>
        <v>11573.846153846154</v>
      </c>
      <c r="AA57" s="25">
        <f>IF(tblData[[#This Row],[Date]]&lt;ItalyStart,"",tblData[[#This Row],[Date]]-ItalyStart)</f>
        <v>38</v>
      </c>
      <c r="AB57" s="25">
        <f>IF(tblData[[#This Row],[Date]]&lt;USStart,"",tblData[[#This Row],[Date]]-USStart)</f>
        <v>46</v>
      </c>
      <c r="AC57" s="25">
        <f>IF(tblData[[#This Row],[Date]]&lt;ChinaStart,"",tblData[[#This Row],[Date]]-ChinaStart)</f>
        <v>46</v>
      </c>
      <c r="AD57" s="25">
        <f>IF(tblData[[#This Row],[Date]]&lt;StartDt2Korea,"",tblData[[#This Row],[Date]]-StartDt2Korea)</f>
        <v>18</v>
      </c>
      <c r="AE57" s="25">
        <f>IF(tblData[[#This Row],[Date]]&lt;UKStart,"",tblData[[#This Row],[Date]]-UKStart)</f>
        <v>38</v>
      </c>
      <c r="AF57" s="25">
        <f>IF(tblData[[#This Row],[Date]]&lt;SingaporeStart,"",tblData[[#This Row],[Date]]-SingaporeStart)</f>
        <v>45</v>
      </c>
      <c r="AG57" s="25">
        <f>IF(tblData[[#This Row],[Date]]&lt;GenStart,"",tblData[[#This Row],[Date]]-GenStart)</f>
        <v>46</v>
      </c>
      <c r="AH57">
        <f>IF(tblData[Date]&gt;=StartDt2Au,tblData[Date]-StartDt2Au,"")</f>
        <v>43</v>
      </c>
      <c r="AI57" s="25">
        <f>IF(tblData[New South Wales]&gt;0,SUM(tblData[[#This Row],[Australian Capital Territory]:[Western Australia]]),"")</f>
        <v>76</v>
      </c>
      <c r="AJ57" s="12">
        <f>IF(ISNUMBER(tblData[Au]),tblData[Au]/$AE$9,"")</f>
        <v>29.963728118593281</v>
      </c>
      <c r="AK57" s="19">
        <f>IF(ISNUMBER(tblData[[#This Row],[Day'# Aust]]),betaAu/(deltaAu+betaPodeltaAu*EXP(-betaAu*tblData[[#This Row],[Day'# Aust]])),"")</f>
        <v>50.426201510343432</v>
      </c>
      <c r="AL57" s="66">
        <f>IF(ISNUMBER(tblData[Day'# Aust]),tblData[Au LogiP(t)]/$AJ$9,"")</f>
        <v>19.881013054070113</v>
      </c>
      <c r="AM57" s="11">
        <f>IF(AND(tblData[Date]&gt;=StartDt2Au,ISNUMBER(tblData[NSW])),(tblData[[#This Row],[Au LogiP(t)]]-tblData[[#This Row],[Au]])^2,"")</f>
        <v>654.01916918956056</v>
      </c>
      <c r="AN57">
        <f>IF(tblData[Date]&gt;StartDt2NSW,tblData[Date]-StartDt2NSW,"")</f>
        <v>43</v>
      </c>
      <c r="AO57">
        <f t="shared" si="4"/>
        <v>38</v>
      </c>
      <c r="AP57" s="11">
        <f>IF(tblData[Date]&gt;StartDt2NSW,betaNSW/(deltaNSW+betaPodeltaNSW*EXP(-betaNSW*tblData[[#This Row],[Day '# NSW]])),"")</f>
        <v>32.680363826187708</v>
      </c>
      <c r="AQ57" s="12">
        <f>IF(AND(ISNUMBER(tblData[NSW]),tblData[Date]&gt;StartDt2NSW),(tblData[[#This Row],[NSW LogiP(t)]]-tblData[[#This Row],[NSW]])^2,"")</f>
        <v>28.298529021732278</v>
      </c>
      <c r="AR57" s="12">
        <f>IF(AND(tblData[Date]&gt;StartDt2NSW,ISNUMBER(tblData[Day'# Aust])),tblData[NSW LogiP(t)]/$AQ$9,"")</f>
        <v>40.445994834390724</v>
      </c>
      <c r="AS57" s="11">
        <f>IF(AND(tblData[Date]&gt;StartDt2Italy,ISNUMBER(tblData[Days'# Italy])),betaItaly/(deltaItaly+betaPodeltaItaly*EXP(-betaItaly*tblData[Days'# Italy])),"")</f>
        <v>7129.546904480464</v>
      </c>
      <c r="AT57" s="11">
        <f>IF(AND(tblData[Date]&gt;StartDt2Italy,ISNUMBER(tblData[Italy])),(tblData[[#This Row],[Italy LogiP(t)]]-tblData[[#This Row],[Italy]])^2,"")</f>
        <v>60247.222100122446</v>
      </c>
      <c r="AU57" s="41">
        <f>IF(AND(tblData[Date]&gt;StartDt2Italy,ISNUMBER(tblData[Days'# Italy])),tblData[[#This Row],[Italy LogiP(t)]]/$AT$9,"")</f>
        <v>1178.7297519187343</v>
      </c>
      <c r="AV57" s="20">
        <f>IF(ISNUMBER(tblData[[#This Row],[Days'# US]]),betaUS/(deltaUS+betaPodeltaUS*EXP(-betaUS*tblData[Days'# US])),"")</f>
        <v>785.20156436848424</v>
      </c>
      <c r="AW57" s="11">
        <f>IF(AND(tblData[Date]&gt;=StartDt2US,ISNUMBER(tblData[US])),(tblData[[#This Row],[US LogiP(t)]]-tblData[US])^2,"")</f>
        <v>71396.676000965221</v>
      </c>
      <c r="AX57" s="20">
        <f>IF(ISNUMBER(tblData[[#This Row],[Days'# US]]),tblData[[#This Row],[US LogiP(t)]]/$AW$9,"")</f>
        <v>23.849799231942143</v>
      </c>
      <c r="AY57" s="20">
        <f>IF(tblData[Date]&gt;=StartDt2Korea,betaSKorea/(deltaSKorea+betaPodeltaSKorea*EXP(-betaSKorea*(tblData[Date]-StartDt2Korea))),"")</f>
        <v>7344.018629559574</v>
      </c>
      <c r="AZ57" s="20">
        <f>IF(AND(tblData[Date]&gt;=StartDt2Korea,ISNUMBER(tblData[SKorea])),(tblData[[#This Row],[SKorea LogiP(t)]]-tblData[[#This Row],[SKorea]])^2,"")</f>
        <v>901.11812063493221</v>
      </c>
      <c r="BA57" s="20">
        <f>IF(tblData[Date]&gt;=StartDt2Korea,tblData[[#This Row],[SKorea LogiP(t)]]/$AZ$9,"")</f>
        <v>1428.7973987469989</v>
      </c>
      <c r="BB57" s="11">
        <f>IF(ISNUMBER(tblData[Days'# UK]),betaUK/(deltaUK+betaPodeltaUK*EXP(-betaUK*tblData[Days'# UK])),"")</f>
        <v>263.44706365262556</v>
      </c>
      <c r="BC57" s="20">
        <f>IF(ISNUMBER(tblData[UK]),(tblData[[#This Row],[UK LogiP(t)]]-tblData[[#This Row],[UK]])^2,"")</f>
        <v>111.36446555173661</v>
      </c>
      <c r="BD57" s="20">
        <f>IF(ISNUMBER(tblData[Days'# UK]),tblData[[#This Row],[UK LogiP(t)]]/$BC$9,"")</f>
        <v>39.651875926042379</v>
      </c>
      <c r="BE57" s="11">
        <f>IF(ISNUMBER(tblData[Days'# China]),betaChina/(deltaChina+betaPodeltaChina*EXP(-betaChina*tblData[Days'# China])),"")</f>
        <v>80863.460552564924</v>
      </c>
      <c r="BF57" s="11">
        <f>IF(ISNUMBER(tblData[China]),(tblData[[#This Row],[China LogiP(t)]]-tblData[[#This Row],[China]])^2,"")</f>
        <v>1637.0563138589782</v>
      </c>
      <c r="BG57" s="11">
        <f>tblData[[#This Row],[China LogiP(t)]]/$BF$9</f>
        <v>561.81563801642449</v>
      </c>
      <c r="BH57" s="11">
        <f>IF(ISNUMBER(tblData[Day'# Singapore]),betaSingapore/(deltaSingapore+betaPodeltaSingapore*EXP(-betaSingapore*tblData[Day'# Singapore])),"")</f>
        <v>159.6638232677289</v>
      </c>
      <c r="BI57" s="11">
        <f>IF(AND(ISNUMBER(tblData[Singapore]),tblData[Date]&gt;=StartDt2Singapore),(tblData[[#This Row],[Singapore LogiP(t)]]-tblData[[#This Row],[Singapore]])^2,"")</f>
        <v>93.389480149898503</v>
      </c>
      <c r="BJ57" s="11">
        <f>IF(ISNUMBER(tblData[Day'# Singapore]),tblData[Singapore LogiP(t)]/$BI$9,"")</f>
        <v>272.9296124234682</v>
      </c>
      <c r="BK57" s="11">
        <f>IF(ISNUMBER(tblData[Day'# Generic]),betaGeneric/(deltaGeneric+betaPodeltaGeneric*EXP(-betaGeneric*tblData[Day'# Generic])),"")</f>
        <v>67191.960376091927</v>
      </c>
      <c r="BL57" s="11">
        <f>IF(AND(ISNUMBER(tblData[Generic]),tblData[Date]&gt;=StartDt2Generic),(tblData[Generic LogiP(t)]-tblData[[#This Row],[Generic]])^2,"")</f>
        <v>265265.81419536908</v>
      </c>
      <c r="BM57" s="11">
        <f>IF(ISNUMBER(tblData[Day'# Generic]),tblData[Generic LogiP(t)]/$BL$9,"")</f>
        <v>11485.805192494347</v>
      </c>
      <c r="BN57">
        <v>7361</v>
      </c>
      <c r="BO57" s="11">
        <v>576</v>
      </c>
      <c r="BP57" s="11">
        <f>IF(ISNUMBER(tblData[[#This Row],[Tests]]),tblData[[#This Row],[Tests]]-BP56,"")</f>
        <v>6888</v>
      </c>
      <c r="BQ57" s="11">
        <f>IF(ISNUMBER(tblData[[#This Row],[NSW Under Investigation'']]),tblData[[#This Row],[NSW Under Investigation'']]-BO56,"")</f>
        <v>88</v>
      </c>
      <c r="BR57" s="11">
        <f>IF(tblData[[#This Row],[Date]]&gt;myData!TestsStart,tblData[[#This Row],[Date]]-myData!TestsStart,"")</f>
        <v>3</v>
      </c>
      <c r="BS57" s="11">
        <f>IF(AND(tblData[[#This Row],[NSW Test Day Number]]&gt;0,ISNUMBER(tblData[[#This Row],[NSW Test Day Number]])),betaTests/(deltaTests+betaPodeltaTests*EXP(-betaTests*tblData[[#This Row],[NSW Test Day Number]])),"")</f>
        <v>5543.3960287488944</v>
      </c>
      <c r="BT57" s="11">
        <f>IF(tblData[Tests]&gt;0,(tblData[[#This Row],[Tests]]-tblData[[#This Row],[NSW Test Logi]])^2,"")</f>
        <v>3303684.19630779</v>
      </c>
      <c r="BU57" s="11">
        <f>IF(ISNUMBER(tblData[Tests]),tblData[Tests]/$BS$9/100,"")</f>
        <v>91.10148514851484</v>
      </c>
      <c r="BV57" s="124">
        <f ca="1">IF(AND(tblData[[#This Row],[NSW Test Day Number]]&gt;0,ISNUMBER(tblData[[#This Row],[NSW Test Day Number]])),TestsLogestB*TestsLogestM^tblData[[#This Row],[NSW Test Day Number]],"")</f>
        <v>7598.8362606719656</v>
      </c>
      <c r="BW57" s="11">
        <f>IF(AND(tblData[[#This Row],[NSW Test Day Number]]&gt;0,ISNUMBER(tblData[Tests])),(tblData[Tests]-tblData[[#This Row],[NSW Test Per Capita]])^2,"")</f>
        <v>52851424.416239828</v>
      </c>
      <c r="BX57" s="124"/>
      <c r="BY57" s="11"/>
      <c r="BZ57"/>
      <c r="CB57" s="25"/>
      <c r="CD57" s="25"/>
      <c r="CK57"/>
      <c r="CL57"/>
      <c r="CO57" s="25"/>
      <c r="CZ57" s="25"/>
      <c r="DA57" s="25"/>
      <c r="DC57"/>
      <c r="DD57"/>
      <c r="DG57" s="25"/>
      <c r="DH57" s="25"/>
      <c r="DV57"/>
      <c r="DW57"/>
      <c r="DX57"/>
      <c r="DY57" t="s">
        <v>58</v>
      </c>
      <c r="EA57" s="26">
        <v>43860</v>
      </c>
      <c r="EC57">
        <v>2</v>
      </c>
      <c r="ED57" s="22">
        <v>0.2615655981515827</v>
      </c>
      <c r="EE57" s="24">
        <v>5.8419822423564144E-6</v>
      </c>
      <c r="EF57" s="21">
        <v>0.44095476463112465</v>
      </c>
      <c r="EG57" s="96">
        <v>44773.432595385282</v>
      </c>
      <c r="EH57" s="21">
        <v>606.55052647767229</v>
      </c>
      <c r="EI57" s="36">
        <v>0.59317427337583117</v>
      </c>
      <c r="EJ57" s="98">
        <v>5.8419822423564144E-3</v>
      </c>
      <c r="EK57" s="26">
        <v>43907</v>
      </c>
      <c r="EL57" s="26" t="s">
        <v>713</v>
      </c>
      <c r="EM57" s="26"/>
      <c r="EN57" s="98">
        <v>35713</v>
      </c>
      <c r="EO57" s="25" t="s">
        <v>714</v>
      </c>
      <c r="EP57" s="26">
        <v>43907</v>
      </c>
      <c r="EQ57" s="25">
        <v>49</v>
      </c>
      <c r="ER57" s="26" t="s">
        <v>715</v>
      </c>
      <c r="ET57" t="s">
        <v>716</v>
      </c>
      <c r="EV57" s="18" t="s">
        <v>733</v>
      </c>
      <c r="EW57" s="20">
        <v>5907.8577336641856</v>
      </c>
      <c r="EX57" s="82">
        <v>43893</v>
      </c>
      <c r="EY57" s="11">
        <v>16</v>
      </c>
      <c r="EZ57" s="82">
        <v>43891</v>
      </c>
      <c r="FA57" s="11">
        <v>18</v>
      </c>
      <c r="FC57" s="25"/>
    </row>
    <row r="58" spans="2:194" x14ac:dyDescent="0.25">
      <c r="B58" s="1">
        <v>43899</v>
      </c>
      <c r="C58">
        <v>0</v>
      </c>
      <c r="D58" s="25">
        <v>0</v>
      </c>
      <c r="E58">
        <v>48</v>
      </c>
      <c r="F58">
        <v>0</v>
      </c>
      <c r="G58">
        <v>15</v>
      </c>
      <c r="H58">
        <v>7</v>
      </c>
      <c r="I58">
        <v>2</v>
      </c>
      <c r="J58">
        <v>15</v>
      </c>
      <c r="K58">
        <v>4</v>
      </c>
      <c r="L58" s="12">
        <f>IF(ISNUMBER(tblData[[#This Row],[NSW]]),tblData[[#This Row],[New South Wales]]/$L$9,"")</f>
        <v>59.405940594059402</v>
      </c>
      <c r="M58" s="25">
        <v>9172</v>
      </c>
      <c r="N58" s="124">
        <f>IF(ISNUMBER(tblData[Italy]),tblData[Italy]/$N$9,"")</f>
        <v>1516.4090270314955</v>
      </c>
      <c r="O58">
        <v>583</v>
      </c>
      <c r="P58" s="124">
        <f>IF(ISNUMBER(tblData[US]),tblData[US]/$P$9,"")</f>
        <v>17.708106533645559</v>
      </c>
      <c r="Q58">
        <v>7478</v>
      </c>
      <c r="R58" s="124">
        <f>IF(ISNUMBER(tblData[SKorea]),tblData[SKorea]/$R$9,"")</f>
        <v>1454.8638132295721</v>
      </c>
      <c r="S58">
        <v>322</v>
      </c>
      <c r="T58" s="124">
        <f>IF(ISNUMBER(tblData[UK]),tblData[UK]/$T$9,"")</f>
        <v>48.464780252859725</v>
      </c>
      <c r="U58">
        <v>80860</v>
      </c>
      <c r="V58" s="124">
        <f>IF(ISNUMBER(tblData[China]),tblData[China]/$V$9,"")</f>
        <v>561.79159511084185</v>
      </c>
      <c r="W58">
        <v>150</v>
      </c>
      <c r="X58" s="124">
        <f>IF(ISNUMBER(tblData[Singapore]),tblData[Singapore]/$X$9,"")</f>
        <v>256.41025641025641</v>
      </c>
      <c r="Y58">
        <v>67743</v>
      </c>
      <c r="Z58" s="20">
        <f>IF(AND(LEN(tblData[Generic])&gt;0,ISNUMBER(tblData[Generic])),tblData[Generic]/$Z$9,"")</f>
        <v>11580</v>
      </c>
      <c r="AA58" s="25">
        <f>IF(tblData[[#This Row],[Date]]&lt;ItalyStart,"",tblData[[#This Row],[Date]]-ItalyStart)</f>
        <v>39</v>
      </c>
      <c r="AB58" s="25">
        <f>IF(tblData[[#This Row],[Date]]&lt;USStart,"",tblData[[#This Row],[Date]]-USStart)</f>
        <v>47</v>
      </c>
      <c r="AC58" s="25">
        <f>IF(tblData[[#This Row],[Date]]&lt;ChinaStart,"",tblData[[#This Row],[Date]]-ChinaStart)</f>
        <v>47</v>
      </c>
      <c r="AD58" s="25">
        <f>IF(tblData[[#This Row],[Date]]&lt;StartDt2Korea,"",tblData[[#This Row],[Date]]-StartDt2Korea)</f>
        <v>19</v>
      </c>
      <c r="AE58" s="25">
        <f>IF(tblData[[#This Row],[Date]]&lt;UKStart,"",tblData[[#This Row],[Date]]-UKStart)</f>
        <v>39</v>
      </c>
      <c r="AF58" s="25">
        <f>IF(tblData[[#This Row],[Date]]&lt;SingaporeStart,"",tblData[[#This Row],[Date]]-SingaporeStart)</f>
        <v>46</v>
      </c>
      <c r="AG58" s="25">
        <f>IF(tblData[[#This Row],[Date]]&lt;GenStart,"",tblData[[#This Row],[Date]]-GenStart)</f>
        <v>47</v>
      </c>
      <c r="AH58">
        <f>IF(tblData[Date]&gt;=StartDt2Au,tblData[Date]-StartDt2Au,"")</f>
        <v>44</v>
      </c>
      <c r="AI58" s="25">
        <f>IF(tblData[New South Wales]&gt;0,SUM(tblData[[#This Row],[Australian Capital Territory]:[Western Australia]]),"")</f>
        <v>91</v>
      </c>
      <c r="AJ58" s="12">
        <f>IF(ISNUMBER(tblData[Au]),tblData[Au]/$AE$9,"")</f>
        <v>35.87762182621038</v>
      </c>
      <c r="AK58" s="19">
        <f>IF(ISNUMBER(tblData[[#This Row],[Day'# Aust]]),betaAu/(deltaAu+betaPodeltaAu*EXP(-betaAu*tblData[[#This Row],[Day'# Aust]])),"")</f>
        <v>64.744364061334466</v>
      </c>
      <c r="AL58" s="66">
        <f>IF(ISNUMBER(tblData[Day'# Aust]),tblData[Au LogiP(t)]/$AJ$9,"")</f>
        <v>25.52608581506642</v>
      </c>
      <c r="AM58" s="11">
        <f>IF(AND(tblData[Date]&gt;=StartDt2Au,ISNUMBER(tblData[NSW])),(tblData[[#This Row],[Au LogiP(t)]]-tblData[[#This Row],[Au]])^2,"")</f>
        <v>689.35841854374519</v>
      </c>
      <c r="AN58">
        <f>IF(tblData[Date]&gt;StartDt2NSW,tblData[Date]-StartDt2NSW,"")</f>
        <v>44</v>
      </c>
      <c r="AO58">
        <f t="shared" si="4"/>
        <v>48</v>
      </c>
      <c r="AP58" s="11">
        <f>IF(tblData[Date]&gt;StartDt2NSW,betaNSW/(deltaNSW+betaPodeltaNSW*EXP(-betaNSW*tblData[[#This Row],[Day '# NSW]])),"")</f>
        <v>40.22709324685411</v>
      </c>
      <c r="AQ58" s="12">
        <f>IF(AND(ISNUMBER(tblData[NSW]),tblData[Date]&gt;StartDt2NSW),(tblData[[#This Row],[NSW LogiP(t)]]-tblData[[#This Row],[NSW]])^2,"")</f>
        <v>60.418079393100975</v>
      </c>
      <c r="AR58" s="12">
        <f>IF(AND(tblData[Date]&gt;StartDt2NSW,ISNUMBER(tblData[Day'# Aust])),tblData[NSW LogiP(t)]/$AQ$9,"")</f>
        <v>49.786006493631319</v>
      </c>
      <c r="AS58" s="11">
        <f>IF(AND(tblData[Date]&gt;StartDt2Italy,ISNUMBER(tblData[Days'# Italy])),betaItaly/(deltaItaly+betaPodeltaItaly*EXP(-betaItaly*tblData[Days'# Italy])),"")</f>
        <v>8976.5382552647206</v>
      </c>
      <c r="AT58" s="11">
        <f>IF(AND(tblData[Date]&gt;StartDt2Italy,ISNUMBER(tblData[Italy])),(tblData[[#This Row],[Italy LogiP(t)]]-tblData[[#This Row],[Italy]])^2,"")</f>
        <v>38205.293654959503</v>
      </c>
      <c r="AU58" s="41">
        <f>IF(AND(tblData[Date]&gt;StartDt2Italy,ISNUMBER(tblData[Days'# Italy])),tblData[[#This Row],[Italy LogiP(t)]]/$AT$9,"")</f>
        <v>1484.0932884623826</v>
      </c>
      <c r="AV58" s="20">
        <f>IF(ISNUMBER(tblData[[#This Row],[Days'# US]]),betaUS/(deltaUS+betaPodeltaUS*EXP(-betaUS*tblData[Days'# US])),"")</f>
        <v>1034.7776266084643</v>
      </c>
      <c r="AW58" s="11">
        <f>IF(AND(tblData[Date]&gt;=StartDt2US,ISNUMBER(tblData[US])),(tblData[[#This Row],[US LogiP(t)]]-tblData[US])^2,"")</f>
        <v>204103.02390397698</v>
      </c>
      <c r="AX58" s="20">
        <f>IF(ISNUMBER(tblData[[#This Row],[Days'# US]]),tblData[[#This Row],[US LogiP(t)]]/$AW$9,"")</f>
        <v>31.430450172582489</v>
      </c>
      <c r="AY58" s="20">
        <f>IF(tblData[Date]&gt;=StartDt2Korea,betaSKorea/(deltaSKorea+betaPodeltaSKorea*EXP(-betaSKorea*(tblData[Date]-StartDt2Korea))),"")</f>
        <v>7634.6527660912589</v>
      </c>
      <c r="AZ58" s="20">
        <f>IF(AND(tblData[Date]&gt;=StartDt2Korea,ISNUMBER(tblData[SKorea])),(tblData[[#This Row],[SKorea LogiP(t)]]-tblData[[#This Row],[SKorea]])^2,"")</f>
        <v>24540.089124042661</v>
      </c>
      <c r="BA58" s="20">
        <f>IF(tblData[Date]&gt;=StartDt2Korea,tblData[[#This Row],[SKorea LogiP(t)]]/$AZ$9,"")</f>
        <v>1485.3410050761204</v>
      </c>
      <c r="BB58" s="11">
        <f>IF(ISNUMBER(tblData[Days'# UK]),betaUK/(deltaUK+betaPodeltaUK*EXP(-betaUK*tblData[Days'# UK])),"")</f>
        <v>332.95777018844711</v>
      </c>
      <c r="BC58" s="20">
        <f>IF(ISNUMBER(tblData[UK]),(tblData[[#This Row],[UK LogiP(t)]]-tblData[[#This Row],[UK]])^2,"")</f>
        <v>120.0727275028203</v>
      </c>
      <c r="BD58" s="20">
        <f>IF(ISNUMBER(tblData[Days'# UK]),tblData[[#This Row],[UK LogiP(t)]]/$BC$9,"")</f>
        <v>50.114053309519434</v>
      </c>
      <c r="BE58" s="11">
        <f>IF(ISNUMBER(tblData[Days'# China]),betaChina/(deltaChina+betaPodeltaChina*EXP(-betaChina*tblData[Days'# China])),"")</f>
        <v>80893.792742668564</v>
      </c>
      <c r="BF58" s="11">
        <f>IF(ISNUMBER(tblData[China]),(tblData[[#This Row],[China LogiP(t)]]-tblData[[#This Row],[China]])^2,"")</f>
        <v>1141.949457063768</v>
      </c>
      <c r="BG58" s="11">
        <f>tblData[[#This Row],[China LogiP(t)]]/$BF$9</f>
        <v>562.02637718859285</v>
      </c>
      <c r="BH58" s="11">
        <f>IF(ISNUMBER(tblData[Day'# Singapore]),betaSingapore/(deltaSingapore+betaPodeltaSingapore*EXP(-betaSingapore*tblData[Day'# Singapore])),"")</f>
        <v>172.00919787051751</v>
      </c>
      <c r="BI58" s="11">
        <f>IF(AND(ISNUMBER(tblData[Singapore]),tblData[Date]&gt;=StartDt2Singapore),(tblData[[#This Row],[Singapore LogiP(t)]]-tblData[[#This Row],[Singapore]])^2,"")</f>
        <v>484.40479090359253</v>
      </c>
      <c r="BJ58" s="11">
        <f>IF(ISNUMBER(tblData[Day'# Singapore]),tblData[Singapore LogiP(t)]/$BI$9,"")</f>
        <v>294.03281687267952</v>
      </c>
      <c r="BK58" s="11">
        <f>IF(ISNUMBER(tblData[Day'# Generic]),betaGeneric/(deltaGeneric+betaPodeltaGeneric*EXP(-betaGeneric*tblData[Day'# Generic])),"")</f>
        <v>67215.038050140502</v>
      </c>
      <c r="BL58" s="11">
        <f>IF(AND(ISNUMBER(tblData[Generic]),tblData[Date]&gt;=StartDt2Generic),(tblData[Generic LogiP(t)]-tblData[[#This Row],[Generic]])^2,"")</f>
        <v>278743.82049944351</v>
      </c>
      <c r="BM58" s="11">
        <f>IF(ISNUMBER(tblData[Day'# Generic]),tblData[Generic LogiP(t)]/$BL$9,"")</f>
        <v>11489.750094041112</v>
      </c>
      <c r="BN58">
        <v>7848</v>
      </c>
      <c r="BO58" s="11">
        <v>476</v>
      </c>
      <c r="BP58" s="11">
        <f>IF(ISNUMBER(tblData[[#This Row],[Tests]]),tblData[[#This Row],[Tests]]-BP57,"")</f>
        <v>960</v>
      </c>
      <c r="BQ58" s="11">
        <f>IF(ISNUMBER(tblData[[#This Row],[NSW Under Investigation'']]),tblData[[#This Row],[NSW Under Investigation'']]-BO57,"")</f>
        <v>-100</v>
      </c>
      <c r="BR58" s="11">
        <f>IF(tblData[[#This Row],[Date]]&gt;myData!TestsStart,tblData[[#This Row],[Date]]-myData!TestsStart,"")</f>
        <v>4</v>
      </c>
      <c r="BS58" s="11">
        <f>IF(AND(tblData[[#This Row],[NSW Test Day Number]]&gt;0,ISNUMBER(tblData[[#This Row],[NSW Test Day Number]])),betaTests/(deltaTests+betaPodeltaTests*EXP(-betaTests*tblData[[#This Row],[NSW Test Day Number]])),"")</f>
        <v>6709.3944240937462</v>
      </c>
      <c r="BT58" s="11">
        <f>IF(tblData[Tests]&gt;0,(tblData[[#This Row],[Tests]]-tblData[[#This Row],[NSW Test Logi]])^2,"")</f>
        <v>1296422.6574848117</v>
      </c>
      <c r="BU58" s="11">
        <f>IF(ISNUMBER(tblData[Tests]),tblData[Tests]/$BS$9/100,"")</f>
        <v>97.128712871287121</v>
      </c>
      <c r="BV58" s="124">
        <f ca="1">IF(AND(tblData[[#This Row],[NSW Test Day Number]]&gt;0,ISNUMBER(tblData[[#This Row],[NSW Test Day Number]])),TestsLogestB*TestsLogestM^tblData[[#This Row],[NSW Test Day Number]],"")</f>
        <v>8698.0152870995844</v>
      </c>
      <c r="BW58" s="11">
        <f>IF(AND(tblData[[#This Row],[NSW Test Day Number]]&gt;0,ISNUMBER(tblData[Tests])),(tblData[Tests]-tblData[[#This Row],[NSW Test Per Capita]])^2,"")</f>
        <v>60076005.709636308</v>
      </c>
      <c r="BX58" s="124"/>
      <c r="BY58" s="11"/>
      <c r="BZ58"/>
      <c r="CB58" s="25"/>
      <c r="CD58" s="25"/>
      <c r="CK58"/>
      <c r="CL58"/>
      <c r="CO58" s="25"/>
      <c r="CZ58" s="25"/>
      <c r="DA58" s="25"/>
      <c r="DC58"/>
      <c r="DD58"/>
      <c r="DG58" s="25"/>
      <c r="DH58" s="25"/>
      <c r="DV58"/>
      <c r="DW58"/>
      <c r="DX58"/>
      <c r="DY58" s="25" t="s">
        <v>58</v>
      </c>
      <c r="EA58" s="26">
        <v>43860</v>
      </c>
      <c r="EC58">
        <v>2</v>
      </c>
      <c r="ED58" s="25">
        <v>0.26124939657046986</v>
      </c>
      <c r="EE58" s="24">
        <v>5.5289448647719272E-6</v>
      </c>
      <c r="EF58" s="25">
        <v>0.44118045186898547</v>
      </c>
      <c r="EG58" s="96">
        <v>47251.221157049207</v>
      </c>
      <c r="EH58" s="19">
        <v>861.88192352690567</v>
      </c>
      <c r="EI58" s="12">
        <v>0.59215442615679836</v>
      </c>
      <c r="EJ58" s="98">
        <v>5.5289448647719269E-3</v>
      </c>
      <c r="EK58" s="26">
        <v>43909</v>
      </c>
      <c r="EL58" s="25" t="s">
        <v>997</v>
      </c>
      <c r="EM58" s="25"/>
      <c r="EN58" s="98">
        <v>41035</v>
      </c>
      <c r="EO58" s="25" t="s">
        <v>998</v>
      </c>
      <c r="EP58" s="26">
        <v>43909</v>
      </c>
      <c r="EQ58" s="25">
        <v>50</v>
      </c>
      <c r="ER58" s="25" t="s">
        <v>999</v>
      </c>
      <c r="ET58" t="s">
        <v>1000</v>
      </c>
      <c r="EV58" t="s">
        <v>1001</v>
      </c>
      <c r="EW58" s="25">
        <v>6788.2547559966915</v>
      </c>
      <c r="EX58" s="82">
        <v>43894</v>
      </c>
      <c r="EY58">
        <v>16</v>
      </c>
      <c r="EZ58" s="82">
        <v>43893</v>
      </c>
      <c r="FA58">
        <v>17</v>
      </c>
      <c r="FC58" s="25"/>
    </row>
    <row r="59" spans="2:194" x14ac:dyDescent="0.25">
      <c r="B59" s="1">
        <v>43900</v>
      </c>
      <c r="C59">
        <v>0</v>
      </c>
      <c r="D59" s="25">
        <v>0</v>
      </c>
      <c r="E59">
        <v>55</v>
      </c>
      <c r="F59">
        <v>1</v>
      </c>
      <c r="G59">
        <v>18</v>
      </c>
      <c r="H59">
        <v>7</v>
      </c>
      <c r="I59">
        <v>2</v>
      </c>
      <c r="J59">
        <v>18</v>
      </c>
      <c r="K59">
        <v>6</v>
      </c>
      <c r="L59" s="12">
        <f>IF(ISNUMBER(tblData[[#This Row],[NSW]]),tblData[[#This Row],[New South Wales]]/$L$9,"")</f>
        <v>68.06930693069306</v>
      </c>
      <c r="M59" s="25">
        <v>10149</v>
      </c>
      <c r="N59" s="124">
        <f>IF(ISNUMBER(tblData[Italy]),tblData[Italy]/$N$9,"")</f>
        <v>1677.9366785153345</v>
      </c>
      <c r="O59">
        <v>959</v>
      </c>
      <c r="P59" s="124">
        <f>IF(ISNUMBER(tblData[US]),tblData[US]/$P$9,"")</f>
        <v>29.128772153972712</v>
      </c>
      <c r="Q59">
        <v>7513</v>
      </c>
      <c r="R59" s="124">
        <f>IF(ISNUMBER(tblData[SKorea]),tblData[SKorea]/$R$9,"")</f>
        <v>1461.6731517509729</v>
      </c>
      <c r="S59">
        <v>384</v>
      </c>
      <c r="T59" s="124">
        <f>IF(ISNUMBER(tblData[UK]),tblData[UK]/$T$9,"")</f>
        <v>57.796508127633956</v>
      </c>
      <c r="U59">
        <v>80887</v>
      </c>
      <c r="V59" s="124">
        <f>IF(ISNUMBER(tblData[China]),tblData[China]/$V$9,"")</f>
        <v>561.97918320220958</v>
      </c>
      <c r="W59">
        <v>160</v>
      </c>
      <c r="X59" s="124">
        <f>IF(ISNUMBER(tblData[Singapore]),tblData[Singapore]/$X$9,"")</f>
        <v>273.5042735042735</v>
      </c>
      <c r="Y59">
        <v>67760</v>
      </c>
      <c r="Z59" s="20">
        <f>IF(AND(LEN(tblData[Generic])&gt;0,ISNUMBER(tblData[Generic])),tblData[Generic]/$Z$9,"")</f>
        <v>11582.905982905984</v>
      </c>
      <c r="AA59" s="25">
        <f>IF(tblData[[#This Row],[Date]]&lt;ItalyStart,"",tblData[[#This Row],[Date]]-ItalyStart)</f>
        <v>40</v>
      </c>
      <c r="AB59" s="25">
        <f>IF(tblData[[#This Row],[Date]]&lt;USStart,"",tblData[[#This Row],[Date]]-USStart)</f>
        <v>48</v>
      </c>
      <c r="AC59" s="25">
        <f>IF(tblData[[#This Row],[Date]]&lt;ChinaStart,"",tblData[[#This Row],[Date]]-ChinaStart)</f>
        <v>48</v>
      </c>
      <c r="AD59" s="25">
        <f>IF(tblData[[#This Row],[Date]]&lt;StartDt2Korea,"",tblData[[#This Row],[Date]]-StartDt2Korea)</f>
        <v>20</v>
      </c>
      <c r="AE59" s="25">
        <f>IF(tblData[[#This Row],[Date]]&lt;UKStart,"",tblData[[#This Row],[Date]]-UKStart)</f>
        <v>40</v>
      </c>
      <c r="AF59" s="25">
        <f>IF(tblData[[#This Row],[Date]]&lt;SingaporeStart,"",tblData[[#This Row],[Date]]-SingaporeStart)</f>
        <v>47</v>
      </c>
      <c r="AG59" s="25">
        <f>IF(tblData[[#This Row],[Date]]&lt;GenStart,"",tblData[[#This Row],[Date]]-GenStart)</f>
        <v>48</v>
      </c>
      <c r="AH59">
        <f>IF(tblData[Date]&gt;=StartDt2Au,tblData[Date]-StartDt2Au,"")</f>
        <v>45</v>
      </c>
      <c r="AI59" s="25">
        <f>IF(tblData[New South Wales]&gt;0,SUM(tblData[[#This Row],[Australian Capital Territory]:[Western Australia]]),"")</f>
        <v>107</v>
      </c>
      <c r="AJ59" s="12">
        <f>IF(ISNUMBER(tblData[Au]),tblData[Au]/$AE$9,"")</f>
        <v>42.185775114335279</v>
      </c>
      <c r="AK59" s="19">
        <f>IF(ISNUMBER(tblData[[#This Row],[Day'# Aust]]),betaAu/(deltaAu+betaPodeltaAu*EXP(-betaAu*tblData[[#This Row],[Day'# Aust]])),"")</f>
        <v>83.079718593481886</v>
      </c>
      <c r="AL59" s="66">
        <f>IF(ISNUMBER(tblData[Day'# Aust]),tblData[Au LogiP(t)]/$AJ$9,"")</f>
        <v>32.75497500137277</v>
      </c>
      <c r="AM59" s="11">
        <f>IF(AND(tblData[Date]&gt;=StartDt2Au,ISNUMBER(tblData[NSW])),(tblData[[#This Row],[Au LogiP(t)]]-tblData[[#This Row],[Au]])^2,"")</f>
        <v>572.17986256701624</v>
      </c>
      <c r="AN59">
        <f>IF(tblData[Date]&gt;StartDt2NSW,tblData[Date]-StartDt2NSW,"")</f>
        <v>45</v>
      </c>
      <c r="AO59">
        <f t="shared" si="4"/>
        <v>55</v>
      </c>
      <c r="AP59" s="11">
        <f>IF(tblData[Date]&gt;StartDt2NSW,betaNSW/(deltaNSW+betaPodeltaNSW*EXP(-betaNSW*tblData[[#This Row],[Day '# NSW]])),"")</f>
        <v>49.507536748182609</v>
      </c>
      <c r="AQ59" s="12">
        <f>IF(AND(ISNUMBER(tblData[NSW]),tblData[Date]&gt;StartDt2NSW),(tblData[[#This Row],[NSW LogiP(t)]]-tblData[[#This Row],[NSW]])^2,"")</f>
        <v>30.167152572564468</v>
      </c>
      <c r="AR59" s="12">
        <f>IF(AND(tblData[Date]&gt;StartDt2NSW,ISNUMBER(tblData[Day'# Aust])),tblData[NSW LogiP(t)]/$AQ$9,"")</f>
        <v>61.271703896265599</v>
      </c>
      <c r="AS59" s="11">
        <f>IF(AND(tblData[Date]&gt;StartDt2Italy,ISNUMBER(tblData[Days'# Italy])),betaItaly/(deltaItaly+betaPodeltaItaly*EXP(-betaItaly*tblData[Days'# Italy])),"")</f>
        <v>11224.099520932505</v>
      </c>
      <c r="AT59" s="11">
        <f>IF(AND(tblData[Date]&gt;StartDt2Italy,ISNUMBER(tblData[Italy])),(tblData[[#This Row],[Italy LogiP(t)]]-tblData[[#This Row],[Italy]])^2,"")</f>
        <v>1155838.979909301</v>
      </c>
      <c r="AU59" s="41">
        <f>IF(AND(tblData[Date]&gt;StartDt2Italy,ISNUMBER(tblData[Days'# Italy])),tblData[[#This Row],[Italy LogiP(t)]]/$AT$9,"")</f>
        <v>1855.6831480420774</v>
      </c>
      <c r="AV59" s="20">
        <f>IF(ISNUMBER(tblData[[#This Row],[Days'# US]]),betaUS/(deltaUS+betaPodeltaUS*EXP(-betaUS*tblData[Days'# US])),"")</f>
        <v>1363.1018204924269</v>
      </c>
      <c r="AW59" s="11">
        <f>IF(AND(tblData[Date]&gt;=StartDt2US,ISNUMBER(tblData[US])),(tblData[[#This Row],[US LogiP(t)]]-tblData[US])^2,"")</f>
        <v>163298.28132529362</v>
      </c>
      <c r="AX59" s="20">
        <f>IF(ISNUMBER(tblData[[#This Row],[Days'# US]]),tblData[[#This Row],[US LogiP(t)]]/$AW$9,"")</f>
        <v>41.403005580593657</v>
      </c>
      <c r="AY59" s="20">
        <f>IF(tblData[Date]&gt;=StartDt2Korea,betaSKorea/(deltaSKorea+betaPodeltaSKorea*EXP(-betaSKorea*(tblData[Date]-StartDt2Korea))),"")</f>
        <v>7865.193849057946</v>
      </c>
      <c r="AZ59" s="20">
        <f>IF(AND(tblData[Date]&gt;=StartDt2Korea,ISNUMBER(tblData[SKorea])),(tblData[[#This Row],[SKorea LogiP(t)]]-tblData[[#This Row],[SKorea]])^2,"")</f>
        <v>124040.50731425121</v>
      </c>
      <c r="BA59" s="20">
        <f>IF(tblData[Date]&gt;=StartDt2Korea,tblData[[#This Row],[SKorea LogiP(t)]]/$AZ$9,"")</f>
        <v>1530.1933558478495</v>
      </c>
      <c r="BB59" s="11">
        <f>IF(ISNUMBER(tblData[Days'# UK]),betaUK/(deltaUK+betaPodeltaUK*EXP(-betaUK*tblData[Days'# UK])),"")</f>
        <v>420.45462790734427</v>
      </c>
      <c r="BC59" s="20">
        <f>IF(ISNUMBER(tblData[UK]),(tblData[[#This Row],[UK LogiP(t)]]-tblData[[#This Row],[UK]])^2,"")</f>
        <v>1328.939895862924</v>
      </c>
      <c r="BD59" s="20">
        <f>IF(ISNUMBER(tblData[Days'# UK]),tblData[[#This Row],[UK LogiP(t)]]/$BC$9,"")</f>
        <v>63.283357601948261</v>
      </c>
      <c r="BE59" s="11">
        <f>IF(ISNUMBER(tblData[Days'# China]),betaChina/(deltaChina+betaPodeltaChina*EXP(-betaChina*tblData[Days'# China])),"")</f>
        <v>80918.099198626369</v>
      </c>
      <c r="BF59" s="11">
        <f>IF(ISNUMBER(tblData[China]),(tblData[[#This Row],[China LogiP(t)]]-tblData[[#This Row],[China]])^2,"")</f>
        <v>967.16015520234453</v>
      </c>
      <c r="BG59" s="11">
        <f>tblData[[#This Row],[China LogiP(t)]]/$BF$9</f>
        <v>562.19525132492754</v>
      </c>
      <c r="BH59" s="11">
        <f>IF(ISNUMBER(tblData[Day'# Singapore]),betaSingapore/(deltaSingapore+betaPodeltaSingapore*EXP(-betaSingapore*tblData[Day'# Singapore])),"")</f>
        <v>185.30912980874214</v>
      </c>
      <c r="BI59" s="11">
        <f>IF(AND(ISNUMBER(tblData[Singapore]),tblData[Date]&gt;=StartDt2Singapore),(tblData[[#This Row],[Singapore LogiP(t)]]-tblData[[#This Row],[Singapore]])^2,"")</f>
        <v>640.55205167576003</v>
      </c>
      <c r="BJ59" s="11">
        <f>IF(ISNUMBER(tblData[Day'# Singapore]),tblData[Singapore LogiP(t)]/$BI$9,"")</f>
        <v>316.76774326280707</v>
      </c>
      <c r="BK59" s="11">
        <f>IF(ISNUMBER(tblData[Day'# Generic]),betaGeneric/(deltaGeneric+betaPodeltaGeneric*EXP(-betaGeneric*tblData[Day'# Generic])),"")</f>
        <v>67233.574277261258</v>
      </c>
      <c r="BL59" s="11">
        <f>IF(AND(ISNUMBER(tblData[Generic]),tblData[Date]&gt;=StartDt2Generic),(tblData[Generic LogiP(t)]-tblData[[#This Row],[Generic]])^2,"")</f>
        <v>277124.04156100738</v>
      </c>
      <c r="BM59" s="11">
        <f>IF(ISNUMBER(tblData[Day'# Generic]),tblData[Generic LogiP(t)]/$BL$9,"")</f>
        <v>11492.918679873719</v>
      </c>
      <c r="BN59">
        <v>8361</v>
      </c>
      <c r="BO59" s="11">
        <v>618</v>
      </c>
      <c r="BP59" s="11">
        <f>IF(ISNUMBER(tblData[[#This Row],[Tests]]),tblData[[#This Row],[Tests]]-BP58,"")</f>
        <v>7401</v>
      </c>
      <c r="BQ59" s="11">
        <f>IF(ISNUMBER(tblData[[#This Row],[NSW Under Investigation'']]),tblData[[#This Row],[NSW Under Investigation'']]-BO58,"")</f>
        <v>142</v>
      </c>
      <c r="BR59" s="11">
        <f>IF(tblData[[#This Row],[Date]]&gt;myData!TestsStart,tblData[[#This Row],[Date]]-myData!TestsStart,"")</f>
        <v>5</v>
      </c>
      <c r="BS59" s="11">
        <f>IF(AND(tblData[[#This Row],[NSW Test Day Number]]&gt;0,ISNUMBER(tblData[[#This Row],[NSW Test Day Number]])),betaTests/(deltaTests+betaPodeltaTests*EXP(-betaTests*tblData[[#This Row],[NSW Test Day Number]])),"")</f>
        <v>8101.1699103551809</v>
      </c>
      <c r="BT59" s="11">
        <f>IF(tblData[Tests]&gt;0,(tblData[[#This Row],[Tests]]-tblData[[#This Row],[NSW Test Logi]])^2,"")</f>
        <v>67511.675484834705</v>
      </c>
      <c r="BU59" s="11">
        <f>IF(ISNUMBER(tblData[Tests]),tblData[Tests]/$BS$9/100,"")</f>
        <v>103.47772277227723</v>
      </c>
      <c r="BV59" s="124">
        <f ca="1">IF(AND(tblData[[#This Row],[NSW Test Day Number]]&gt;0,ISNUMBER(tblData[[#This Row],[NSW Test Day Number]])),TestsLogestB*TestsLogestM^tblData[[#This Row],[NSW Test Day Number]],"")</f>
        <v>9956.191624522231</v>
      </c>
      <c r="BW59" s="11">
        <f>IF(AND(tblData[[#This Row],[NSW Test Day Number]]&gt;0,ISNUMBER(tblData[Tests])),(tblData[Tests]-tblData[[#This Row],[NSW Test Per Capita]])^2,"")</f>
        <v>68186674.158912122</v>
      </c>
      <c r="BX59" s="124"/>
      <c r="BY59" s="11"/>
      <c r="BZ59"/>
      <c r="CB59" s="25"/>
      <c r="CD59" s="25"/>
      <c r="CK59"/>
      <c r="CL59"/>
      <c r="CO59" s="25"/>
      <c r="CZ59" s="25"/>
      <c r="DA59" s="25"/>
      <c r="DC59"/>
      <c r="DD59"/>
      <c r="DG59" s="25"/>
      <c r="DH59" s="25"/>
      <c r="DV59"/>
      <c r="DW59"/>
      <c r="DX59"/>
      <c r="DY59" t="s">
        <v>58</v>
      </c>
      <c r="DZ59" s="76">
        <v>43911.866296296299</v>
      </c>
      <c r="EA59" s="26">
        <v>43860</v>
      </c>
      <c r="EB59" s="26">
        <v>43860</v>
      </c>
      <c r="EC59">
        <v>2</v>
      </c>
      <c r="ED59" s="25">
        <v>0.26021145951808367</v>
      </c>
      <c r="EE59" s="24">
        <v>4.6967448339452021E-6</v>
      </c>
      <c r="EF59" s="25">
        <v>0.44199535332226664</v>
      </c>
      <c r="EG59" s="96">
        <v>55402.511466544704</v>
      </c>
      <c r="EH59" s="19">
        <v>1127.8816766057491</v>
      </c>
      <c r="EI59" s="12">
        <v>0.58871520169346225</v>
      </c>
      <c r="EJ59" s="98">
        <v>4.696744833945202E-3</v>
      </c>
      <c r="EK59" s="26">
        <v>43910</v>
      </c>
      <c r="EL59" s="25" t="s">
        <v>1025</v>
      </c>
      <c r="EM59" s="25"/>
      <c r="EN59" s="98">
        <v>47021</v>
      </c>
      <c r="EO59" s="25" t="s">
        <v>1026</v>
      </c>
      <c r="EP59" s="26">
        <v>43910</v>
      </c>
      <c r="EQ59" s="25">
        <v>51</v>
      </c>
      <c r="ER59" s="25" t="s">
        <v>1027</v>
      </c>
      <c r="ET59" t="s">
        <v>1028</v>
      </c>
      <c r="EU59" s="25"/>
      <c r="EV59" s="25" t="s">
        <v>1071</v>
      </c>
      <c r="EW59" s="25">
        <v>7778.4946236559144</v>
      </c>
      <c r="EX59" s="82">
        <v>43895</v>
      </c>
      <c r="EY59" s="25">
        <v>16</v>
      </c>
      <c r="EZ59" s="82">
        <v>43894</v>
      </c>
      <c r="FA59" s="25">
        <v>17</v>
      </c>
      <c r="FC59" s="25"/>
    </row>
    <row r="60" spans="2:194" x14ac:dyDescent="0.25">
      <c r="B60" s="1">
        <v>43901</v>
      </c>
      <c r="C60">
        <v>0</v>
      </c>
      <c r="D60" s="25">
        <v>0</v>
      </c>
      <c r="E60">
        <v>65</v>
      </c>
      <c r="F60">
        <v>1</v>
      </c>
      <c r="G60">
        <v>20</v>
      </c>
      <c r="H60">
        <v>9</v>
      </c>
      <c r="I60">
        <v>3</v>
      </c>
      <c r="J60">
        <v>21</v>
      </c>
      <c r="K60">
        <v>9</v>
      </c>
      <c r="L60" s="12">
        <f>IF(ISNUMBER(tblData[[#This Row],[NSW]]),tblData[[#This Row],[New South Wales]]/$L$9,"")</f>
        <v>80.445544554455438</v>
      </c>
      <c r="M60" s="25">
        <v>12462</v>
      </c>
      <c r="N60" s="124">
        <f>IF(ISNUMBER(tblData[Italy]),tblData[Italy]/$N$9,"")</f>
        <v>2060.3455402165828</v>
      </c>
      <c r="O60">
        <v>1281</v>
      </c>
      <c r="P60" s="124">
        <f>IF(ISNUMBER(tblData[US]),tblData[US]/$P$9,"")</f>
        <v>38.909235796912455</v>
      </c>
      <c r="Q60">
        <v>7755</v>
      </c>
      <c r="R60" s="124">
        <f>IF(ISNUMBER(tblData[SKorea]),tblData[SKorea]/$R$9,"")</f>
        <v>1508.7548638132296</v>
      </c>
      <c r="S60">
        <v>459</v>
      </c>
      <c r="T60" s="124">
        <f>IF(ISNUMBER(tblData[UK]),tblData[UK]/$T$9,"")</f>
        <v>69.084888621312459</v>
      </c>
      <c r="U60">
        <v>80921</v>
      </c>
      <c r="V60" s="124">
        <f>IF(ISNUMBER(tblData[China]),tblData[China]/$V$9,"")</f>
        <v>562.21540524319107</v>
      </c>
      <c r="W60">
        <v>178</v>
      </c>
      <c r="X60" s="124">
        <f>IF(ISNUMBER(tblData[Singapore]),tblData[Singapore]/$X$9,"")</f>
        <v>304.27350427350427</v>
      </c>
      <c r="Y60">
        <v>67773</v>
      </c>
      <c r="Z60" s="20">
        <f>IF(AND(LEN(tblData[Generic])&gt;0,ISNUMBER(tblData[Generic])),tblData[Generic]/$Z$9,"")</f>
        <v>11585.128205128205</v>
      </c>
      <c r="AA60" s="25">
        <f>IF(tblData[[#This Row],[Date]]&lt;ItalyStart,"",tblData[[#This Row],[Date]]-ItalyStart)</f>
        <v>41</v>
      </c>
      <c r="AB60" s="25">
        <f>IF(tblData[[#This Row],[Date]]&lt;USStart,"",tblData[[#This Row],[Date]]-USStart)</f>
        <v>49</v>
      </c>
      <c r="AC60" s="25">
        <f>IF(tblData[[#This Row],[Date]]&lt;ChinaStart,"",tblData[[#This Row],[Date]]-ChinaStart)</f>
        <v>49</v>
      </c>
      <c r="AD60" s="25">
        <f>IF(tblData[[#This Row],[Date]]&lt;StartDt2Korea,"",tblData[[#This Row],[Date]]-StartDt2Korea)</f>
        <v>21</v>
      </c>
      <c r="AE60" s="25">
        <f>IF(tblData[[#This Row],[Date]]&lt;UKStart,"",tblData[[#This Row],[Date]]-UKStart)</f>
        <v>41</v>
      </c>
      <c r="AF60" s="25">
        <f>IF(tblData[[#This Row],[Date]]&lt;SingaporeStart,"",tblData[[#This Row],[Date]]-SingaporeStart)</f>
        <v>48</v>
      </c>
      <c r="AG60" s="25">
        <f>IF(tblData[[#This Row],[Date]]&lt;GenStart,"",tblData[[#This Row],[Date]]-GenStart)</f>
        <v>49</v>
      </c>
      <c r="AH60">
        <f>IF(tblData[Date]&gt;=StartDt2Au,tblData[Date]-StartDt2Au,"")</f>
        <v>46</v>
      </c>
      <c r="AI60" s="25">
        <f>IF(tblData[New South Wales]&gt;0,SUM(tblData[[#This Row],[Australian Capital Territory]:[Western Australia]]),"")</f>
        <v>128</v>
      </c>
      <c r="AJ60" s="12">
        <f>IF(ISNUMBER(tblData[Au]),tblData[Au]/$AE$9,"")</f>
        <v>50.465226304999213</v>
      </c>
      <c r="AK60" s="19">
        <f>IF(ISNUMBER(tblData[[#This Row],[Day'# Aust]]),betaAu/(deltaAu+betaPodeltaAu*EXP(-betaAu*tblData[[#This Row],[Day'# Aust]])),"")</f>
        <v>106.52823260796164</v>
      </c>
      <c r="AL60" s="66">
        <f>IF(ISNUMBER(tblData[Day'# Aust]),tblData[Au LogiP(t)]/$AJ$9,"")</f>
        <v>41.999776300252975</v>
      </c>
      <c r="AM60" s="11">
        <f>IF(AND(tblData[Date]&gt;=StartDt2Au,ISNUMBER(tblData[NSW])),(tblData[[#This Row],[Au LogiP(t)]]-tblData[[#This Row],[Au]])^2,"")</f>
        <v>461.03679493780174</v>
      </c>
      <c r="AN60">
        <f>IF(tblData[Date]&gt;StartDt2NSW,tblData[Date]-StartDt2NSW,"")</f>
        <v>46</v>
      </c>
      <c r="AO60" s="25">
        <f t="shared" si="4"/>
        <v>65</v>
      </c>
      <c r="AP60" s="11">
        <f>IF(tblData[Date]&gt;StartDt2NSW,betaNSW/(deltaNSW+betaPodeltaNSW*EXP(-betaNSW*tblData[[#This Row],[Day '# NSW]])),"")</f>
        <v>60.915347932673086</v>
      </c>
      <c r="AQ60" s="12">
        <f>IF(AND(ISNUMBER(tblData[NSW]),tblData[Date]&gt;StartDt2NSW),(tblData[[#This Row],[NSW LogiP(t)]]-tblData[[#This Row],[NSW]])^2,"")</f>
        <v>16.684382511118031</v>
      </c>
      <c r="AR60" s="12">
        <f>IF(AND(tblData[Date]&gt;StartDt2NSW,ISNUMBER(tblData[Day'# Aust])),tblData[NSW LogiP(t)]/$AQ$9,"")</f>
        <v>75.390282094892427</v>
      </c>
      <c r="AS60" s="11">
        <f>IF(AND(tblData[Date]&gt;StartDt2Italy,ISNUMBER(tblData[Days'# Italy])),betaItaly/(deltaItaly+betaPodeltaItaly*EXP(-betaItaly*tblData[Days'# Italy])),"")</f>
        <v>13917.6541796576</v>
      </c>
      <c r="AT60" s="11">
        <f>IF(AND(tblData[Date]&gt;StartDt2Italy,ISNUMBER(tblData[Italy])),(tblData[[#This Row],[Italy LogiP(t)]]-tblData[[#This Row],[Italy]])^2,"")</f>
        <v>2118929.0907546412</v>
      </c>
      <c r="AU60" s="41">
        <f>IF(AND(tblData[Date]&gt;StartDt2Italy,ISNUMBER(tblData[Days'# Italy])),tblData[[#This Row],[Italy LogiP(t)]]/$AT$9,"")</f>
        <v>2301.0092055315536</v>
      </c>
      <c r="AV60" s="20">
        <f>IF(ISNUMBER(tblData[[#This Row],[Days'# US]]),betaUS/(deltaUS+betaPodeltaUS*EXP(-betaUS*tblData[Days'# US])),"")</f>
        <v>1794.5965584500902</v>
      </c>
      <c r="AW60" s="11">
        <f>IF(AND(tblData[Date]&gt;=StartDt2US,ISNUMBER(tblData[US])),(tblData[[#This Row],[US LogiP(t)]]-tblData[US])^2,"")</f>
        <v>263781.42485177697</v>
      </c>
      <c r="AX60" s="20">
        <f>IF(ISNUMBER(tblData[[#This Row],[Days'# US]]),tblData[[#This Row],[US LogiP(t)]]/$AW$9,"")</f>
        <v>54.509274514490357</v>
      </c>
      <c r="AY60" s="20">
        <f>IF(tblData[Date]&gt;=StartDt2Korea,betaSKorea/(deltaSKorea+betaPodeltaSKorea*EXP(-betaSKorea*(tblData[Date]-StartDt2Korea))),"")</f>
        <v>8045.1298830878941</v>
      </c>
      <c r="AZ60" s="20">
        <f>IF(AND(tblData[Date]&gt;=StartDt2Korea,ISNUMBER(tblData[SKorea])),(tblData[[#This Row],[SKorea LogiP(t)]]-tblData[[#This Row],[SKorea]])^2,"")</f>
        <v>84175.349060595094</v>
      </c>
      <c r="BA60" s="20">
        <f>IF(tblData[Date]&gt;=StartDt2Korea,tblData[[#This Row],[SKorea LogiP(t)]]/$AZ$9,"")</f>
        <v>1565.2003663595126</v>
      </c>
      <c r="BB60" s="11">
        <f>IF(ISNUMBER(tblData[Days'# UK]),betaUK/(deltaUK+betaPodeltaUK*EXP(-betaUK*tblData[Days'# UK])),"")</f>
        <v>530.38238685774877</v>
      </c>
      <c r="BC60" s="20">
        <f>IF(ISNUMBER(tblData[UK]),(tblData[[#This Row],[UK LogiP(t)]]-tblData[[#This Row],[UK]])^2,"")</f>
        <v>5095.445153509304</v>
      </c>
      <c r="BD60" s="20">
        <f>IF(ISNUMBER(tblData[Days'# UK]),tblData[[#This Row],[UK LogiP(t)]]/$BC$9,"")</f>
        <v>79.82877586660878</v>
      </c>
      <c r="BE60" s="11">
        <f>IF(ISNUMBER(tblData[Days'# China]),betaChina/(deltaChina+betaPodeltaChina*EXP(-betaChina*tblData[Days'# China])),"")</f>
        <v>80937.574363770211</v>
      </c>
      <c r="BF60" s="11">
        <f>IF(ISNUMBER(tblData[China]),(tblData[[#This Row],[China LogiP(t)]]-tblData[[#This Row],[China]])^2,"")</f>
        <v>274.70953438727526</v>
      </c>
      <c r="BG60" s="11">
        <f>tblData[[#This Row],[China LogiP(t)]]/$BF$9</f>
        <v>562.33055906783136</v>
      </c>
      <c r="BH60" s="11">
        <f>IF(ISNUMBER(tblData[Day'# Singapore]),betaSingapore/(deltaSingapore+betaPodeltaSingapore*EXP(-betaSingapore*tblData[Day'# Singapore])),"")</f>
        <v>199.63742645813997</v>
      </c>
      <c r="BI60" s="11">
        <f>IF(AND(ISNUMBER(tblData[Singapore]),tblData[Date]&gt;=StartDt2Singapore),(tblData[[#This Row],[Singapore LogiP(t)]]-tblData[[#This Row],[Singapore]])^2,"")</f>
        <v>468.17822373141559</v>
      </c>
      <c r="BJ60" s="11">
        <f>IF(ISNUMBER(tblData[Day'# Singapore]),tblData[Singapore LogiP(t)]/$BI$9,"")</f>
        <v>341.26055804810255</v>
      </c>
      <c r="BK60" s="11">
        <f>IF(ISNUMBER(tblData[Day'# Generic]),betaGeneric/(deltaGeneric+betaPodeltaGeneric*EXP(-betaGeneric*tblData[Day'# Generic])),"")</f>
        <v>67248.460950721594</v>
      </c>
      <c r="BL60" s="11">
        <f>IF(AND(ISNUMBER(tblData[Generic]),tblData[Date]&gt;=StartDt2Generic),(tblData[Generic LogiP(t)]-tblData[[#This Row],[Generic]])^2,"")</f>
        <v>275141.21421789436</v>
      </c>
      <c r="BM60" s="11">
        <f>IF(ISNUMBER(tblData[Day'# Generic]),tblData[Generic LogiP(t)]/$BL$9,"")</f>
        <v>11495.46341037976</v>
      </c>
      <c r="BN60">
        <v>9152</v>
      </c>
      <c r="BO60" s="11">
        <v>1004</v>
      </c>
      <c r="BP60" s="11">
        <f>IF(ISNUMBER(tblData[[#This Row],[Tests]]),tblData[[#This Row],[Tests]]-BP59,"")</f>
        <v>1751</v>
      </c>
      <c r="BQ60" s="11">
        <f>IF(ISNUMBER(tblData[[#This Row],[NSW Under Investigation'']]),tblData[[#This Row],[NSW Under Investigation'']]-BO59,"")</f>
        <v>386</v>
      </c>
      <c r="BR60" s="11">
        <f>IF(tblData[[#This Row],[Date]]&gt;myData!TestsStart,tblData[[#This Row],[Date]]-myData!TestsStart,"")</f>
        <v>6</v>
      </c>
      <c r="BS60" s="11">
        <f>IF(AND(tblData[[#This Row],[NSW Test Day Number]]&gt;0,ISNUMBER(tblData[[#This Row],[NSW Test Day Number]])),betaTests/(deltaTests+betaPodeltaTests*EXP(-betaTests*tblData[[#This Row],[NSW Test Day Number]])),"")</f>
        <v>9753.724155624961</v>
      </c>
      <c r="BT60" s="11">
        <f>IF(tblData[Tests]&gt;0,(tblData[[#This Row],[Tests]]-tblData[[#This Row],[NSW Test Logi]])^2,"")</f>
        <v>362071.95946257224</v>
      </c>
      <c r="BU60" s="11">
        <f>IF(ISNUMBER(tblData[Tests]),tblData[Tests]/$BS$9/100,"")</f>
        <v>113.26732673267327</v>
      </c>
      <c r="BV60" s="124">
        <f ca="1">IF(AND(tblData[[#This Row],[NSW Test Day Number]]&gt;0,ISNUMBER(tblData[[#This Row],[NSW Test Day Number]])),TestsLogestB*TestsLogestM^tblData[[#This Row],[NSW Test Day Number]],"")</f>
        <v>11396.364388002912</v>
      </c>
      <c r="BW60" s="11">
        <f>IF(AND(tblData[[#This Row],[NSW Test Day Number]]&gt;0,ISNUMBER(tblData[Tests])),(tblData[Tests]-tblData[[#This Row],[NSW Test Per Capita]])^2,"")</f>
        <v>81698688.338790312</v>
      </c>
      <c r="BX60" s="124"/>
      <c r="BY60" s="11"/>
      <c r="BZ60"/>
      <c r="CB60" s="25"/>
      <c r="CD60" s="25"/>
      <c r="CK60"/>
      <c r="CL60"/>
      <c r="CO60" s="25"/>
      <c r="CZ60" s="25"/>
      <c r="DA60" s="25"/>
      <c r="DC60"/>
      <c r="DD60"/>
      <c r="DG60" s="25"/>
      <c r="DH60" s="25"/>
      <c r="DV60"/>
      <c r="DW60"/>
      <c r="DX60"/>
      <c r="DY60" s="25" t="s">
        <v>58</v>
      </c>
      <c r="DZ60" s="76">
        <v>43912.326678240737</v>
      </c>
      <c r="EA60" s="26">
        <v>43860</v>
      </c>
      <c r="EB60" s="26">
        <v>43860</v>
      </c>
      <c r="EC60">
        <v>2</v>
      </c>
      <c r="ED60" s="25">
        <v>0.25947894792637805</v>
      </c>
      <c r="EE60" s="24">
        <v>4.2793930730069226E-6</v>
      </c>
      <c r="EF60" s="25">
        <v>0.44221157817092033</v>
      </c>
      <c r="EG60" s="96">
        <v>60634.520713483966</v>
      </c>
      <c r="EH60" s="25">
        <v>1498.6578455090564</v>
      </c>
      <c r="EI60" s="25">
        <v>0.58677128401401213</v>
      </c>
      <c r="EJ60" s="98">
        <v>4.2793930730069228E-3</v>
      </c>
      <c r="EK60" s="26">
        <v>43911</v>
      </c>
      <c r="EL60" s="25" t="s">
        <v>1087</v>
      </c>
      <c r="EM60" s="25"/>
      <c r="EN60" s="98">
        <v>53578</v>
      </c>
      <c r="EO60" s="25" t="s">
        <v>491</v>
      </c>
      <c r="EP60" s="26">
        <v>43911</v>
      </c>
      <c r="EQ60" s="25">
        <v>52</v>
      </c>
      <c r="ER60" s="25" t="s">
        <v>1088</v>
      </c>
      <c r="ES60" s="25"/>
      <c r="ET60" t="s">
        <v>1089</v>
      </c>
      <c r="EV60" t="s">
        <v>1090</v>
      </c>
      <c r="EW60" s="25">
        <v>8863.1927212572373</v>
      </c>
      <c r="EX60" s="82">
        <v>43895</v>
      </c>
      <c r="EY60" s="25">
        <v>16</v>
      </c>
      <c r="EZ60" s="82">
        <v>43894</v>
      </c>
      <c r="FA60" s="25">
        <v>18</v>
      </c>
      <c r="FC60" s="25"/>
      <c r="FD60" s="50"/>
      <c r="FE60" s="50"/>
      <c r="FF60" s="50"/>
      <c r="FG60" s="50"/>
      <c r="FH60" s="50"/>
    </row>
    <row r="61" spans="2:194" x14ac:dyDescent="0.25">
      <c r="B61" s="1">
        <v>43902</v>
      </c>
      <c r="C61">
        <v>0</v>
      </c>
      <c r="D61" s="25">
        <v>0</v>
      </c>
      <c r="E61">
        <v>65</v>
      </c>
      <c r="F61">
        <v>1</v>
      </c>
      <c r="G61">
        <v>20</v>
      </c>
      <c r="H61">
        <v>9</v>
      </c>
      <c r="I61">
        <v>3</v>
      </c>
      <c r="J61">
        <v>21</v>
      </c>
      <c r="K61">
        <v>9</v>
      </c>
      <c r="L61" s="12">
        <f>IF(ISNUMBER(tblData[[#This Row],[NSW]]),tblData[[#This Row],[New South Wales]]/$L$9,"")</f>
        <v>80.445544554455438</v>
      </c>
      <c r="M61" s="25">
        <f>(M62+M60)/2</f>
        <v>15061</v>
      </c>
      <c r="N61" s="124">
        <f>IF(ISNUMBER(tblData[Italy]),tblData[Italy]/$N$9,"")</f>
        <v>2490.0388526080847</v>
      </c>
      <c r="O61">
        <v>1663</v>
      </c>
      <c r="P61" s="124">
        <f>IF(ISNUMBER(tblData[US]),tblData[US]/$P$9,"")</f>
        <v>50.512146081393766</v>
      </c>
      <c r="Q61">
        <v>7869</v>
      </c>
      <c r="R61" s="124">
        <f>IF(ISNUMBER(tblData[SKorea]),tblData[SKorea]/$R$9,"")</f>
        <v>1530.933852140078</v>
      </c>
      <c r="S61">
        <v>459</v>
      </c>
      <c r="T61" s="124">
        <f>IF(ISNUMBER(tblData[UK]),tblData[UK]/$T$9,"")</f>
        <v>69.084888621312459</v>
      </c>
      <c r="U61">
        <v>80932</v>
      </c>
      <c r="V61" s="124">
        <f>IF(ISNUMBER(tblData[China]),tblData[China]/$V$9,"")</f>
        <v>562.29183002115576</v>
      </c>
      <c r="W61">
        <v>178</v>
      </c>
      <c r="X61" s="124">
        <f>IF(ISNUMBER(tblData[Singapore]),tblData[Singapore]/$X$9,"")</f>
        <v>304.27350427350427</v>
      </c>
      <c r="Y61">
        <v>67781</v>
      </c>
      <c r="Z61" s="20">
        <f>IF(AND(LEN(tblData[Generic])&gt;0,ISNUMBER(tblData[Generic])),tblData[Generic]/$Z$9,"")</f>
        <v>11586.495726495727</v>
      </c>
      <c r="AA61" s="25">
        <f>IF(tblData[[#This Row],[Date]]&lt;ItalyStart,"",tblData[[#This Row],[Date]]-ItalyStart)</f>
        <v>42</v>
      </c>
      <c r="AB61" s="25">
        <f>IF(tblData[[#This Row],[Date]]&lt;USStart,"",tblData[[#This Row],[Date]]-USStart)</f>
        <v>50</v>
      </c>
      <c r="AC61" s="25">
        <f>IF(tblData[[#This Row],[Date]]&lt;ChinaStart,"",tblData[[#This Row],[Date]]-ChinaStart)</f>
        <v>50</v>
      </c>
      <c r="AD61" s="25">
        <f>IF(tblData[[#This Row],[Date]]&lt;StartDt2Korea,"",tblData[[#This Row],[Date]]-StartDt2Korea)</f>
        <v>22</v>
      </c>
      <c r="AE61" s="25">
        <f>IF(tblData[[#This Row],[Date]]&lt;UKStart,"",tblData[[#This Row],[Date]]-UKStart)</f>
        <v>42</v>
      </c>
      <c r="AF61" s="25">
        <f>IF(tblData[[#This Row],[Date]]&lt;SingaporeStart,"",tblData[[#This Row],[Date]]-SingaporeStart)</f>
        <v>49</v>
      </c>
      <c r="AG61" s="25">
        <f>IF(tblData[[#This Row],[Date]]&lt;GenStart,"",tblData[[#This Row],[Date]]-GenStart)</f>
        <v>50</v>
      </c>
      <c r="AH61">
        <f>IF(tblData[Date]&gt;=StartDt2Au,tblData[Date]-StartDt2Au,"")</f>
        <v>47</v>
      </c>
      <c r="AI61" s="25">
        <f>IF(tblData[New South Wales]&gt;0,SUM(tblData[[#This Row],[Australian Capital Territory]:[Western Australia]]),"")</f>
        <v>128</v>
      </c>
      <c r="AJ61" s="12">
        <f>IF(ISNUMBER(tblData[Au]),tblData[Au]/$AE$9,"")</f>
        <v>50.465226304999213</v>
      </c>
      <c r="AK61" s="19">
        <f>IF(ISNUMBER(tblData[[#This Row],[Day'# Aust]]),betaAu/(deltaAu+betaPodeltaAu*EXP(-betaAu*tblData[[#This Row],[Day'# Aust]])),"")</f>
        <v>136.46499531926196</v>
      </c>
      <c r="AL61" s="66">
        <f>IF(ISNUMBER(tblData[Day'# Aust]),tblData[Au LogiP(t)]/$AJ$9,"")</f>
        <v>53.802631808571974</v>
      </c>
      <c r="AM61" s="11">
        <f>IF(AND(tblData[Date]&gt;=StartDt2Au,ISNUMBER(tblData[NSW])),(tblData[[#This Row],[Au LogiP(t)]]-tblData[[#This Row],[Au]])^2,"")</f>
        <v>71.656145755126872</v>
      </c>
      <c r="AN61">
        <f>IF(tblData[Date]&gt;StartDt2NSW,tblData[Date]-StartDt2NSW,"")</f>
        <v>47</v>
      </c>
      <c r="AO61" s="25">
        <f t="shared" si="4"/>
        <v>65</v>
      </c>
      <c r="AP61" s="11">
        <f>IF(tblData[Date]&gt;StartDt2NSW,betaNSW/(deltaNSW+betaPodeltaNSW*EXP(-betaNSW*tblData[[#This Row],[Day '# NSW]])),"")</f>
        <v>74.931188285462426</v>
      </c>
      <c r="AQ61" s="12">
        <f>IF(AND(ISNUMBER(tblData[NSW]),tblData[Date]&gt;StartDt2NSW),(tblData[[#This Row],[NSW LogiP(t)]]-tblData[[#This Row],[NSW]])^2,"")</f>
        <v>98.628500761306114</v>
      </c>
      <c r="AR61" s="12">
        <f>IF(AND(tblData[Date]&gt;StartDt2NSW,ISNUMBER(tblData[Day'# Aust])),tblData[NSW LogiP(t)]/$AQ$9,"")</f>
        <v>92.736619165176265</v>
      </c>
      <c r="AS61" s="11">
        <f>IF(AND(tblData[Date]&gt;StartDt2Italy,ISNUMBER(tblData[Days'# Italy])),betaItaly/(deltaItaly+betaPodeltaItaly*EXP(-betaItaly*tblData[Days'# Italy])),"")</f>
        <v>17087.247052120005</v>
      </c>
      <c r="AT61" s="11">
        <f>IF(AND(tblData[Date]&gt;StartDt2Italy,ISNUMBER(tblData[Italy])),(tblData[[#This Row],[Italy LogiP(t)]]-tblData[[#This Row],[Italy]])^2,"")</f>
        <v>4105677.1162250093</v>
      </c>
      <c r="AU61" s="41">
        <f>IF(AND(tblData[Date]&gt;StartDt2Italy,ISNUMBER(tblData[Days'# Italy])),tblData[[#This Row],[Italy LogiP(t)]]/$AT$9,"")</f>
        <v>2825.0387785599746</v>
      </c>
      <c r="AV61" s="20">
        <f>IF(ISNUMBER(tblData[[#This Row],[Days'# US]]),betaUS/(deltaUS+betaPodeltaUS*EXP(-betaUS*tblData[Days'# US])),"")</f>
        <v>2360.9487452811613</v>
      </c>
      <c r="AW61" s="11">
        <f>IF(AND(tblData[Date]&gt;=StartDt2US,ISNUMBER(tblData[US])),(tblData[[#This Row],[US LogiP(t)]]-tblData[US])^2,"")</f>
        <v>487132.45103954745</v>
      </c>
      <c r="AX61" s="20">
        <f>IF(ISNUMBER(tblData[[#This Row],[Days'# US]]),tblData[[#This Row],[US LogiP(t)]]/$AW$9,"")</f>
        <v>71.711718528157149</v>
      </c>
      <c r="AY61" s="20">
        <f>IF(tblData[Date]&gt;=StartDt2Korea,betaSKorea/(deltaSKorea+betaPodeltaSKorea*EXP(-betaSKorea*(tblData[Date]-StartDt2Korea))),"")</f>
        <v>8183.8022357686523</v>
      </c>
      <c r="AZ61" s="20">
        <f>IF(AND(tblData[Date]&gt;=StartDt2Korea,ISNUMBER(tblData[SKorea])),(tblData[[#This Row],[SKorea LogiP(t)]]-tblData[[#This Row],[SKorea]])^2,"")</f>
        <v>99100.447644942135</v>
      </c>
      <c r="BA61" s="20">
        <f>IF(tblData[Date]&gt;=StartDt2Korea,tblData[[#This Row],[SKorea LogiP(t)]]/$AZ$9,"")</f>
        <v>1592.1794233012943</v>
      </c>
      <c r="BB61" s="11">
        <f>IF(ISNUMBER(tblData[Days'# UK]),betaUK/(deltaUK+betaPodeltaUK*EXP(-betaUK*tblData[Days'# UK])),"")</f>
        <v>668.16201105003449</v>
      </c>
      <c r="BC61" s="20">
        <f>IF(ISNUMBER(tblData[UK]),(tblData[[#This Row],[UK LogiP(t)]]-tblData[[#This Row],[UK]])^2,"")</f>
        <v>43748.746866494752</v>
      </c>
      <c r="BD61" s="20">
        <f>IF(ISNUMBER(tblData[Days'# UK]),tblData[[#This Row],[UK LogiP(t)]]/$BC$9,"")</f>
        <v>100.56622682872283</v>
      </c>
      <c r="BE61" s="11">
        <f>IF(ISNUMBER(tblData[Days'# China]),betaChina/(deltaChina+betaPodeltaChina*EXP(-betaChina*tblData[Days'# China])),"")</f>
        <v>80953.17685312331</v>
      </c>
      <c r="BF61" s="11">
        <f>IF(ISNUMBER(tblData[China]),(tblData[[#This Row],[China LogiP(t)]]-tblData[[#This Row],[China]])^2,"")</f>
        <v>448.45910820625039</v>
      </c>
      <c r="BG61" s="11">
        <f>tblData[[#This Row],[China LogiP(t)]]/$BF$9</f>
        <v>562.43896059369558</v>
      </c>
      <c r="BH61" s="11">
        <f>IF(ISNUMBER(tblData[Day'# Singapore]),betaSingapore/(deltaSingapore+betaPodeltaSingapore*EXP(-betaSingapore*tblData[Day'# Singapore])),"")</f>
        <v>215.07360205819813</v>
      </c>
      <c r="BI61" s="11">
        <f>IF(AND(ISNUMBER(tblData[Singapore]),tblData[Date]&gt;=StartDt2Singapore),(tblData[[#This Row],[Singapore LogiP(t)]]-tblData[[#This Row],[Singapore]])^2,"")</f>
        <v>1374.4519695696329</v>
      </c>
      <c r="BJ61" s="11">
        <f>IF(ISNUMBER(tblData[Day'# Singapore]),tblData[Singapore LogiP(t)]/$BI$9,"")</f>
        <v>367.6471830054669</v>
      </c>
      <c r="BK61" s="11">
        <f>IF(ISNUMBER(tblData[Day'# Generic]),betaGeneric/(deltaGeneric+betaPodeltaGeneric*EXP(-betaGeneric*tblData[Day'# Generic])),"")</f>
        <v>67260.415451020963</v>
      </c>
      <c r="BL61" s="11">
        <f>IF(AND(ISNUMBER(tblData[Generic]),tblData[Date]&gt;=StartDt2Generic),(tblData[Generic LogiP(t)]-tblData[[#This Row],[Generic]])^2,"")</f>
        <v>271008.27263570757</v>
      </c>
      <c r="BM61" s="11">
        <f>IF(ISNUMBER(tblData[Day'# Generic]),tblData[Generic LogiP(t)]/$BL$9,"")</f>
        <v>11497.50691470444</v>
      </c>
      <c r="BN61">
        <v>11040</v>
      </c>
      <c r="BO61" s="11">
        <v>1831</v>
      </c>
      <c r="BP61" s="11">
        <f>IF(ISNUMBER(tblData[[#This Row],[Tests]]),tblData[[#This Row],[Tests]]-BP60,"")</f>
        <v>9289</v>
      </c>
      <c r="BQ61" s="11">
        <f>IF(ISNUMBER(tblData[[#This Row],[NSW Under Investigation'']]),tblData[[#This Row],[NSW Under Investigation'']]-BO60,"")</f>
        <v>827</v>
      </c>
      <c r="BR61" s="11">
        <f>IF(tblData[[#This Row],[Date]]&gt;myData!TestsStart,tblData[[#This Row],[Date]]-myData!TestsStart,"")</f>
        <v>7</v>
      </c>
      <c r="BS61" s="11">
        <f>IF(AND(tblData[[#This Row],[NSW Test Day Number]]&gt;0,ISNUMBER(tblData[[#This Row],[NSW Test Day Number]])),betaTests/(deltaTests+betaPodeltaTests*EXP(-betaTests*tblData[[#This Row],[NSW Test Day Number]])),"")</f>
        <v>11703.707156044797</v>
      </c>
      <c r="BT61" s="11">
        <f>IF(tblData[Tests]&gt;0,(tblData[[#This Row],[Tests]]-tblData[[#This Row],[NSW Test Logi]])^2,"")</f>
        <v>440507.18898507202</v>
      </c>
      <c r="BU61" s="11">
        <f>IF(ISNUMBER(tblData[Tests]),tblData[Tests]/$BS$9/100,"")</f>
        <v>136.63366336633663</v>
      </c>
      <c r="BV61" s="124">
        <f ca="1">IF(AND(tblData[[#This Row],[NSW Test Day Number]]&gt;0,ISNUMBER(tblData[[#This Row],[NSW Test Day Number]])),TestsLogestB*TestsLogestM^tblData[[#This Row],[NSW Test Day Number]],"")</f>
        <v>13044.859536878734</v>
      </c>
      <c r="BW61" s="11">
        <f>IF(AND(tblData[[#This Row],[NSW Test Day Number]]&gt;0,ISNUMBER(tblData[Tests])),(tblData[Tests]-tblData[[#This Row],[NSW Test Per Capita]])^2,"")</f>
        <v>118883397.47083621</v>
      </c>
      <c r="BX61" s="124"/>
      <c r="BY61" s="11"/>
      <c r="BZ61"/>
      <c r="CB61" s="25"/>
      <c r="CD61" s="25"/>
      <c r="CK61"/>
      <c r="CL61"/>
      <c r="CO61" s="25"/>
      <c r="CZ61" s="25"/>
      <c r="DA61" s="25"/>
      <c r="DC61"/>
      <c r="DD61"/>
      <c r="DG61" s="25"/>
      <c r="DH61" s="25"/>
      <c r="DV61"/>
      <c r="DW61"/>
      <c r="DX61"/>
      <c r="DY61" t="s">
        <v>58</v>
      </c>
      <c r="DZ61" s="76">
        <v>43912.58871527778</v>
      </c>
      <c r="EA61" s="26">
        <v>43860</v>
      </c>
      <c r="EB61" s="26">
        <v>43860</v>
      </c>
      <c r="EC61">
        <v>2</v>
      </c>
      <c r="ED61" s="25">
        <v>0.25947894792637805</v>
      </c>
      <c r="EE61" s="24">
        <v>4.2793930730069226E-6</v>
      </c>
      <c r="EF61" s="25">
        <v>0.44221157817092033</v>
      </c>
      <c r="EG61" s="96">
        <v>60634.520713483966</v>
      </c>
      <c r="EH61" s="25">
        <v>1498.6578455090564</v>
      </c>
      <c r="EI61" s="25">
        <v>0.58677128401401213</v>
      </c>
      <c r="EJ61" s="98">
        <v>4.2793930730069228E-3</v>
      </c>
      <c r="EK61" s="26">
        <v>43911</v>
      </c>
      <c r="EL61" s="25" t="s">
        <v>1087</v>
      </c>
      <c r="EM61" s="25"/>
      <c r="EN61" s="98">
        <v>53578</v>
      </c>
      <c r="EO61" s="25" t="s">
        <v>491</v>
      </c>
      <c r="EP61" s="26">
        <v>43911</v>
      </c>
      <c r="EQ61" s="25">
        <v>52</v>
      </c>
      <c r="ER61" s="25" t="s">
        <v>1088</v>
      </c>
      <c r="ET61" t="s">
        <v>1089</v>
      </c>
      <c r="EV61" t="s">
        <v>1090</v>
      </c>
      <c r="EW61">
        <v>8863.1927212572373</v>
      </c>
      <c r="EX61" s="82">
        <v>43896</v>
      </c>
      <c r="EY61">
        <v>16</v>
      </c>
      <c r="EZ61" s="82">
        <v>43894</v>
      </c>
      <c r="FA61">
        <v>18</v>
      </c>
      <c r="FC61" s="25"/>
      <c r="FI61" s="50"/>
      <c r="FJ61" s="50"/>
      <c r="FK61" s="50"/>
      <c r="FL61" s="50"/>
      <c r="FM61" s="50"/>
      <c r="FN61" s="50"/>
      <c r="FO61" s="50"/>
      <c r="FP61" s="50"/>
      <c r="FQ61" s="50"/>
      <c r="FR61" s="50"/>
      <c r="FS61" s="50"/>
      <c r="FT61" s="50"/>
      <c r="FU61" s="50"/>
      <c r="FV61" s="50"/>
      <c r="FW61" s="50"/>
      <c r="FX61" s="50"/>
      <c r="FY61" s="50"/>
      <c r="FZ61" s="50"/>
      <c r="GA61" s="50"/>
      <c r="GB61" s="50"/>
      <c r="GC61" s="50"/>
      <c r="GD61" s="50"/>
      <c r="GE61" s="50"/>
      <c r="GF61" s="50"/>
      <c r="GG61" s="50"/>
      <c r="GH61" s="50"/>
      <c r="GI61" s="50"/>
      <c r="GJ61" s="50"/>
      <c r="GK61" s="50"/>
      <c r="GL61" s="50"/>
    </row>
    <row r="62" spans="2:194" x14ac:dyDescent="0.25">
      <c r="B62" s="1">
        <f>B61+1</f>
        <v>43903</v>
      </c>
      <c r="D62" s="11">
        <v>1</v>
      </c>
      <c r="E62" s="11">
        <v>92</v>
      </c>
      <c r="F62" s="25">
        <v>1</v>
      </c>
      <c r="G62" s="25">
        <v>35</v>
      </c>
      <c r="H62" s="25">
        <v>16</v>
      </c>
      <c r="I62" s="25">
        <v>5</v>
      </c>
      <c r="J62" s="25">
        <v>36</v>
      </c>
      <c r="K62" s="25">
        <v>14</v>
      </c>
      <c r="L62" s="12">
        <f>IF(ISNUMBER(tblData[[#This Row],[NSW]]),tblData[[#This Row],[New South Wales]]/$L$9,"")</f>
        <v>113.86138613861385</v>
      </c>
      <c r="M62" s="25">
        <v>17660</v>
      </c>
      <c r="N62" s="124">
        <f>IF(ISNUMBER(tblData[Italy]),tblData[Italy]/$N$9,"")</f>
        <v>2919.732164999587</v>
      </c>
      <c r="O62">
        <v>2179</v>
      </c>
      <c r="P62" s="124">
        <f>IF(ISNUMBER(tblData[US]),tblData[US]/$P$9,"")</f>
        <v>66.185187198651235</v>
      </c>
      <c r="Q62">
        <v>7979</v>
      </c>
      <c r="R62" s="124">
        <f>IF(ISNUMBER(tblData[SKorea]),tblData[SKorea]/$R$9,"")</f>
        <v>1552.3346303501946</v>
      </c>
      <c r="S62">
        <v>802</v>
      </c>
      <c r="T62" s="124">
        <f>IF(ISNUMBER(tblData[UK]),tblData[UK]/$T$9,"")</f>
        <v>120.71041541240217</v>
      </c>
      <c r="U62">
        <v>80945</v>
      </c>
      <c r="V62" s="124">
        <f>IF(ISNUMBER(tblData[China]),tblData[China]/$V$9,"")</f>
        <v>562.38215021329574</v>
      </c>
      <c r="W62">
        <v>200</v>
      </c>
      <c r="X62" s="124">
        <f>IF(ISNUMBER(tblData[Singapore]),tblData[Singapore]/$X$9,"")</f>
        <v>341.88034188034192</v>
      </c>
      <c r="Y62">
        <v>67786</v>
      </c>
      <c r="Z62" s="20">
        <f>IF(AND(LEN(tblData[Generic])&gt;0,ISNUMBER(tblData[Generic])),tblData[Generic]/$Z$9,"")</f>
        <v>11587.350427350428</v>
      </c>
      <c r="AA62" s="25">
        <f>IF(tblData[[#This Row],[Date]]&lt;ItalyStart,"",tblData[[#This Row],[Date]]-ItalyStart)</f>
        <v>43</v>
      </c>
      <c r="AB62" s="25">
        <f>IF(tblData[[#This Row],[Date]]&lt;USStart,"",tblData[[#This Row],[Date]]-USStart)</f>
        <v>51</v>
      </c>
      <c r="AC62" s="25">
        <f>IF(tblData[[#This Row],[Date]]&lt;ChinaStart,"",tblData[[#This Row],[Date]]-ChinaStart)</f>
        <v>51</v>
      </c>
      <c r="AD62" s="25">
        <f>IF(tblData[[#This Row],[Date]]&lt;StartDt2Korea,"",tblData[[#This Row],[Date]]-StartDt2Korea)</f>
        <v>23</v>
      </c>
      <c r="AE62" s="25">
        <f>IF(tblData[[#This Row],[Date]]&lt;UKStart,"",tblData[[#This Row],[Date]]-UKStart)</f>
        <v>43</v>
      </c>
      <c r="AF62" s="25">
        <f>IF(tblData[[#This Row],[Date]]&lt;SingaporeStart,"",tblData[[#This Row],[Date]]-SingaporeStart)</f>
        <v>50</v>
      </c>
      <c r="AG62" s="25">
        <f>IF(tblData[[#This Row],[Date]]&lt;GenStart,"",tblData[[#This Row],[Date]]-GenStart)</f>
        <v>51</v>
      </c>
      <c r="AH62">
        <f>IF(tblData[Date]&gt;=StartDt2Au,tblData[Date]-StartDt2Au,"")</f>
        <v>48</v>
      </c>
      <c r="AI62" s="25">
        <f>IF(tblData[New South Wales]&gt;0,SUM(tblData[[#This Row],[Australian Capital Territory]:[Western Australia]]),"")</f>
        <v>200</v>
      </c>
      <c r="AJ62" s="12">
        <f>IF(ISNUMBER(tblData[Au]),tblData[Au]/$AE$9,"")</f>
        <v>78.851916101561272</v>
      </c>
      <c r="AK62" s="19">
        <f>IF(ISNUMBER(tblData[[#This Row],[Day'# Aust]]),betaAu/(deltaAu+betaPodeltaAu*EXP(-betaAu*tblData[[#This Row],[Day'# Aust]])),"")</f>
        <v>174.60267510804397</v>
      </c>
      <c r="AL62" s="66">
        <f>IF(ISNUMBER(tblData[Day'# Aust]),tblData[Au LogiP(t)]/$AJ$9,"")</f>
        <v>68.838777443638222</v>
      </c>
      <c r="AM62" s="11">
        <f>IF(AND(tblData[Date]&gt;=StartDt2Au,ISNUMBER(tblData[NSW])),(tblData[[#This Row],[Au LogiP(t)]]-tblData[[#This Row],[Au]])^2,"")</f>
        <v>645.02411166756951</v>
      </c>
      <c r="AN62">
        <f>IF(tblData[Date]&gt;StartDt2NSW,tblData[Date]-StartDt2NSW,"")</f>
        <v>48</v>
      </c>
      <c r="AO62" s="27">
        <f t="shared" si="4"/>
        <v>92</v>
      </c>
      <c r="AP62" s="11">
        <f>IF(tblData[Date]&gt;StartDt2NSW,betaNSW/(deltaNSW+betaPodeltaNSW*EXP(-betaNSW*tblData[[#This Row],[Day '# NSW]])),"")</f>
        <v>92.140743281769517</v>
      </c>
      <c r="AQ62" s="12">
        <f>IF(AND(ISNUMBER(tblData[NSW]),tblData[Date]&gt;StartDt2NSW),(tblData[[#This Row],[NSW LogiP(t)]]-tblData[[#This Row],[NSW]])^2,"")</f>
        <v>1.9808671363253563E-2</v>
      </c>
      <c r="AR62" s="12">
        <f>IF(AND(tblData[Date]&gt;StartDt2NSW,ISNUMBER(tblData[Day'# Aust])),tblData[NSW LogiP(t)]/$AQ$9,"")</f>
        <v>114.03557336852663</v>
      </c>
      <c r="AS62" s="11">
        <f>IF(AND(tblData[Date]&gt;StartDt2Italy,ISNUMBER(tblData[Days'# Italy])),betaItaly/(deltaItaly+betaPodeltaItaly*EXP(-betaItaly*tblData[Days'# Italy])),"")</f>
        <v>20737.785404206516</v>
      </c>
      <c r="AT62" s="11">
        <f>IF(AND(tblData[Date]&gt;StartDt2Italy,ISNUMBER(tblData[Italy])),(tblData[[#This Row],[Italy LogiP(t)]]-tblData[[#This Row],[Italy]])^2,"")</f>
        <v>9472762.9943466634</v>
      </c>
      <c r="AU62" s="41">
        <f>IF(AND(tblData[Date]&gt;StartDt2Italy,ISNUMBER(tblData[Days'# Italy])),tblData[[#This Row],[Italy LogiP(t)]]/$AT$9,"")</f>
        <v>3428.5831866093272</v>
      </c>
      <c r="AV62" s="20">
        <f>IF(ISNUMBER(tblData[[#This Row],[Days'# US]]),betaUS/(deltaUS+betaPodeltaUS*EXP(-betaUS*tblData[Days'# US])),"")</f>
        <v>3103.0459027172328</v>
      </c>
      <c r="AW62" s="11">
        <f>IF(AND(tblData[Date]&gt;=StartDt2US,ISNUMBER(tblData[US])),(tblData[[#This Row],[US LogiP(t)]]-tblData[US])^2,"")</f>
        <v>853860.83032850572</v>
      </c>
      <c r="AX62" s="20">
        <f>IF(ISNUMBER(tblData[[#This Row],[Days'# US]]),tblData[[#This Row],[US LogiP(t)]]/$AW$9,"")</f>
        <v>94.25225973260568</v>
      </c>
      <c r="AY62" s="20">
        <f>IF(tblData[Date]&gt;=StartDt2Korea,betaSKorea/(deltaSKorea+betaPodeltaSKorea*EXP(-betaSKorea*(tblData[Date]-StartDt2Korea))),"")</f>
        <v>8289.6345402960997</v>
      </c>
      <c r="AZ62" s="20">
        <f>IF(AND(tblData[Date]&gt;=StartDt2Korea,ISNUMBER(tblData[SKorea])),(tblData[[#This Row],[SKorea LogiP(t)]]-tblData[[#This Row],[SKorea]])^2,"")</f>
        <v>96493.817624969161</v>
      </c>
      <c r="BA62" s="20">
        <f>IF(tblData[Date]&gt;=StartDt2Korea,tblData[[#This Row],[SKorea LogiP(t)]]/$AZ$9,"")</f>
        <v>1612.7693658163619</v>
      </c>
      <c r="BB62" s="11">
        <f>IF(ISNUMBER(tblData[Days'# UK]),betaUK/(deltaUK+betaPodeltaUK*EXP(-betaUK*tblData[Days'# UK])),"")</f>
        <v>840.33415966722453</v>
      </c>
      <c r="BC62" s="20">
        <f>IF(ISNUMBER(tblData[UK]),(tblData[[#This Row],[UK LogiP(t)]]-tblData[[#This Row],[UK]])^2,"")</f>
        <v>1469.5077973922637</v>
      </c>
      <c r="BD62" s="20">
        <f>IF(ISNUMBER(tblData[Days'# UK]),tblData[[#This Row],[UK LogiP(t)]]/$BC$9,"")</f>
        <v>126.48015648212289</v>
      </c>
      <c r="BE62" s="11">
        <f>IF(ISNUMBER(tblData[Days'# China]),betaChina/(deltaChina+betaPodeltaChina*EXP(-betaChina*tblData[Days'# China])),"")</f>
        <v>80965.6756778079</v>
      </c>
      <c r="BF62" s="11">
        <f>IF(ISNUMBER(tblData[China]),(tblData[[#This Row],[China LogiP(t)]]-tblData[[#This Row],[China]])^2,"")</f>
        <v>427.4836528160792</v>
      </c>
      <c r="BG62" s="11">
        <f>tblData[[#This Row],[China LogiP(t)]]/$BF$9</f>
        <v>562.52579876654454</v>
      </c>
      <c r="BH62" s="11">
        <f>IF(ISNUMBER(tblData[Day'# Singapore]),betaSingapore/(deltaSingapore+betaPodeltaSingapore*EXP(-betaSingapore*tblData[Day'# Singapore])),"")</f>
        <v>231.70331897283796</v>
      </c>
      <c r="BI62" s="11">
        <f>IF(AND(ISNUMBER(tblData[Singapore]),tblData[Date]&gt;=StartDt2Singapore),(tblData[[#This Row],[Singapore LogiP(t)]]-tblData[[#This Row],[Singapore]])^2,"")</f>
        <v>1005.1004338935076</v>
      </c>
      <c r="BJ62" s="11">
        <f>IF(ISNUMBER(tblData[Day'# Singapore]),tblData[Singapore LogiP(t)]/$BI$9,"")</f>
        <v>396.07404952621874</v>
      </c>
      <c r="BK62" s="11">
        <f>IF(ISNUMBER(tblData[Day'# Generic]),betaGeneric/(deltaGeneric+betaPodeltaGeneric*EXP(-betaGeneric*tblData[Day'# Generic])),"")</f>
        <v>67270.014562133307</v>
      </c>
      <c r="BL62" s="11">
        <f>IF(AND(ISNUMBER(tblData[Generic]),tblData[Date]&gt;=StartDt2Generic),(tblData[Generic LogiP(t)]-tblData[[#This Row],[Generic]])^2,"")</f>
        <v>266240.97209048318</v>
      </c>
      <c r="BM62" s="11">
        <f>IF(ISNUMBER(tblData[Day'# Generic]),tblData[Generic LogiP(t)]/$BL$9,"")</f>
        <v>11499.147788398857</v>
      </c>
      <c r="BN62">
        <v>18716</v>
      </c>
      <c r="BO62" s="11">
        <v>1668</v>
      </c>
      <c r="BP62" s="11">
        <f>IF(ISNUMBER(tblData[[#This Row],[Tests]]),tblData[[#This Row],[Tests]]-BP61,"")</f>
        <v>9427</v>
      </c>
      <c r="BQ62" s="11">
        <f>IF(ISNUMBER(tblData[[#This Row],[NSW Under Investigation'']]),tblData[[#This Row],[NSW Under Investigation'']]-BO61,"")</f>
        <v>-163</v>
      </c>
      <c r="BR62" s="11">
        <f>IF(tblData[[#This Row],[Date]]&gt;myData!TestsStart,tblData[[#This Row],[Date]]-myData!TestsStart,"")</f>
        <v>8</v>
      </c>
      <c r="BS62" s="11">
        <f>IF(AND(tblData[[#This Row],[NSW Test Day Number]]&gt;0,ISNUMBER(tblData[[#This Row],[NSW Test Day Number]])),betaTests/(deltaTests+betaPodeltaTests*EXP(-betaTests*tblData[[#This Row],[NSW Test Day Number]])),"")</f>
        <v>13987.771164658772</v>
      </c>
      <c r="BT62" s="11">
        <f>IF(tblData[Tests]&gt;0,(tblData[[#This Row],[Tests]]-tblData[[#This Row],[NSW Test Logi]])^2,"")</f>
        <v>22356147.919352263</v>
      </c>
      <c r="BU62" s="11">
        <f>IF(ISNUMBER(tblData[Tests]),tblData[Tests]/$BS$9/100,"")</f>
        <v>231.63366336633663</v>
      </c>
      <c r="BV62" s="124">
        <f ca="1">IF(AND(tblData[[#This Row],[NSW Test Day Number]]&gt;0,ISNUMBER(tblData[[#This Row],[NSW Test Day Number]])),TestsLogestB*TestsLogestM^tblData[[#This Row],[NSW Test Day Number]],"")</f>
        <v>14931.811106008008</v>
      </c>
      <c r="BW62" s="11">
        <f>IF(AND(tblData[[#This Row],[NSW Test Day Number]]&gt;0,ISNUMBER(tblData[Tests])),(tblData[Tests]-tblData[[#This Row],[NSW Test Per Capita]])^2,"")</f>
        <v>341671798.86687577</v>
      </c>
      <c r="BX62" s="124"/>
      <c r="BY62" s="11"/>
      <c r="BZ62"/>
      <c r="CB62" s="25"/>
      <c r="CD62" s="25"/>
      <c r="CK62"/>
      <c r="CL62"/>
      <c r="CO62" s="25"/>
      <c r="CZ62" s="25"/>
      <c r="DA62" s="25"/>
      <c r="DC62"/>
      <c r="DD62"/>
      <c r="DG62" s="25"/>
      <c r="DH62" s="25"/>
      <c r="DV62"/>
      <c r="DW62"/>
      <c r="DX62"/>
      <c r="DY62" s="25" t="s">
        <v>58</v>
      </c>
      <c r="DZ62" s="76">
        <v>43912.787511574075</v>
      </c>
      <c r="EA62" s="26">
        <v>43860</v>
      </c>
      <c r="EB62" s="26">
        <v>43860</v>
      </c>
      <c r="EC62" s="25">
        <v>2</v>
      </c>
      <c r="ED62" s="25">
        <v>0.25947894792637805</v>
      </c>
      <c r="EE62" s="24">
        <v>4.2793930730069226E-6</v>
      </c>
      <c r="EF62" s="25">
        <v>0.44221157817092033</v>
      </c>
      <c r="EG62" s="96">
        <v>60634.520713483966</v>
      </c>
      <c r="EH62" s="25">
        <v>1498.6578455090564</v>
      </c>
      <c r="EI62" s="25">
        <v>0.58677128401401213</v>
      </c>
      <c r="EJ62" s="98">
        <v>4.2793930730069228E-3</v>
      </c>
      <c r="EK62" s="26">
        <v>43911</v>
      </c>
      <c r="EL62" s="25" t="s">
        <v>1087</v>
      </c>
      <c r="EM62" s="25">
        <v>60634.520713483966</v>
      </c>
      <c r="EN62" s="98">
        <v>53578</v>
      </c>
      <c r="EO62" s="25" t="s">
        <v>491</v>
      </c>
      <c r="EP62" s="26">
        <v>43911</v>
      </c>
      <c r="EQ62" s="25">
        <v>52</v>
      </c>
      <c r="ER62" s="25" t="s">
        <v>1139</v>
      </c>
      <c r="ES62" s="25"/>
      <c r="ET62" s="25" t="s">
        <v>1089</v>
      </c>
      <c r="EU62" s="25"/>
      <c r="EV62" s="25" t="s">
        <v>1140</v>
      </c>
      <c r="EW62" s="25">
        <v>8863.1927212572373</v>
      </c>
      <c r="EX62" s="82">
        <v>43896</v>
      </c>
      <c r="EY62" s="25">
        <v>16</v>
      </c>
      <c r="EZ62" s="82">
        <v>43895</v>
      </c>
      <c r="FA62" s="25">
        <v>17</v>
      </c>
      <c r="FC62" s="25"/>
    </row>
    <row r="63" spans="2:194" x14ac:dyDescent="0.25">
      <c r="B63" s="1">
        <f t="shared" ref="B63:B64" si="6">B62+1</f>
        <v>43904</v>
      </c>
      <c r="D63" s="25">
        <v>1</v>
      </c>
      <c r="E63">
        <v>112</v>
      </c>
      <c r="F63">
        <v>1</v>
      </c>
      <c r="G63">
        <v>46</v>
      </c>
      <c r="H63">
        <v>19</v>
      </c>
      <c r="I63">
        <v>5</v>
      </c>
      <c r="J63">
        <v>49</v>
      </c>
      <c r="K63">
        <v>17</v>
      </c>
      <c r="L63" s="12">
        <f>IF(ISNUMBER(tblData[[#This Row],[NSW]]),tblData[[#This Row],[New South Wales]]/$L$9,"")</f>
        <v>138.61386138613861</v>
      </c>
      <c r="M63" s="25">
        <v>21157</v>
      </c>
      <c r="N63" s="124">
        <f>IF(ISNUMBER(tblData[Italy]),tblData[Italy]/$N$9,"")</f>
        <v>3497.8920393485992</v>
      </c>
      <c r="O63">
        <v>2727</v>
      </c>
      <c r="P63" s="124">
        <f>IF(ISNUMBER(tblData[US]),tblData[US]/$P$9,"")</f>
        <v>82.830199858064219</v>
      </c>
      <c r="Q63">
        <v>8086</v>
      </c>
      <c r="R63" s="124">
        <f>IF(ISNUMBER(tblData[SKorea]),tblData[SKorea]/$R$9,"")</f>
        <v>1573.1517509727628</v>
      </c>
      <c r="S63">
        <v>1144</v>
      </c>
      <c r="T63" s="124">
        <f>IF(ISNUMBER(tblData[UK]),tblData[UK]/$T$9,"")</f>
        <v>172.18543046357615</v>
      </c>
      <c r="U63">
        <v>80977</v>
      </c>
      <c r="V63" s="124">
        <f>IF(ISNUMBER(tblData[China]),tblData[China]/$V$9,"")</f>
        <v>562.60447684010194</v>
      </c>
      <c r="W63">
        <v>212</v>
      </c>
      <c r="X63" s="124">
        <f>IF(ISNUMBER(tblData[Singapore]),tblData[Singapore]/$X$9,"")</f>
        <v>362.39316239316241</v>
      </c>
      <c r="Y63">
        <v>67790</v>
      </c>
      <c r="Z63" s="20">
        <f>IF(AND(LEN(tblData[Generic])&gt;0,ISNUMBER(tblData[Generic])),tblData[Generic]/$Z$9,"")</f>
        <v>11588.034188034189</v>
      </c>
      <c r="AA63" s="25">
        <f>IF(tblData[[#This Row],[Date]]&lt;ItalyStart,"",tblData[[#This Row],[Date]]-ItalyStart)</f>
        <v>44</v>
      </c>
      <c r="AB63" s="25">
        <f>IF(tblData[[#This Row],[Date]]&lt;USStart,"",tblData[[#This Row],[Date]]-USStart)</f>
        <v>52</v>
      </c>
      <c r="AC63" s="25">
        <f>IF(tblData[[#This Row],[Date]]&lt;ChinaStart,"",tblData[[#This Row],[Date]]-ChinaStart)</f>
        <v>52</v>
      </c>
      <c r="AD63" s="25">
        <f>IF(tblData[[#This Row],[Date]]&lt;StartDt2Korea,"",tblData[[#This Row],[Date]]-StartDt2Korea)</f>
        <v>24</v>
      </c>
      <c r="AE63" s="25">
        <f>IF(tblData[[#This Row],[Date]]&lt;UKStart,"",tblData[[#This Row],[Date]]-UKStart)</f>
        <v>44</v>
      </c>
      <c r="AF63" s="25">
        <f>IF(tblData[[#This Row],[Date]]&lt;SingaporeStart,"",tblData[[#This Row],[Date]]-SingaporeStart)</f>
        <v>51</v>
      </c>
      <c r="AG63" s="25">
        <f>IF(tblData[[#This Row],[Date]]&lt;GenStart,"",tblData[[#This Row],[Date]]-GenStart)</f>
        <v>52</v>
      </c>
      <c r="AH63">
        <f>IF(tblData[Date]&gt;=StartDt2Au,tblData[Date]-StartDt2Au,"")</f>
        <v>49</v>
      </c>
      <c r="AI63" s="25">
        <f>IF(tblData[New South Wales]&gt;0,SUM(tblData[[#This Row],[Australian Capital Territory]:[Western Australia]]),"")</f>
        <v>250</v>
      </c>
      <c r="AJ63" s="12">
        <f>IF(ISNUMBER(tblData[Au]),tblData[Au]/$AE$9,"")</f>
        <v>98.564895126951583</v>
      </c>
      <c r="AK63" s="19">
        <f>IF(ISNUMBER(tblData[[#This Row],[Day'# Aust]]),betaAu/(deltaAu+betaPodeltaAu*EXP(-betaAu*tblData[[#This Row],[Day'# Aust]])),"")</f>
        <v>223.05408884860526</v>
      </c>
      <c r="AL63" s="66">
        <f>IF(ISNUMBER(tblData[Day'# Aust]),tblData[Au LogiP(t)]/$AJ$9,"")</f>
        <v>87.941211500002069</v>
      </c>
      <c r="AM63" s="11">
        <f>IF(AND(tblData[Date]&gt;=StartDt2Au,ISNUMBER(tblData[NSW])),(tblData[[#This Row],[Au LogiP(t)]]-tblData[[#This Row],[Au]])^2,"")</f>
        <v>726.08212777885933</v>
      </c>
      <c r="AN63">
        <f>IF(tblData[Date]&gt;StartDt2NSW,tblData[Date]-StartDt2NSW,"")</f>
        <v>49</v>
      </c>
      <c r="AO63" s="25">
        <v>112</v>
      </c>
      <c r="AP63" s="11">
        <f>IF(tblData[Date]&gt;StartDt2NSW,betaNSW/(deltaNSW+betaPodeltaNSW*EXP(-betaNSW*tblData[[#This Row],[Day '# NSW]])),"")</f>
        <v>113.25584402939207</v>
      </c>
      <c r="AQ63" s="12">
        <f>IF(AND(ISNUMBER(tblData[NSW]),tblData[Date]&gt;StartDt2NSW),(tblData[[#This Row],[NSW LogiP(t)]]-tblData[[#This Row],[NSW]])^2,"")</f>
        <v>1.5771442261596988</v>
      </c>
      <c r="AR63" s="12">
        <f>IF(AND(tblData[Date]&gt;StartDt2NSW,ISNUMBER(tblData[Day'# Aust])),tblData[NSW LogiP(t)]/$AQ$9,"")</f>
        <v>140.16812379875256</v>
      </c>
      <c r="AS63" s="11">
        <f>IF(AND(tblData[Date]&gt;StartDt2Italy,ISNUMBER(tblData[Days'# Italy])),betaItaly/(deltaItaly+betaPodeltaItaly*EXP(-betaItaly*tblData[Days'# Italy])),"")</f>
        <v>24839.718646854082</v>
      </c>
      <c r="AT63" s="11">
        <f>IF(AND(tblData[Date]&gt;StartDt2Italy,ISNUMBER(tblData[Italy])),(tblData[[#This Row],[Italy LogiP(t)]]-tblData[[#This Row],[Italy]])^2,"")</f>
        <v>13562416.631886762</v>
      </c>
      <c r="AU63" s="41">
        <f>IF(AND(tblData[Date]&gt;StartDt2Italy,ISNUMBER(tblData[Days'# Italy])),tblData[[#This Row],[Italy LogiP(t)]]/$AT$9,"")</f>
        <v>4106.7568234858363</v>
      </c>
      <c r="AV63" s="20">
        <f>IF(ISNUMBER(tblData[[#This Row],[Days'# US]]),betaUS/(deltaUS+betaPodeltaUS*EXP(-betaUS*tblData[Days'# US])),"")</f>
        <v>4073.2646264099653</v>
      </c>
      <c r="AW63" s="11">
        <f>IF(AND(tblData[Date]&gt;=StartDt2US,ISNUMBER(tblData[US])),(tblData[[#This Row],[US LogiP(t)]]-tblData[US])^2,"")</f>
        <v>1812428.4443227635</v>
      </c>
      <c r="AX63" s="20">
        <f>IF(ISNUMBER(tblData[[#This Row],[Days'# US]]),tblData[[#This Row],[US LogiP(t)]]/$AW$9,"")</f>
        <v>123.72179064184844</v>
      </c>
      <c r="AY63" s="20">
        <f>IF(tblData[Date]&gt;=StartDt2Korea,betaSKorea/(deltaSKorea+betaPodeltaSKorea*EXP(-betaSKorea*(tblData[Date]-StartDt2Korea))),"")</f>
        <v>8369.8031618761634</v>
      </c>
      <c r="AZ63" s="20">
        <f>IF(AND(tblData[Date]&gt;=StartDt2Korea,ISNUMBER(tblData[SKorea])),(tblData[[#This Row],[SKorea LogiP(t)]]-tblData[[#This Row],[SKorea]])^2,"")</f>
        <v>80544.23469090779</v>
      </c>
      <c r="BA63" s="20">
        <f>IF(tblData[Date]&gt;=StartDt2Korea,tblData[[#This Row],[SKorea LogiP(t)]]/$AZ$9,"")</f>
        <v>1628.3663739058684</v>
      </c>
      <c r="BB63" s="11">
        <f>IF(ISNUMBER(tblData[Days'# UK]),betaUK/(deltaUK+betaPodeltaUK*EXP(-betaUK*tblData[Days'# UK])),"")</f>
        <v>1054.6810833737163</v>
      </c>
      <c r="BC63" s="20">
        <f>IF(ISNUMBER(tblData[UK]),(tblData[[#This Row],[UK LogiP(t)]]-tblData[[#This Row],[UK]])^2,"")</f>
        <v>7977.8688672930157</v>
      </c>
      <c r="BD63" s="20">
        <f>IF(ISNUMBER(tblData[Days'# UK]),tblData[[#This Row],[UK LogiP(t)]]/$BC$9,"")</f>
        <v>158.74188491476767</v>
      </c>
      <c r="BE63" s="11">
        <f>IF(ISNUMBER(tblData[Days'# China]),betaChina/(deltaChina+betaPodeltaChina*EXP(-betaChina*tblData[Days'# China])),"")</f>
        <v>80975.687530380805</v>
      </c>
      <c r="BF63" s="11">
        <f>IF(ISNUMBER(tblData[China]),(tblData[[#This Row],[China LogiP(t)]]-tblData[[#This Row],[China]])^2,"")</f>
        <v>1.7225765013107246</v>
      </c>
      <c r="BG63" s="11">
        <f>tblData[[#This Row],[China LogiP(t)]]/$BF$9</f>
        <v>562.5953581856262</v>
      </c>
      <c r="BH63" s="11">
        <f>IF(ISNUMBER(tblData[Day'# Singapore]),betaSingapore/(deltaSingapore+betaPodeltaSingapore*EXP(-betaSingapore*tblData[Day'# Singapore])),"")</f>
        <v>249.61886306983624</v>
      </c>
      <c r="BI63" s="11">
        <f>IF(AND(ISNUMBER(tblData[Singapore]),tblData[Date]&gt;=StartDt2Singapore),(tblData[[#This Row],[Singapore LogiP(t)]]-tblData[[#This Row],[Singapore]])^2,"")</f>
        <v>1415.1788586670887</v>
      </c>
      <c r="BJ63" s="11">
        <f>IF(ISNUMBER(tblData[Day'# Singapore]),tblData[Singapore LogiP(t)]/$BI$9,"")</f>
        <v>426.69891123048933</v>
      </c>
      <c r="BK63" s="11">
        <f>IF(ISNUMBER(tblData[Day'# Generic]),betaGeneric/(deltaGeneric+betaPodeltaGeneric*EXP(-betaGeneric*tblData[Day'# Generic])),"")</f>
        <v>67277.72187821148</v>
      </c>
      <c r="BL63" s="11">
        <f>IF(AND(ISNUMBER(tblData[Generic]),tblData[Date]&gt;=StartDt2Generic),(tblData[Generic LogiP(t)]-tblData[[#This Row],[Generic]])^2,"")</f>
        <v>262428.87406317412</v>
      </c>
      <c r="BM63" s="11">
        <f>IF(ISNUMBER(tblData[Day'# Generic]),tblData[Generic LogiP(t)]/$BL$9,"")</f>
        <v>11500.46527832675</v>
      </c>
      <c r="BN63">
        <v>18716</v>
      </c>
      <c r="BO63" s="11">
        <v>1668</v>
      </c>
      <c r="BP63" s="11">
        <f>IF(ISNUMBER(tblData[[#This Row],[Tests]]),tblData[[#This Row],[Tests]]-BP62,"")</f>
        <v>9289</v>
      </c>
      <c r="BQ63" s="11">
        <f>IF(ISNUMBER(tblData[[#This Row],[NSW Under Investigation'']]),tblData[[#This Row],[NSW Under Investigation'']]-BO62,"")</f>
        <v>0</v>
      </c>
      <c r="BR63" s="11">
        <f>IF(tblData[[#This Row],[Date]]&gt;myData!TestsStart,tblData[[#This Row],[Date]]-myData!TestsStart,"")</f>
        <v>9</v>
      </c>
      <c r="BS63" s="11">
        <f>IF(AND(tblData[[#This Row],[NSW Test Day Number]]&gt;0,ISNUMBER(tblData[[#This Row],[NSW Test Day Number]])),betaTests/(deltaTests+betaPodeltaTests*EXP(-betaTests*tblData[[#This Row],[NSW Test Day Number]])),"")</f>
        <v>16640.192883932879</v>
      </c>
      <c r="BT63" s="11">
        <f>IF(tblData[Tests]&gt;0,(tblData[[#This Row],[Tests]]-tblData[[#This Row],[NSW Test Logi]])^2,"")</f>
        <v>4308975.1831148965</v>
      </c>
      <c r="BU63" s="11">
        <f>IF(ISNUMBER(tblData[Tests]),tblData[Tests]/$BS$9/100,"")</f>
        <v>231.63366336633663</v>
      </c>
      <c r="BV63" s="124">
        <f ca="1">IF(AND(tblData[[#This Row],[NSW Test Day Number]]&gt;0,ISNUMBER(tblData[[#This Row],[NSW Test Day Number]])),TestsLogestB*TestsLogestM^tblData[[#This Row],[NSW Test Day Number]],"")</f>
        <v>17091.712047583449</v>
      </c>
      <c r="BW63" s="11">
        <f>IF(AND(tblData[[#This Row],[NSW Test Day Number]]&gt;0,ISNUMBER(tblData[Tests])),(tblData[Tests]-tblData[[#This Row],[NSW Test Per Capita]])^2,"")</f>
        <v>341671798.86687577</v>
      </c>
      <c r="BX63" s="124"/>
      <c r="BY63" s="11"/>
      <c r="BZ63"/>
      <c r="CB63" s="25"/>
      <c r="CD63" s="25"/>
      <c r="CK63"/>
      <c r="CL63"/>
      <c r="CO63" s="25"/>
      <c r="CZ63" s="25"/>
      <c r="DA63" s="25"/>
      <c r="DC63"/>
      <c r="DD63"/>
      <c r="DG63" s="25"/>
      <c r="DH63" s="25"/>
      <c r="DV63"/>
      <c r="DW63"/>
      <c r="DX63"/>
      <c r="DY63" t="s">
        <v>58</v>
      </c>
      <c r="DZ63" s="76">
        <v>43913.581655092596</v>
      </c>
      <c r="EA63" s="26">
        <v>43860</v>
      </c>
      <c r="EB63" s="26">
        <v>43860</v>
      </c>
      <c r="EC63">
        <v>2</v>
      </c>
      <c r="ED63" s="25">
        <v>0.25947894792637805</v>
      </c>
      <c r="EE63" s="95">
        <v>4.2793930730069226E-6</v>
      </c>
      <c r="EF63" s="25">
        <v>0.44221157817092033</v>
      </c>
      <c r="EG63" s="96">
        <v>60634.520713483966</v>
      </c>
      <c r="EH63" s="25">
        <v>1498.6578455090564</v>
      </c>
      <c r="EI63" s="25">
        <v>0.58677128401401213</v>
      </c>
      <c r="EJ63" s="98">
        <v>4.2793930730069228E-3</v>
      </c>
      <c r="EK63" s="26">
        <v>43911</v>
      </c>
      <c r="EL63" s="25" t="s">
        <v>1087</v>
      </c>
      <c r="EM63" s="25">
        <v>60634.520713483966</v>
      </c>
      <c r="EN63" s="99">
        <v>53578</v>
      </c>
      <c r="EO63" s="25" t="s">
        <v>491</v>
      </c>
      <c r="EP63" s="26">
        <v>43911</v>
      </c>
      <c r="EQ63" s="25">
        <v>52</v>
      </c>
      <c r="ER63" s="25" t="s">
        <v>1139</v>
      </c>
      <c r="ET63" t="s">
        <v>1089</v>
      </c>
      <c r="EV63" t="s">
        <v>1140</v>
      </c>
      <c r="EW63">
        <v>8863.1927212572373</v>
      </c>
      <c r="EX63" s="82">
        <v>43897</v>
      </c>
      <c r="EY63">
        <v>16</v>
      </c>
      <c r="EZ63" s="82">
        <v>43896</v>
      </c>
      <c r="FA63">
        <v>16</v>
      </c>
      <c r="FC63" s="25"/>
    </row>
    <row r="64" spans="2:194" x14ac:dyDescent="0.25">
      <c r="B64" s="1">
        <f t="shared" si="6"/>
        <v>43905</v>
      </c>
      <c r="D64" s="25">
        <v>1</v>
      </c>
      <c r="E64">
        <v>134</v>
      </c>
      <c r="F64">
        <v>1</v>
      </c>
      <c r="G64">
        <v>61</v>
      </c>
      <c r="H64">
        <v>20</v>
      </c>
      <c r="I64">
        <v>6</v>
      </c>
      <c r="J64">
        <v>57</v>
      </c>
      <c r="K64">
        <v>17</v>
      </c>
      <c r="L64" s="12">
        <f>IF(ISNUMBER(tblData[[#This Row],[NSW]]),tblData[[#This Row],[New South Wales]]/$L$9,"")</f>
        <v>165.84158415841583</v>
      </c>
      <c r="M64" s="25">
        <v>24747</v>
      </c>
      <c r="N64" s="124">
        <f>IF(ISNUMBER(tblData[Italy]),tblData[Italy]/$N$9,"")</f>
        <v>4091.4276266843021</v>
      </c>
      <c r="O64">
        <v>3499</v>
      </c>
      <c r="P64" s="124">
        <f>IF(ISNUMBER(tblData[US]),tblData[US]/$P$9,"")</f>
        <v>106.27901331256571</v>
      </c>
      <c r="Q64">
        <v>8162</v>
      </c>
      <c r="R64" s="124">
        <f>IF(ISNUMBER(tblData[SKorea]),tblData[SKorea]/$R$9,"")</f>
        <v>1587.9377431906616</v>
      </c>
      <c r="S64">
        <v>1145</v>
      </c>
      <c r="T64" s="124">
        <f>IF(ISNUMBER(tblData[UK]),tblData[UK]/$T$9,"")</f>
        <v>172.33594220349187</v>
      </c>
      <c r="U64">
        <v>81003</v>
      </c>
      <c r="V64" s="124">
        <f>IF(ISNUMBER(tblData[China]),tblData[China]/$V$9,"")</f>
        <v>562.78511722438191</v>
      </c>
      <c r="W64">
        <v>226</v>
      </c>
      <c r="X64" s="124">
        <f>IF(ISNUMBER(tblData[Singapore]),tblData[Singapore]/$X$9,"")</f>
        <v>386.32478632478637</v>
      </c>
      <c r="Y64">
        <v>67794</v>
      </c>
      <c r="Z64" s="20">
        <f>IF(AND(LEN(tblData[Generic])&gt;0,ISNUMBER(tblData[Generic])),tblData[Generic]/$Z$9,"")</f>
        <v>11588.717948717949</v>
      </c>
      <c r="AA64" s="25">
        <f>IF(tblData[[#This Row],[Date]]&lt;ItalyStart,"",tblData[[#This Row],[Date]]-ItalyStart)</f>
        <v>45</v>
      </c>
      <c r="AB64" s="25">
        <f>IF(tblData[[#This Row],[Date]]&lt;USStart,"",tblData[[#This Row],[Date]]-USStart)</f>
        <v>53</v>
      </c>
      <c r="AC64" s="25">
        <f>IF(tblData[[#This Row],[Date]]&lt;ChinaStart,"",tblData[[#This Row],[Date]]-ChinaStart)</f>
        <v>53</v>
      </c>
      <c r="AD64" s="25">
        <f>IF(tblData[[#This Row],[Date]]&lt;StartDt2Korea,"",tblData[[#This Row],[Date]]-StartDt2Korea)</f>
        <v>25</v>
      </c>
      <c r="AE64" s="25">
        <f>IF(tblData[[#This Row],[Date]]&lt;UKStart,"",tblData[[#This Row],[Date]]-UKStart)</f>
        <v>45</v>
      </c>
      <c r="AF64" s="25">
        <f>IF(tblData[[#This Row],[Date]]&lt;SingaporeStart,"",tblData[[#This Row],[Date]]-SingaporeStart)</f>
        <v>52</v>
      </c>
      <c r="AG64" s="25">
        <f>IF(tblData[[#This Row],[Date]]&lt;GenStart,"",tblData[[#This Row],[Date]]-GenStart)</f>
        <v>53</v>
      </c>
      <c r="AH64">
        <f>IF(tblData[Date]&gt;=StartDt2Au,tblData[Date]-StartDt2Au,"")</f>
        <v>50</v>
      </c>
      <c r="AI64" s="25">
        <f>IF(tblData[New South Wales]&gt;0,SUM(tblData[[#This Row],[Australian Capital Territory]:[Western Australia]]),"")</f>
        <v>297</v>
      </c>
      <c r="AJ64" s="12">
        <f>IF(ISNUMBER(tblData[Au]),tblData[Au]/$AE$9,"")</f>
        <v>117.09509541081849</v>
      </c>
      <c r="AK64" s="19">
        <f>IF(ISNUMBER(tblData[[#This Row],[Day'# Aust]]),betaAu/(deltaAu+betaPodeltaAu*EXP(-betaAu*tblData[[#This Row],[Day'# Aust]])),"")</f>
        <v>284.39329928534431</v>
      </c>
      <c r="AL64" s="66">
        <f>IF(ISNUMBER(tblData[Day'# Aust]),tblData[Au LogiP(t)]/$AJ$9,"")</f>
        <v>112.12478287547087</v>
      </c>
      <c r="AM64" s="11">
        <f>IF(AND(tblData[Date]&gt;=StartDt2Au,ISNUMBER(tblData[NSW])),(tblData[[#This Row],[Au LogiP(t)]]-tblData[[#This Row],[Au]])^2,"")</f>
        <v>158.92890290890023</v>
      </c>
      <c r="AN64">
        <f>IF(tblData[Date]&gt;StartDt2NSW,tblData[Date]-StartDt2NSW,"")</f>
        <v>50</v>
      </c>
      <c r="AO64">
        <f t="shared" ref="AO64:AO117" si="7">IF(E64&gt;0,E64,"")</f>
        <v>134</v>
      </c>
      <c r="AP64" s="11">
        <f>IF(tblData[Date]&gt;StartDt2NSW,betaNSW/(deltaNSW+betaPodeltaNSW*EXP(-betaNSW*tblData[[#This Row],[Day '# NSW]])),"")</f>
        <v>139.13889832188892</v>
      </c>
      <c r="AQ64" s="12">
        <f>IF(AND(ISNUMBER(tblData[NSW]),tblData[Date]&gt;StartDt2NSW),(tblData[[#This Row],[NSW LogiP(t)]]-tblData[[#This Row],[NSW]])^2,"")</f>
        <v>26.408275962712722</v>
      </c>
      <c r="AR64" s="12">
        <f>IF(AND(tblData[Date]&gt;StartDt2NSW,ISNUMBER(tblData[Day'# Aust])),tblData[NSW LogiP(t)]/$AQ$9,"")</f>
        <v>172.20160683402094</v>
      </c>
      <c r="AS64" s="11">
        <f>IF(AND(tblData[Date]&gt;StartDt2Italy,ISNUMBER(tblData[Days'# Italy])),betaItaly/(deltaItaly+betaPodeltaItaly*EXP(-betaItaly*tblData[Days'# Italy])),"")</f>
        <v>29322.947806306613</v>
      </c>
      <c r="AT64" s="11">
        <f>IF(AND(tblData[Date]&gt;StartDt2Italy,ISNUMBER(tblData[Italy])),(tblData[[#This Row],[Italy LogiP(t)]]-tblData[[#This Row],[Italy]])^2,"")</f>
        <v>20939298.326042302</v>
      </c>
      <c r="AU64" s="41">
        <f>IF(AND(tblData[Date]&gt;StartDt2Italy,ISNUMBER(tblData[Days'# Italy])),tblData[[#This Row],[Italy LogiP(t)]]/$AT$9,"")</f>
        <v>4847.9702085321342</v>
      </c>
      <c r="AV64" s="20">
        <f>IF(ISNUMBER(tblData[[#This Row],[Days'# US]]),betaUS/(deltaUS+betaPodeltaUS*EXP(-betaUS*tblData[Days'# US])),"")</f>
        <v>5338.0502711451973</v>
      </c>
      <c r="AW64" s="11">
        <f>IF(AND(tblData[Date]&gt;=StartDt2US,ISNUMBER(tblData[US])),(tblData[[#This Row],[US LogiP(t)]]-tblData[US])^2,"")</f>
        <v>3382105.8997992235</v>
      </c>
      <c r="AX64" s="20">
        <f>IF(ISNUMBER(tblData[[#This Row],[Days'# US]]),tblData[[#This Row],[US LogiP(t)]]/$AW$9,"")</f>
        <v>162.13852981714359</v>
      </c>
      <c r="AY64" s="20">
        <f>IF(tblData[Date]&gt;=StartDt2Korea,betaSKorea/(deltaSKorea+betaPodeltaSKorea*EXP(-betaSKorea*(tblData[Date]-StartDt2Korea))),"")</f>
        <v>8430.1886204070724</v>
      </c>
      <c r="AZ64" s="20">
        <f>IF(AND(tblData[Date]&gt;=StartDt2Korea,ISNUMBER(tblData[SKorea])),(tblData[[#This Row],[SKorea LogiP(t)]]-tblData[[#This Row],[SKorea]])^2,"")</f>
        <v>71925.1361158488</v>
      </c>
      <c r="BA64" s="20">
        <f>IF(tblData[Date]&gt;=StartDt2Korea,tblData[[#This Row],[SKorea LogiP(t)]]/$AZ$9,"")</f>
        <v>1640.1145175889246</v>
      </c>
      <c r="BB64" s="11">
        <f>IF(ISNUMBER(tblData[Days'# UK]),betaUK/(deltaUK+betaPodeltaUK*EXP(-betaUK*tblData[Days'# UK])),"")</f>
        <v>1320.2952821623569</v>
      </c>
      <c r="BC64" s="20">
        <f>IF(ISNUMBER(tblData[UK]),(tblData[[#This Row],[UK LogiP(t)]]-tblData[[#This Row],[UK]])^2,"")</f>
        <v>30728.43594838032</v>
      </c>
      <c r="BD64" s="20">
        <f>IF(ISNUMBER(tblData[Days'# UK]),tblData[[#This Row],[UK LogiP(t)]]/$BC$9,"")</f>
        <v>198.71994012076414</v>
      </c>
      <c r="BE64" s="11">
        <f>IF(ISNUMBER(tblData[Days'# China]),betaChina/(deltaChina+betaPodeltaChina*EXP(-betaChina*tblData[Days'# China])),"")</f>
        <v>80983.706815869547</v>
      </c>
      <c r="BF64" s="11">
        <f>IF(ISNUMBER(tblData[China]),(tblData[[#This Row],[China LogiP(t)]]-tblData[[#This Row],[China]])^2,"")</f>
        <v>372.226953891547</v>
      </c>
      <c r="BG64" s="11">
        <f>tblData[[#This Row],[China LogiP(t)]]/$BF$9</f>
        <v>562.65107383225461</v>
      </c>
      <c r="BH64" s="11">
        <f>IF(ISNUMBER(tblData[Day'# Singapore]),betaSingapore/(deltaSingapore+betaPodeltaSingapore*EXP(-betaSingapore*tblData[Day'# Singapore])),"")</f>
        <v>268.91965585707965</v>
      </c>
      <c r="BI64" s="11">
        <f>IF(AND(ISNUMBER(tblData[Singapore]),tblData[Date]&gt;=StartDt2Singapore),(tblData[[#This Row],[Singapore LogiP(t)]]-tblData[[#This Row],[Singapore]])^2,"")</f>
        <v>1842.0968588901512</v>
      </c>
      <c r="BJ64" s="11">
        <f>IF(ISNUMBER(tblData[Day'# Singapore]),tblData[Singapore LogiP(t)]/$BI$9,"")</f>
        <v>459.69171941381137</v>
      </c>
      <c r="BK64" s="11">
        <f>IF(ISNUMBER(tblData[Day'# Generic]),betaGeneric/(deltaGeneric+betaPodeltaGeneric*EXP(-betaGeneric*tblData[Day'# Generic])),"")</f>
        <v>67283.909920717415</v>
      </c>
      <c r="BL64" s="11">
        <f>IF(AND(ISNUMBER(tblData[Generic]),tblData[Date]&gt;=StartDt2Generic),(tblData[Generic LogiP(t)]-tblData[[#This Row],[Generic]])^2,"")</f>
        <v>260191.88898251392</v>
      </c>
      <c r="BM64" s="11">
        <f>IF(ISNUMBER(tblData[Day'# Generic]),tblData[Generic LogiP(t)]/$BL$9,"")</f>
        <v>11501.5230633705</v>
      </c>
      <c r="BN64">
        <v>20511</v>
      </c>
      <c r="BO64" s="11">
        <v>1924</v>
      </c>
      <c r="BP64" s="11">
        <f>IF(ISNUMBER(tblData[[#This Row],[Tests]]),tblData[[#This Row],[Tests]]-BP63,"")</f>
        <v>11222</v>
      </c>
      <c r="BQ64" s="11">
        <f>IF(ISNUMBER(tblData[[#This Row],[NSW Under Investigation'']]),tblData[[#This Row],[NSW Under Investigation'']]-BO63,"")</f>
        <v>256</v>
      </c>
      <c r="BR64" s="11">
        <f>IF(tblData[[#This Row],[Date]]&gt;myData!TestsStart,tblData[[#This Row],[Date]]-myData!TestsStart,"")</f>
        <v>10</v>
      </c>
      <c r="BS64" s="11">
        <f>IF(AND(tblData[[#This Row],[NSW Test Day Number]]&gt;0,ISNUMBER(tblData[[#This Row],[NSW Test Day Number]])),betaTests/(deltaTests+betaPodeltaTests*EXP(-betaTests*tblData[[#This Row],[NSW Test Day Number]])),"")</f>
        <v>19689.724096534828</v>
      </c>
      <c r="BT64" s="11">
        <f>IF(tblData[Tests]&gt;0,(tblData[[#This Row],[Tests]]-tblData[[#This Row],[NSW Test Logi]])^2,"")</f>
        <v>674494.10961253406</v>
      </c>
      <c r="BU64" s="11">
        <f>IF(ISNUMBER(tblData[Tests]),tblData[Tests]/$BS$9/100,"")</f>
        <v>253.8490099009901</v>
      </c>
      <c r="BV64" s="124">
        <f ca="1">IF(AND(tblData[[#This Row],[NSW Test Day Number]]&gt;0,ISNUMBER(tblData[[#This Row],[NSW Test Day Number]])),TestsLogestB*TestsLogestM^tblData[[#This Row],[NSW Test Day Number]],"")</f>
        <v>19564.044752747257</v>
      </c>
      <c r="BW64" s="11">
        <f>IF(AND(tblData[[#This Row],[NSW Test Day Number]]&gt;0,ISNUMBER(tblData[Tests])),(tblData[Tests]-tblData[[#This Row],[NSW Test Per Capita]])^2,"")</f>
        <v>410352166.23566926</v>
      </c>
      <c r="BX64" s="124"/>
      <c r="BY64" s="11"/>
      <c r="BZ64"/>
      <c r="CB64" s="25"/>
      <c r="CD64" s="25"/>
      <c r="CK64"/>
      <c r="CL64"/>
      <c r="CO64" s="25"/>
      <c r="CZ64" s="25"/>
      <c r="DA64" s="25"/>
      <c r="DC64"/>
      <c r="DD64"/>
      <c r="DG64" s="25"/>
      <c r="DH64" s="25"/>
      <c r="DV64"/>
      <c r="DW64"/>
      <c r="DX64"/>
      <c r="DY64" s="25" t="s">
        <v>58</v>
      </c>
      <c r="DZ64" s="76">
        <v>43913.686712962961</v>
      </c>
      <c r="EA64" s="26">
        <v>43860</v>
      </c>
      <c r="EB64" s="26">
        <v>43860</v>
      </c>
      <c r="EC64" s="25">
        <v>2</v>
      </c>
      <c r="ED64" s="25">
        <v>0.25874561068947871</v>
      </c>
      <c r="EE64" s="95">
        <v>3.9549126775453369E-6</v>
      </c>
      <c r="EF64" s="25">
        <v>0.4422145518547565</v>
      </c>
      <c r="EG64" s="95">
        <v>65423.849218858661</v>
      </c>
      <c r="EH64" s="25">
        <v>1794.1813077040256</v>
      </c>
      <c r="EI64" s="25">
        <v>0.58510933365785012</v>
      </c>
      <c r="EJ64" s="97">
        <v>3.9549126775453372E-3</v>
      </c>
      <c r="EK64" s="26">
        <v>43912</v>
      </c>
      <c r="EL64" s="25" t="s">
        <v>1345</v>
      </c>
      <c r="EM64" s="25">
        <v>65423.849218858661</v>
      </c>
      <c r="EN64" s="99">
        <v>59138</v>
      </c>
      <c r="EO64" s="25" t="s">
        <v>1346</v>
      </c>
      <c r="EP64" s="26">
        <v>43912</v>
      </c>
      <c r="EQ64" s="25">
        <v>53</v>
      </c>
      <c r="ER64" s="25" t="s">
        <v>1347</v>
      </c>
      <c r="ES64" s="25"/>
      <c r="ET64" s="25" t="s">
        <v>1348</v>
      </c>
      <c r="EU64" s="25"/>
      <c r="EV64" s="25" t="s">
        <v>1349</v>
      </c>
      <c r="EW64" s="25">
        <v>9782.9611248966085</v>
      </c>
      <c r="EX64" s="82">
        <v>43897</v>
      </c>
      <c r="EY64" s="25">
        <v>16</v>
      </c>
      <c r="EZ64" s="82">
        <v>43896</v>
      </c>
      <c r="FA64" s="25">
        <v>17</v>
      </c>
      <c r="FC64" s="25"/>
    </row>
    <row r="65" spans="2:194" x14ac:dyDescent="0.25">
      <c r="B65" s="1">
        <f>B64+1</f>
        <v>43906</v>
      </c>
      <c r="D65" s="25">
        <v>2</v>
      </c>
      <c r="E65">
        <v>171</v>
      </c>
      <c r="F65" s="11">
        <v>1</v>
      </c>
      <c r="G65">
        <v>68</v>
      </c>
      <c r="H65">
        <v>29</v>
      </c>
      <c r="I65">
        <v>7</v>
      </c>
      <c r="J65">
        <v>71</v>
      </c>
      <c r="K65">
        <v>28</v>
      </c>
      <c r="L65" s="12">
        <f>IF(ISNUMBER(tblData[[#This Row],[NSW]]),tblData[[#This Row],[New South Wales]]/$L$9,"")</f>
        <v>211.63366336633663</v>
      </c>
      <c r="M65" s="25">
        <v>27980</v>
      </c>
      <c r="N65" s="124">
        <f>IF(ISNUMBER(tblData[Italy]),tblData[Italy]/$N$9,"")</f>
        <v>4625.9403157807719</v>
      </c>
      <c r="O65">
        <v>4632</v>
      </c>
      <c r="P65" s="124">
        <f>IF(ISNUMBER(tblData[US]),tblData[US]/$P$9,"")</f>
        <v>140.69288072700897</v>
      </c>
      <c r="Q65">
        <v>8236</v>
      </c>
      <c r="R65" s="124">
        <f>IF(ISNUMBER(tblData[SKorea]),tblData[SKorea]/$R$9,"")</f>
        <v>1602.3346303501946</v>
      </c>
      <c r="S65">
        <v>1551</v>
      </c>
      <c r="T65" s="124">
        <f>IF(ISNUMBER(tblData[UK]),tblData[UK]/$T$9,"")</f>
        <v>233.44370860927151</v>
      </c>
      <c r="U65">
        <v>81033</v>
      </c>
      <c r="V65" s="124">
        <f>IF(ISNUMBER(tblData[China]),tblData[China]/$V$9,"")</f>
        <v>562.99354843701269</v>
      </c>
      <c r="W65">
        <v>243</v>
      </c>
      <c r="X65" s="124">
        <f>IF(ISNUMBER(tblData[Singapore]),tblData[Singapore]/$X$9,"")</f>
        <v>415.38461538461542</v>
      </c>
      <c r="Y65">
        <v>67798</v>
      </c>
      <c r="Z65" s="20">
        <f>IF(AND(LEN(tblData[Generic])&gt;0,ISNUMBER(tblData[Generic])),tblData[Generic]/$Z$9,"")</f>
        <v>11589.401709401711</v>
      </c>
      <c r="AA65" s="25">
        <f>IF(tblData[[#This Row],[Date]]&lt;ItalyStart,"",tblData[[#This Row],[Date]]-ItalyStart)</f>
        <v>46</v>
      </c>
      <c r="AB65" s="25">
        <f>IF(tblData[[#This Row],[Date]]&lt;USStart,"",tblData[[#This Row],[Date]]-USStart)</f>
        <v>54</v>
      </c>
      <c r="AC65" s="25">
        <f>IF(tblData[[#This Row],[Date]]&lt;ChinaStart,"",tblData[[#This Row],[Date]]-ChinaStart)</f>
        <v>54</v>
      </c>
      <c r="AD65" s="25">
        <f>IF(tblData[[#This Row],[Date]]&lt;StartDt2Korea,"",tblData[[#This Row],[Date]]-StartDt2Korea)</f>
        <v>26</v>
      </c>
      <c r="AE65" s="25">
        <f>IF(tblData[[#This Row],[Date]]&lt;UKStart,"",tblData[[#This Row],[Date]]-UKStart)</f>
        <v>46</v>
      </c>
      <c r="AF65" s="25">
        <f>IF(tblData[[#This Row],[Date]]&lt;SingaporeStart,"",tblData[[#This Row],[Date]]-SingaporeStart)</f>
        <v>53</v>
      </c>
      <c r="AG65" s="25">
        <f>IF(tblData[[#This Row],[Date]]&lt;GenStart,"",tblData[[#This Row],[Date]]-GenStart)</f>
        <v>54</v>
      </c>
      <c r="AH65">
        <f>IF(tblData[Date]&gt;=StartDt2Au,tblData[Date]-StartDt2Au,"")</f>
        <v>51</v>
      </c>
      <c r="AI65" s="25">
        <f>IF(tblData[New South Wales]&gt;0,SUM(tblData[[#This Row],[Australian Capital Territory]:[Western Australia]]),"")</f>
        <v>377</v>
      </c>
      <c r="AJ65" s="12">
        <f>IF(ISNUMBER(tblData[Au]),tblData[Au]/$AE$9,"")</f>
        <v>148.635861851443</v>
      </c>
      <c r="AK65" s="19">
        <f>IF(ISNUMBER(tblData[[#This Row],[Day'# Aust]]),betaAu/(deltaAu+betaPodeltaAu*EXP(-betaAu*tblData[[#This Row],[Day'# Aust]])),"")</f>
        <v>361.70512210168857</v>
      </c>
      <c r="AL65" s="66">
        <f>IF(ISNUMBER(tblData[Day'# Aust]),tblData[Au LogiP(t)]/$AJ$9,"")</f>
        <v>142.60570970733662</v>
      </c>
      <c r="AM65" s="11">
        <f>IF(AND(tblData[Date]&gt;=StartDt2Au,ISNUMBER(tblData[NSW])),(tblData[[#This Row],[Au LogiP(t)]]-tblData[[#This Row],[Au]])^2,"")</f>
        <v>233.93328992425538</v>
      </c>
      <c r="AN65">
        <f>IF(tblData[Date]&gt;StartDt2NSW,tblData[Date]-StartDt2NSW,"")</f>
        <v>51</v>
      </c>
      <c r="AO65">
        <f t="shared" si="7"/>
        <v>171</v>
      </c>
      <c r="AP65" s="11">
        <f>IF(tblData[Date]&gt;StartDt2NSW,betaNSW/(deltaNSW+betaPodeltaNSW*EXP(-betaNSW*tblData[[#This Row],[Day '# NSW]])),"")</f>
        <v>170.83064710410437</v>
      </c>
      <c r="AQ65" s="12">
        <f>IF(AND(ISNUMBER(tblData[NSW]),tblData[Date]&gt;StartDt2NSW),(tblData[[#This Row],[NSW LogiP(t)]]-tblData[[#This Row],[NSW]])^2,"")</f>
        <v>2.8680403348235364E-2</v>
      </c>
      <c r="AR65" s="12">
        <f>IF(AND(tblData[Date]&gt;StartDt2NSW,ISNUMBER(tblData[Day'# Aust])),tblData[NSW LogiP(t)]/$AQ$9,"")</f>
        <v>211.42406819814897</v>
      </c>
      <c r="AS65" s="11">
        <f>IF(AND(tblData[Date]&gt;StartDt2Italy,ISNUMBER(tblData[Days'# Italy])),betaItaly/(deltaItaly+betaPodeltaItaly*EXP(-betaItaly*tblData[Days'# Italy])),"")</f>
        <v>34076.984399333713</v>
      </c>
      <c r="AT65" s="11">
        <f>IF(AND(tblData[Date]&gt;StartDt2Italy,ISNUMBER(tblData[Italy])),(tblData[[#This Row],[Italy LogiP(t)]]-tblData[[#This Row],[Italy]])^2,"")</f>
        <v>37173218.765718676</v>
      </c>
      <c r="AU65" s="41">
        <f>IF(AND(tblData[Date]&gt;StartDt2Italy,ISNUMBER(tblData[Days'# Italy])),tblData[[#This Row],[Italy LogiP(t)]]/$AT$9,"")</f>
        <v>5633.9562535064415</v>
      </c>
      <c r="AV65" s="20">
        <f>IF(ISNUMBER(tblData[[#This Row],[Days'# US]]),betaUS/(deltaUS+betaPodeltaUS*EXP(-betaUS*tblData[Days'# US])),"")</f>
        <v>6980.6066516799519</v>
      </c>
      <c r="AW65" s="11">
        <f>IF(AND(tblData[Date]&gt;=StartDt2US,ISNUMBER(tblData[US])),(tblData[[#This Row],[US LogiP(t)]]-tblData[US])^2,"")</f>
        <v>5515953.204315315</v>
      </c>
      <c r="AX65" s="20">
        <f>IF(ISNUMBER(tblData[[#This Row],[Days'# US]]),tblData[[#This Row],[US LogiP(t)]]/$AW$9,"")</f>
        <v>212.02971913794752</v>
      </c>
      <c r="AY65" s="20">
        <f>IF(tblData[Date]&gt;=StartDt2Korea,betaSKorea/(deltaSKorea+betaPodeltaSKorea*EXP(-betaSKorea*(tblData[Date]-StartDt2Korea))),"")</f>
        <v>8475.4791530857183</v>
      </c>
      <c r="AZ65" s="20">
        <f>IF(AND(tblData[Date]&gt;=StartDt2Korea,ISNUMBER(tblData[SKorea])),(tblData[[#This Row],[SKorea LogiP(t)]]-tblData[[#This Row],[SKorea]])^2,"")</f>
        <v>57350.264762652892</v>
      </c>
      <c r="BA65" s="20">
        <f>IF(tblData[Date]&gt;=StartDt2Korea,tblData[[#This Row],[SKorea LogiP(t)]]/$AZ$9,"")</f>
        <v>1648.9259052695952</v>
      </c>
      <c r="BB65" s="11">
        <f>IF(ISNUMBER(tblData[Days'# UK]),betaUK/(deltaUK+betaPodeltaUK*EXP(-betaUK*tblData[Days'# UK])),"")</f>
        <v>1647.5479281329158</v>
      </c>
      <c r="BC65" s="20">
        <f>IF(ISNUMBER(tblData[UK]),(tblData[[#This Row],[UK LogiP(t)]]-tblData[[#This Row],[UK]])^2,"")</f>
        <v>9321.5024267586723</v>
      </c>
      <c r="BD65" s="20">
        <f>IF(ISNUMBER(tblData[Days'# UK]),tblData[[#This Row],[UK LogiP(t)]]/$BC$9,"")</f>
        <v>247.97530525781394</v>
      </c>
      <c r="BE65" s="11">
        <f>IF(ISNUMBER(tblData[Days'# China]),betaChina/(deltaChina+betaPodeltaChina*EXP(-betaChina*tblData[Days'# China])),"")</f>
        <v>80990.129811809835</v>
      </c>
      <c r="BF65" s="11">
        <f>IF(ISNUMBER(tblData[China]),(tblData[[#This Row],[China LogiP(t)]]-tblData[[#This Row],[China]])^2,"")</f>
        <v>1837.8530354601805</v>
      </c>
      <c r="BG65" s="11">
        <f>tblData[[#This Row],[China LogiP(t)]]/$BF$9</f>
        <v>562.69569892667312</v>
      </c>
      <c r="BH65" s="11">
        <f>IF(ISNUMBER(tblData[Day'# Singapore]),betaSingapore/(deltaSingapore+betaPodeltaSingapore*EXP(-betaSingapore*tblData[Day'# Singapore])),"")</f>
        <v>289.71280621772797</v>
      </c>
      <c r="BI65" s="11">
        <f>IF(AND(ISNUMBER(tblData[Singapore]),tblData[Date]&gt;=StartDt2Singapore),(tblData[[#This Row],[Singapore LogiP(t)]]-tblData[[#This Row],[Singapore]])^2,"")</f>
        <v>2182.086264735005</v>
      </c>
      <c r="BJ65" s="11">
        <f>IF(ISNUMBER(tblData[Day'# Singapore]),tblData[Singapore LogiP(t)]/$BI$9,"")</f>
        <v>495.2355661841504</v>
      </c>
      <c r="BK65" s="11">
        <f>IF(ISNUMBER(tblData[Day'# Generic]),betaGeneric/(deltaGeneric+betaPodeltaGeneric*EXP(-betaGeneric*tblData[Day'# Generic])),"")</f>
        <v>67288.877967959459</v>
      </c>
      <c r="BL65" s="11">
        <f>IF(AND(ISNUMBER(tblData[Generic]),tblData[Date]&gt;=StartDt2Generic),(tblData[Generic LogiP(t)]-tblData[[#This Row],[Generic]])^2,"")</f>
        <v>259205.2435090896</v>
      </c>
      <c r="BM65" s="11">
        <f>IF(ISNUMBER(tblData[Day'# Generic]),tblData[Generic LogiP(t)]/$BL$9,"")</f>
        <v>11502.372302215294</v>
      </c>
      <c r="BN65">
        <v>25511</v>
      </c>
      <c r="BO65" s="11">
        <v>1282</v>
      </c>
      <c r="BP65" s="11">
        <f>IF(ISNUMBER(tblData[[#This Row],[Tests]]),tblData[[#This Row],[Tests]]-BP64,"")</f>
        <v>14289</v>
      </c>
      <c r="BQ65" s="11">
        <f>IF(ISNUMBER(tblData[[#This Row],[NSW Under Investigation'']]),tblData[[#This Row],[NSW Under Investigation'']]-BO64,"")</f>
        <v>-642</v>
      </c>
      <c r="BR65" s="11">
        <f>IF(tblData[[#This Row],[Date]]&gt;myData!TestsStart,tblData[[#This Row],[Date]]-myData!TestsStart,"")</f>
        <v>11</v>
      </c>
      <c r="BS65" s="11">
        <f>IF(AND(tblData[[#This Row],[NSW Test Day Number]]&gt;0,ISNUMBER(tblData[[#This Row],[NSW Test Day Number]])),betaTests/(deltaTests+betaPodeltaTests*EXP(-betaTests*tblData[[#This Row],[NSW Test Day Number]])),"")</f>
        <v>23155.76098345589</v>
      </c>
      <c r="BT65" s="11">
        <f>IF(tblData[Tests]&gt;0,(tblData[[#This Row],[Tests]]-tblData[[#This Row],[NSW Test Logi]])^2,"")</f>
        <v>5547150.8250516672</v>
      </c>
      <c r="BU65" s="11">
        <f>IF(ISNUMBER(tblData[Tests]),tblData[Tests]/$BS$9/100,"")</f>
        <v>315.73019801980195</v>
      </c>
      <c r="BV65" s="124">
        <f ca="1">IF(AND(tblData[[#This Row],[NSW Test Day Number]]&gt;0,ISNUMBER(tblData[[#This Row],[NSW Test Day Number]])),TestsLogestB*TestsLogestM^tblData[[#This Row],[NSW Test Day Number]],"")</f>
        <v>22394.002778768656</v>
      </c>
      <c r="BW65" s="11">
        <f>IF(AND(tblData[[#This Row],[NSW Test Day Number]]&gt;0,ISNUMBER(tblData[Tests])),(tblData[Tests]-tblData[[#This Row],[NSW Test Per Capita]])^2,"")</f>
        <v>634801620.39457524</v>
      </c>
      <c r="BX65" s="124"/>
      <c r="BY65" s="11"/>
      <c r="BZ65"/>
      <c r="CB65" s="25"/>
      <c r="CD65" s="25"/>
      <c r="CK65"/>
      <c r="CL65"/>
      <c r="CO65" s="25"/>
      <c r="CZ65" s="25"/>
      <c r="DA65" s="25"/>
      <c r="DC65"/>
      <c r="DD65"/>
      <c r="DG65" s="25"/>
      <c r="DH65" s="25"/>
      <c r="DV65"/>
      <c r="DW65"/>
      <c r="DX65"/>
      <c r="DY65" s="26" t="s">
        <v>58</v>
      </c>
      <c r="DZ65" s="76">
        <v>43914.462719907409</v>
      </c>
      <c r="EA65" s="26">
        <v>43860</v>
      </c>
      <c r="EB65" s="26">
        <v>43860</v>
      </c>
      <c r="EC65" s="25">
        <v>2</v>
      </c>
      <c r="ED65" s="25">
        <v>0.25874561068947871</v>
      </c>
      <c r="EE65" s="25">
        <v>3.9549126775453369E-6</v>
      </c>
      <c r="EF65" s="25">
        <v>0.4422145518547565</v>
      </c>
      <c r="EG65" s="95">
        <v>65423.849218858661</v>
      </c>
      <c r="EH65" s="25">
        <v>1794.1813077040256</v>
      </c>
      <c r="EI65" s="25">
        <v>0.58510933365785012</v>
      </c>
      <c r="EJ65" s="97">
        <v>3.9549126775453372E-3</v>
      </c>
      <c r="EK65" s="26">
        <v>43912</v>
      </c>
      <c r="EL65" s="25" t="s">
        <v>1345</v>
      </c>
      <c r="EM65" s="25">
        <v>65423.849218858661</v>
      </c>
      <c r="EN65" s="25">
        <v>59138</v>
      </c>
      <c r="EO65" s="98" t="s">
        <v>1346</v>
      </c>
      <c r="EP65" s="26">
        <v>43912</v>
      </c>
      <c r="EQ65" s="25">
        <v>53</v>
      </c>
      <c r="ER65" s="25" t="s">
        <v>1347</v>
      </c>
      <c r="ES65" s="25"/>
      <c r="ET65" s="25" t="s">
        <v>1348</v>
      </c>
      <c r="EU65" s="25"/>
      <c r="EV65" s="25" t="s">
        <v>1349</v>
      </c>
      <c r="EW65" s="82">
        <v>9782.9611248966085</v>
      </c>
      <c r="EX65" s="82">
        <v>43898</v>
      </c>
      <c r="EY65" s="25">
        <v>16</v>
      </c>
      <c r="EZ65" s="25">
        <v>43896</v>
      </c>
      <c r="FA65" s="25">
        <v>17</v>
      </c>
      <c r="FC65" s="25"/>
    </row>
    <row r="66" spans="2:194" x14ac:dyDescent="0.25">
      <c r="B66" s="1">
        <f>B65+1</f>
        <v>43907</v>
      </c>
      <c r="D66" s="25">
        <v>2</v>
      </c>
      <c r="E66">
        <v>210</v>
      </c>
      <c r="F66">
        <v>1</v>
      </c>
      <c r="G66">
        <v>78</v>
      </c>
      <c r="H66">
        <v>29</v>
      </c>
      <c r="I66">
        <v>7</v>
      </c>
      <c r="J66">
        <v>94</v>
      </c>
      <c r="K66">
        <v>31</v>
      </c>
      <c r="L66" s="12">
        <f>IF(ISNUMBER(tblData[[#This Row],[NSW]]),tblData[[#This Row],[New South Wales]]/$L$9,"")</f>
        <v>259.9009900990099</v>
      </c>
      <c r="M66" s="25">
        <v>31506</v>
      </c>
      <c r="N66" s="124">
        <f>IF(ISNUMBER(tblData[Italy]),tblData[Italy]/$N$9,"")</f>
        <v>5208.8947672976774</v>
      </c>
      <c r="O66">
        <v>6421</v>
      </c>
      <c r="P66" s="124">
        <f>IF(ISNUMBER(tblData[US]),tblData[US]/$P$9,"")</f>
        <v>195.03216475564003</v>
      </c>
      <c r="Q66">
        <v>8320</v>
      </c>
      <c r="R66" s="124">
        <f>IF(ISNUMBER(tblData[SKorea]),tblData[SKorea]/$R$9,"")</f>
        <v>1618.6770428015566</v>
      </c>
      <c r="S66">
        <v>1960</v>
      </c>
      <c r="T66" s="124">
        <f>IF(ISNUMBER(tblData[UK]),tblData[UK]/$T$9,"")</f>
        <v>295.0030102347983</v>
      </c>
      <c r="U66">
        <v>81058</v>
      </c>
      <c r="V66" s="124">
        <f>IF(ISNUMBER(tblData[China]),tblData[China]/$V$9,"")</f>
        <v>563.16724111420501</v>
      </c>
      <c r="W66">
        <v>266</v>
      </c>
      <c r="X66" s="124">
        <f>IF(ISNUMBER(tblData[Singapore]),tblData[Singapore]/$X$9,"")</f>
        <v>454.70085470085473</v>
      </c>
      <c r="Y66">
        <v>67799</v>
      </c>
      <c r="Z66" s="20">
        <f>IF(AND(LEN(tblData[Generic])&gt;0,ISNUMBER(tblData[Generic])),tblData[Generic]/$Z$9,"")</f>
        <v>11589.57264957265</v>
      </c>
      <c r="AA66" s="25">
        <f>IF(tblData[[#This Row],[Date]]&lt;ItalyStart,"",tblData[[#This Row],[Date]]-ItalyStart)</f>
        <v>47</v>
      </c>
      <c r="AB66" s="25">
        <f>IF(tblData[[#This Row],[Date]]&lt;USStart,"",tblData[[#This Row],[Date]]-USStart)</f>
        <v>55</v>
      </c>
      <c r="AC66" s="25">
        <f>IF(tblData[[#This Row],[Date]]&lt;ChinaStart,"",tblData[[#This Row],[Date]]-ChinaStart)</f>
        <v>55</v>
      </c>
      <c r="AD66" s="25">
        <f>IF(tblData[[#This Row],[Date]]&lt;StartDt2Korea,"",tblData[[#This Row],[Date]]-StartDt2Korea)</f>
        <v>27</v>
      </c>
      <c r="AE66" s="25">
        <f>IF(tblData[[#This Row],[Date]]&lt;UKStart,"",tblData[[#This Row],[Date]]-UKStart)</f>
        <v>47</v>
      </c>
      <c r="AF66" s="25">
        <f>IF(tblData[[#This Row],[Date]]&lt;SingaporeStart,"",tblData[[#This Row],[Date]]-SingaporeStart)</f>
        <v>54</v>
      </c>
      <c r="AG66" s="25">
        <f>IF(tblData[[#This Row],[Date]]&lt;GenStart,"",tblData[[#This Row],[Date]]-GenStart)</f>
        <v>55</v>
      </c>
      <c r="AH66">
        <f>IF(tblData[Date]&gt;=StartDt2Au,tblData[Date]-StartDt2Au,"")</f>
        <v>52</v>
      </c>
      <c r="AI66" s="25">
        <f>IF(tblData[New South Wales]&gt;0,SUM(tblData[[#This Row],[Australian Capital Territory]:[Western Australia]]),"")</f>
        <v>452</v>
      </c>
      <c r="AJ66" s="12">
        <f>IF(ISNUMBER(tblData[Au]),tblData[Au]/$AE$9,"")</f>
        <v>178.20533038952846</v>
      </c>
      <c r="AK66" s="19">
        <f>IF(ISNUMBER(tblData[[#This Row],[Day'# Aust]]),betaAu/(deltaAu+betaPodeltaAu*EXP(-betaAu*tblData[[#This Row],[Day'# Aust]])),"")</f>
        <v>458.60651927417786</v>
      </c>
      <c r="AL66" s="66">
        <f>IF(ISNUMBER(tblData[Day'# Aust]),tblData[Au LogiP(t)]/$AJ$9,"")</f>
        <v>180.81001390718257</v>
      </c>
      <c r="AM66" s="11">
        <f>IF(AND(tblData[Date]&gt;=StartDt2Au,ISNUMBER(tblData[NSW])),(tblData[[#This Row],[Au LogiP(t)]]-tblData[[#This Row],[Au]])^2,"")</f>
        <v>43.646096920083508</v>
      </c>
      <c r="AN66">
        <f>IF(tblData[Date]&gt;StartDt2NSW,tblData[Date]-StartDt2NSW,"")</f>
        <v>52</v>
      </c>
      <c r="AO66">
        <f t="shared" si="7"/>
        <v>210</v>
      </c>
      <c r="AP66" s="11">
        <f>IF(tblData[Date]&gt;StartDt2NSW,betaNSW/(deltaNSW+betaPodeltaNSW*EXP(-betaNSW*tblData[[#This Row],[Day '# NSW]])),"")</f>
        <v>209.58093507484267</v>
      </c>
      <c r="AQ66" s="12">
        <f>IF(AND(ISNUMBER(tblData[NSW]),tblData[Date]&gt;StartDt2NSW),(tblData[[#This Row],[NSW LogiP(t)]]-tblData[[#This Row],[NSW]])^2,"")</f>
        <v>0.17561541149711782</v>
      </c>
      <c r="AR66" s="12">
        <f>IF(AND(tblData[Date]&gt;StartDt2NSW,ISNUMBER(tblData[Day'# Aust])),tblData[NSW LogiP(t)]/$AQ$9,"")</f>
        <v>259.38234538965673</v>
      </c>
      <c r="AS66" s="11">
        <f>IF(AND(tblData[Date]&gt;StartDt2Italy,ISNUMBER(tblData[Days'# Italy])),betaItaly/(deltaItaly+betaPodeltaItaly*EXP(-betaItaly*tblData[Days'# Italy])),"")</f>
        <v>38959.265137031558</v>
      </c>
      <c r="AT66" s="11">
        <f>IF(AND(tblData[Date]&gt;StartDt2Italy,ISNUMBER(tblData[Italy])),(tblData[[#This Row],[Italy LogiP(t)]]-tblData[[#This Row],[Italy]])^2,"")</f>
        <v>55551161.202890046</v>
      </c>
      <c r="AU66" s="41">
        <f>IF(AND(tblData[Date]&gt;StartDt2Italy,ISNUMBER(tblData[Days'# Italy])),tblData[[#This Row],[Italy LogiP(t)]]/$AT$9,"")</f>
        <v>6441.1449346171048</v>
      </c>
      <c r="AV66" s="20">
        <f>IF(ISNUMBER(tblData[[#This Row],[Days'# US]]),betaUS/(deltaUS+betaPodeltaUS*EXP(-betaUS*tblData[Days'# US])),"")</f>
        <v>9103.3129971357121</v>
      </c>
      <c r="AW66" s="11">
        <f>IF(AND(tblData[Date]&gt;=StartDt2US,ISNUMBER(tblData[US])),(tblData[[#This Row],[US LogiP(t)]]-tblData[US])^2,"")</f>
        <v>7194803.0146031668</v>
      </c>
      <c r="AX66" s="20">
        <f>IF(ISNUMBER(tblData[[#This Row],[Days'# US]]),tblData[[#This Row],[US LogiP(t)]]/$AW$9,"")</f>
        <v>276.50503664219457</v>
      </c>
      <c r="AY66" s="20">
        <f>IF(tblData[Date]&gt;=StartDt2Korea,betaSKorea/(deltaSKorea+betaPodeltaSKorea*EXP(-betaSKorea*(tblData[Date]-StartDt2Korea))),"")</f>
        <v>8509.3395492669297</v>
      </c>
      <c r="AZ66" s="20">
        <f>IF(AND(tblData[Date]&gt;=StartDt2Korea,ISNUMBER(tblData[SKorea])),(tblData[[#This Row],[SKorea LogiP(t)]]-tblData[[#This Row],[SKorea]])^2,"")</f>
        <v>35849.464916604091</v>
      </c>
      <c r="BA66" s="20">
        <f>IF(tblData[Date]&gt;=StartDt2Korea,tblData[[#This Row],[SKorea LogiP(t)]]/$AZ$9,"")</f>
        <v>1655.5135309857842</v>
      </c>
      <c r="BB66" s="11">
        <f>IF(ISNUMBER(tblData[Days'# UK]),betaUK/(deltaUK+betaPodeltaUK*EXP(-betaUK*tblData[Days'# UK])),"")</f>
        <v>2047.8928267378719</v>
      </c>
      <c r="BC66" s="20">
        <f>IF(ISNUMBER(tblData[UK]),(tblData[[#This Row],[UK LogiP(t)]]-tblData[[#This Row],[UK]])^2,"")</f>
        <v>7725.148991973575</v>
      </c>
      <c r="BD66" s="20">
        <f>IF(ISNUMBER(tblData[Days'# UK]),tblData[[#This Row],[UK LogiP(t)]]/$BC$9,"")</f>
        <v>308.23191251322572</v>
      </c>
      <c r="BE66" s="11">
        <f>IF(ISNUMBER(tblData[Days'# China]),betaChina/(deltaChina+betaPodeltaChina*EXP(-betaChina*tblData[Days'# China])),"")</f>
        <v>80995.274087050595</v>
      </c>
      <c r="BF66" s="11">
        <f>IF(ISNUMBER(tblData[China]),(tblData[[#This Row],[China LogiP(t)]]-tblData[[#This Row],[China]])^2,"")</f>
        <v>3934.5401553363376</v>
      </c>
      <c r="BG66" s="11">
        <f>tblData[[#This Row],[China LogiP(t)]]/$BF$9</f>
        <v>562.7314398442245</v>
      </c>
      <c r="BH66" s="11">
        <f>IF(ISNUMBER(tblData[Day'# Singapore]),betaSingapore/(deltaSingapore+betaPodeltaSingapore*EXP(-betaSingapore*tblData[Day'# Singapore])),"")</f>
        <v>312.11370480611623</v>
      </c>
      <c r="BI66" s="11">
        <f>IF(AND(ISNUMBER(tblData[Singapore]),tblData[Date]&gt;=StartDt2Singapore),(tblData[[#This Row],[Singapore LogiP(t)]]-tblData[[#This Row],[Singapore]])^2,"")</f>
        <v>2126.4737709456272</v>
      </c>
      <c r="BJ66" s="11">
        <f>IF(ISNUMBER(tblData[Day'# Singapore]),tblData[Singapore LogiP(t)]/$BI$9,"")</f>
        <v>533.5277005232756</v>
      </c>
      <c r="BK66" s="11">
        <f>IF(ISNUMBER(tblData[Day'# Generic]),betaGeneric/(deltaGeneric+betaPodeltaGeneric*EXP(-betaGeneric*tblData[Day'# Generic])),"")</f>
        <v>67292.866416045334</v>
      </c>
      <c r="BL66" s="11">
        <f>IF(AND(ISNUMBER(tblData[Generic]),tblData[Date]&gt;=StartDt2Generic),(tblData[Generic LogiP(t)]-tblData[[#This Row],[Generic]])^2,"")</f>
        <v>256171.20480679534</v>
      </c>
      <c r="BM66" s="11">
        <f>IF(ISNUMBER(tblData[Day'# Generic]),tblData[Generic LogiP(t)]/$BL$9,"")</f>
        <v>11503.054088212879</v>
      </c>
      <c r="BN66">
        <v>28552</v>
      </c>
      <c r="BO66" s="11">
        <v>1482</v>
      </c>
      <c r="BP66" s="11">
        <f>IF(ISNUMBER(tblData[[#This Row],[Tests]]),tblData[[#This Row],[Tests]]-BP65,"")</f>
        <v>14263</v>
      </c>
      <c r="BQ66" s="11">
        <f>IF(ISNUMBER(tblData[[#This Row],[NSW Under Investigation'']]),tblData[[#This Row],[NSW Under Investigation'']]-BO65,"")</f>
        <v>200</v>
      </c>
      <c r="BR66" s="11">
        <f>IF(tblData[[#This Row],[Date]]&gt;myData!TestsStart,tblData[[#This Row],[Date]]-myData!TestsStart,"")</f>
        <v>12</v>
      </c>
      <c r="BS66" s="11">
        <f>IF(AND(tblData[[#This Row],[NSW Test Day Number]]&gt;0,ISNUMBER(tblData[[#This Row],[NSW Test Day Number]])),betaTests/(deltaTests+betaPodeltaTests*EXP(-betaTests*tblData[[#This Row],[NSW Test Day Number]])),"")</f>
        <v>27044.114171174813</v>
      </c>
      <c r="BT66" s="11">
        <f>IF(tblData[Tests]&gt;0,(tblData[[#This Row],[Tests]]-tblData[[#This Row],[NSW Test Logi]])^2,"")</f>
        <v>2273719.6727718203</v>
      </c>
      <c r="BU66" s="11">
        <f>IF(ISNUMBER(tblData[Tests]),tblData[Tests]/$BS$9/100,"")</f>
        <v>353.36633663366337</v>
      </c>
      <c r="BV66" s="124">
        <f ca="1">IF(AND(tblData[[#This Row],[NSW Test Day Number]]&gt;0,ISNUMBER(tblData[[#This Row],[NSW Test Day Number]])),TestsLogestB*TestsLogestM^tblData[[#This Row],[NSW Test Day Number]],"")</f>
        <v>25633.316974756824</v>
      </c>
      <c r="BW66" s="11">
        <f>IF(AND(tblData[[#This Row],[NSW Test Day Number]]&gt;0,ISNUMBER(tblData[Tests])),(tblData[Tests]-tblData[[#This Row],[NSW Test Per Capita]])^2,"")</f>
        <v>795162940.48073721</v>
      </c>
      <c r="BX66" s="124"/>
      <c r="BY66" s="11"/>
      <c r="BZ66"/>
      <c r="CB66" s="25"/>
      <c r="CD66" s="25"/>
      <c r="CK66"/>
      <c r="CL66"/>
      <c r="CO66" s="25"/>
      <c r="CZ66" s="25"/>
      <c r="DA66" s="25"/>
      <c r="DC66"/>
      <c r="DD66"/>
      <c r="DG66" s="25"/>
      <c r="DH66" s="25"/>
      <c r="DV66"/>
      <c r="DW66"/>
      <c r="DX66"/>
      <c r="DY66" s="26" t="s">
        <v>58</v>
      </c>
      <c r="DZ66" s="76">
        <v>43915.873518518521</v>
      </c>
      <c r="EA66" s="26">
        <v>43860</v>
      </c>
      <c r="EB66" s="26">
        <v>43860</v>
      </c>
      <c r="EC66" s="25">
        <v>2</v>
      </c>
      <c r="ED66" s="25">
        <v>0.25817905412496678</v>
      </c>
      <c r="EE66" s="25">
        <v>3.5765915584943579E-6</v>
      </c>
      <c r="EF66" s="25">
        <v>0.44243815709476098</v>
      </c>
      <c r="EG66" s="95">
        <v>72185.780764313138</v>
      </c>
      <c r="EH66" s="25">
        <v>2424.6918741970817</v>
      </c>
      <c r="EI66" s="25">
        <v>0.58353346691364316</v>
      </c>
      <c r="EJ66" s="97">
        <v>3.576591558494358E-3</v>
      </c>
      <c r="EK66" s="26">
        <v>43914</v>
      </c>
      <c r="EL66" s="26" t="s">
        <v>1784</v>
      </c>
      <c r="EM66" s="25">
        <v>72185.780764313138</v>
      </c>
      <c r="EN66" s="25">
        <v>69176</v>
      </c>
      <c r="EO66" s="98" t="s">
        <v>1785</v>
      </c>
      <c r="EP66" s="26">
        <v>43914</v>
      </c>
      <c r="EQ66" s="25">
        <v>55</v>
      </c>
      <c r="ER66" s="25" t="s">
        <v>1786</v>
      </c>
      <c r="ES66" s="25"/>
      <c r="ET66" s="25" t="s">
        <v>1787</v>
      </c>
      <c r="EU66" s="25"/>
      <c r="EV66" s="25" t="s">
        <v>1788</v>
      </c>
      <c r="EW66" s="82">
        <v>11443.507030603805</v>
      </c>
      <c r="EX66" s="25">
        <v>43899</v>
      </c>
      <c r="EY66" s="82">
        <v>16</v>
      </c>
      <c r="EZ66" s="25">
        <v>43897</v>
      </c>
      <c r="FA66" s="25">
        <v>18</v>
      </c>
      <c r="FC66" s="25"/>
    </row>
    <row r="67" spans="2:194" x14ac:dyDescent="0.25">
      <c r="B67" s="1">
        <f t="shared" ref="B67:B82" si="8">B66+1</f>
        <v>43908</v>
      </c>
      <c r="D67" s="25">
        <v>3</v>
      </c>
      <c r="E67">
        <v>267</v>
      </c>
      <c r="F67">
        <v>1</v>
      </c>
      <c r="G67">
        <v>94</v>
      </c>
      <c r="H67">
        <v>37</v>
      </c>
      <c r="I67">
        <v>10</v>
      </c>
      <c r="J67">
        <v>121</v>
      </c>
      <c r="K67">
        <v>35</v>
      </c>
      <c r="L67" s="12">
        <f>IF(ISNUMBER(tblData[[#This Row],[NSW]]),tblData[[#This Row],[New South Wales]]/$L$9,"")</f>
        <v>330.44554455445541</v>
      </c>
      <c r="M67" s="25">
        <v>35713</v>
      </c>
      <c r="N67" s="124">
        <f>IF(ISNUMBER(tblData[Italy]),tblData[Italy]/$N$9,"")</f>
        <v>5904.4391171364805</v>
      </c>
      <c r="O67">
        <v>7783</v>
      </c>
      <c r="P67" s="124">
        <f>IF(ISNUMBER(tblData[US]),tblData[US]/$P$9,"")</f>
        <v>236.40170351863358</v>
      </c>
      <c r="Q67">
        <v>8413</v>
      </c>
      <c r="R67" s="124">
        <f>IF(ISNUMBER(tblData[SKorea]),tblData[SKorea]/$R$9,"")</f>
        <v>1636.7704280155642</v>
      </c>
      <c r="S67">
        <v>2642</v>
      </c>
      <c r="T67" s="124">
        <f>IF(ISNUMBER(tblData[UK]),tblData[UK]/$T$9,"")</f>
        <v>397.65201685731489</v>
      </c>
      <c r="U67">
        <v>81102</v>
      </c>
      <c r="V67" s="124">
        <f>IF(ISNUMBER(tblData[China]),tblData[China]/$V$9,"")</f>
        <v>563.47294022606354</v>
      </c>
      <c r="W67">
        <v>313</v>
      </c>
      <c r="X67" s="124">
        <f>IF(ISNUMBER(tblData[Singapore]),tblData[Singapore]/$X$9,"")</f>
        <v>535.0427350427351</v>
      </c>
      <c r="Y67">
        <v>67800</v>
      </c>
      <c r="Z67" s="20">
        <f>IF(AND(LEN(tblData[Generic])&gt;0,ISNUMBER(tblData[Generic])),tblData[Generic]/$Z$9,"")</f>
        <v>11589.74358974359</v>
      </c>
      <c r="AA67" s="25">
        <f>IF(tblData[[#This Row],[Date]]&lt;ItalyStart,"",tblData[[#This Row],[Date]]-ItalyStart)</f>
        <v>48</v>
      </c>
      <c r="AB67" s="25">
        <f>IF(tblData[[#This Row],[Date]]&lt;USStart,"",tblData[[#This Row],[Date]]-USStart)</f>
        <v>56</v>
      </c>
      <c r="AC67" s="25">
        <f>IF(tblData[[#This Row],[Date]]&lt;ChinaStart,"",tblData[[#This Row],[Date]]-ChinaStart)</f>
        <v>56</v>
      </c>
      <c r="AD67" s="25">
        <f>IF(tblData[[#This Row],[Date]]&lt;StartDt2Korea,"",tblData[[#This Row],[Date]]-StartDt2Korea)</f>
        <v>28</v>
      </c>
      <c r="AE67" s="25">
        <f>IF(tblData[[#This Row],[Date]]&lt;UKStart,"",tblData[[#This Row],[Date]]-UKStart)</f>
        <v>48</v>
      </c>
      <c r="AF67" s="25">
        <f>IF(tblData[[#This Row],[Date]]&lt;SingaporeStart,"",tblData[[#This Row],[Date]]-SingaporeStart)</f>
        <v>55</v>
      </c>
      <c r="AG67" s="25">
        <f>IF(tblData[[#This Row],[Date]]&lt;GenStart,"",tblData[[#This Row],[Date]]-GenStart)</f>
        <v>56</v>
      </c>
      <c r="AH67">
        <f>IF(tblData[Date]&gt;=StartDt2Au,tblData[Date]-StartDt2Au,"")</f>
        <v>53</v>
      </c>
      <c r="AI67" s="25">
        <f>IF(tblData[New South Wales]&gt;0,SUM(tblData[[#This Row],[Australian Capital Territory]:[Western Australia]]),"")</f>
        <v>568</v>
      </c>
      <c r="AJ67" s="12">
        <f>IF(ISNUMBER(tblData[Au]),tblData[Au]/$AE$9,"")</f>
        <v>223.93944172843399</v>
      </c>
      <c r="AK67" s="19">
        <f>IF(ISNUMBER(tblData[[#This Row],[Day'# Aust]]),betaAu/(deltaAu+betaPodeltaAu*EXP(-betaAu*tblData[[#This Row],[Day'# Aust]])),"")</f>
        <v>579.21520873767759</v>
      </c>
      <c r="AL67" s="66">
        <f>IF(ISNUMBER(tblData[Day'# Aust]),tblData[Au LogiP(t)]/$AJ$9,"")</f>
        <v>228.36114522065824</v>
      </c>
      <c r="AM67" s="11">
        <f>IF(AND(tblData[Date]&gt;=StartDt2Au,ISNUMBER(tblData[NSW])),(tblData[[#This Row],[Au LogiP(t)]]-tblData[[#This Row],[Au]])^2,"")</f>
        <v>125.78090702967965</v>
      </c>
      <c r="AN67">
        <f>IF(tblData[Date]&gt;StartDt2NSW,tblData[Date]-StartDt2NSW,"")</f>
        <v>53</v>
      </c>
      <c r="AO67">
        <f t="shared" si="7"/>
        <v>267</v>
      </c>
      <c r="AP67" s="11">
        <f>IF(tblData[Date]&gt;StartDt2NSW,betaNSW/(deltaNSW+betaPodeltaNSW*EXP(-betaNSW*tblData[[#This Row],[Day '# NSW]])),"")</f>
        <v>256.88165558250284</v>
      </c>
      <c r="AQ67" s="12">
        <f>IF(AND(ISNUMBER(tblData[NSW]),tblData[Date]&gt;StartDt2NSW),(tblData[[#This Row],[NSW LogiP(t)]]-tblData[[#This Row],[NSW]])^2,"")</f>
        <v>102.38089375109585</v>
      </c>
      <c r="AR67" s="12">
        <f>IF(AND(tblData[Date]&gt;StartDt2NSW,ISNUMBER(tblData[Day'# Aust])),tblData[NSW LogiP(t)]/$AQ$9,"")</f>
        <v>317.92284106745399</v>
      </c>
      <c r="AS67" s="11">
        <f>IF(AND(tblData[Date]&gt;StartDt2Italy,ISNUMBER(tblData[Days'# Italy])),betaItaly/(deltaItaly+betaPodeltaItaly*EXP(-betaItaly*tblData[Days'# Italy])),"")</f>
        <v>43811.060281782797</v>
      </c>
      <c r="AT67" s="11">
        <f>IF(AND(tblData[Date]&gt;StartDt2Italy,ISNUMBER(tblData[Italy])),(tblData[[#This Row],[Italy LogiP(t)]]-tblData[[#This Row],[Italy]])^2,"")</f>
        <v>65578580.327388071</v>
      </c>
      <c r="AU67" s="41">
        <f>IF(AND(tblData[Date]&gt;StartDt2Italy,ISNUMBER(tblData[Days'# Italy])),tblData[[#This Row],[Italy LogiP(t)]]/$AT$9,"")</f>
        <v>7243.2934251108209</v>
      </c>
      <c r="AV67" s="20">
        <f>IF(ISNUMBER(tblData[[#This Row],[Days'# US]]),betaUS/(deltaUS+betaPodeltaUS*EXP(-betaUS*tblData[Days'# US])),"")</f>
        <v>11829.176297629749</v>
      </c>
      <c r="AW67" s="11">
        <f>IF(AND(tblData[Date]&gt;=StartDt2US,ISNUMBER(tblData[US])),(tblData[[#This Row],[US LogiP(t)]]-tblData[US])^2,"")</f>
        <v>16371542.631500781</v>
      </c>
      <c r="AX67" s="20">
        <f>IF(ISNUMBER(tblData[[#This Row],[Days'# US]]),tblData[[#This Row],[US LogiP(t)]]/$AW$9,"")</f>
        <v>359.30071026364072</v>
      </c>
      <c r="AY67" s="20">
        <f>IF(tblData[Date]&gt;=StartDt2Korea,betaSKorea/(deltaSKorea+betaPodeltaSKorea*EXP(-betaSKorea*(tblData[Date]-StartDt2Korea))),"")</f>
        <v>8534.5939276037188</v>
      </c>
      <c r="AZ67" s="20">
        <f>IF(AND(tblData[Date]&gt;=StartDt2Korea,ISNUMBER(tblData[SKorea])),(tblData[[#This Row],[SKorea LogiP(t)]]-tblData[[#This Row],[SKorea]])^2,"")</f>
        <v>14785.083230098418</v>
      </c>
      <c r="BA67" s="20">
        <f>IF(tblData[Date]&gt;=StartDt2Korea,tblData[[#This Row],[SKorea LogiP(t)]]/$AZ$9,"")</f>
        <v>1660.4268341641477</v>
      </c>
      <c r="BB67" s="11">
        <f>IF(ISNUMBER(tblData[Days'# UK]),betaUK/(deltaUK+betaPodeltaUK*EXP(-betaUK*tblData[Days'# UK])),"")</f>
        <v>2533.4267412668687</v>
      </c>
      <c r="BC67" s="20">
        <f>IF(ISNUMBER(tblData[UK]),(tblData[[#This Row],[UK LogiP(t)]]-tblData[[#This Row],[UK]])^2,"")</f>
        <v>11788.152511931472</v>
      </c>
      <c r="BD67" s="20">
        <f>IF(ISNUMBER(tblData[Days'# UK]),tblData[[#This Row],[UK LogiP(t)]]/$BC$9,"")</f>
        <v>381.31046677707235</v>
      </c>
      <c r="BE67" s="11">
        <f>IF(ISNUMBER(tblData[Days'# China]),betaChina/(deltaChina+betaPodeltaChina*EXP(-betaChina*tblData[Days'# China])),"")</f>
        <v>80999.394098226869</v>
      </c>
      <c r="BF67" s="11">
        <f>IF(ISNUMBER(tblData[China]),(tblData[[#This Row],[China LogiP(t)]]-tblData[[#This Row],[China]])^2,"")</f>
        <v>10527.971078677476</v>
      </c>
      <c r="BG67" s="11">
        <f>tblData[[#This Row],[China LogiP(t)]]/$BF$9</f>
        <v>562.76006447507518</v>
      </c>
      <c r="BH67" s="11">
        <f>IF(ISNUMBER(tblData[Day'# Singapore]),betaSingapore/(deltaSingapore+betaPodeltaSingapore*EXP(-betaSingapore*tblData[Day'# Singapore])),"")</f>
        <v>336.2466644029663</v>
      </c>
      <c r="BI67" s="11">
        <f>IF(AND(ISNUMBER(tblData[Singapore]),tblData[Date]&gt;=StartDt2Singapore),(tblData[[#This Row],[Singapore LogiP(t)]]-tblData[[#This Row],[Singapore]])^2,"")</f>
        <v>540.40740586414063</v>
      </c>
      <c r="BJ67" s="11">
        <f>IF(ISNUMBER(tblData[Day'# Singapore]),tblData[Singapore LogiP(t)]/$BI$9,"")</f>
        <v>574.78062291105357</v>
      </c>
      <c r="BK67" s="11">
        <f>IF(ISNUMBER(tblData[Day'# Generic]),betaGeneric/(deltaGeneric+betaPodeltaGeneric*EXP(-betaGeneric*tblData[Day'# Generic])),"")</f>
        <v>67296.068338194891</v>
      </c>
      <c r="BL67" s="11">
        <f>IF(AND(ISNUMBER(tblData[Generic]),tblData[Date]&gt;=StartDt2Generic),(tblData[Generic LogiP(t)]-tblData[[#This Row],[Generic]])^2,"")</f>
        <v>253947.11976965863</v>
      </c>
      <c r="BM67" s="11">
        <f>IF(ISNUMBER(tblData[Day'# Generic]),tblData[Generic LogiP(t)]/$BL$9,"")</f>
        <v>11503.601425332461</v>
      </c>
      <c r="BN67">
        <v>33387</v>
      </c>
      <c r="BO67" s="11">
        <v>2146</v>
      </c>
      <c r="BP67" s="11">
        <f>IF(ISNUMBER(tblData[[#This Row],[Tests]]),tblData[[#This Row],[Tests]]-BP66,"")</f>
        <v>19124</v>
      </c>
      <c r="BQ67" s="11">
        <f>IF(ISNUMBER(tblData[[#This Row],[NSW Under Investigation'']]),tblData[[#This Row],[NSW Under Investigation'']]-BO66,"")</f>
        <v>664</v>
      </c>
      <c r="BR67" s="11">
        <f>IF(tblData[[#This Row],[Date]]&gt;myData!TestsStart,tblData[[#This Row],[Date]]-myData!TestsStart,"")</f>
        <v>13</v>
      </c>
      <c r="BS67" s="11">
        <f>IF(AND(tblData[[#This Row],[NSW Test Day Number]]&gt;0,ISNUMBER(tblData[[#This Row],[NSW Test Day Number]])),betaTests/(deltaTests+betaPodeltaTests*EXP(-betaTests*tblData[[#This Row],[NSW Test Day Number]])),"")</f>
        <v>31342.893254136536</v>
      </c>
      <c r="BT67" s="11">
        <f>IF(tblData[Tests]&gt;0,(tblData[[#This Row],[Tests]]-tblData[[#This Row],[NSW Test Logi]])^2,"")</f>
        <v>4178372.3884845213</v>
      </c>
      <c r="BU67" s="11">
        <f>IF(ISNUMBER(tblData[Tests]),tblData[Tests]/$BS$9/100,"")</f>
        <v>413.20544554455444</v>
      </c>
      <c r="BV67" s="124">
        <f ca="1">IF(AND(tblData[[#This Row],[NSW Test Day Number]]&gt;0,ISNUMBER(tblData[[#This Row],[NSW Test Day Number]])),TestsLogestB*TestsLogestM^tblData[[#This Row],[NSW Test Day Number]],"")</f>
        <v>29341.201107258468</v>
      </c>
      <c r="BW67" s="11">
        <f>IF(AND(tblData[[#This Row],[NSW Test Day Number]]&gt;0,ISNUMBER(tblData[Tests])),(tblData[Tests]-tblData[[#This Row],[NSW Test Per Capita]])^2,"")</f>
        <v>1087271127.3194356</v>
      </c>
      <c r="BX67" s="124"/>
      <c r="BY67" s="11"/>
      <c r="BZ67"/>
      <c r="CB67" s="25"/>
      <c r="CD67" s="25"/>
      <c r="CK67"/>
      <c r="CL67"/>
      <c r="CO67" s="25"/>
      <c r="CZ67" s="25"/>
      <c r="DA67" s="25"/>
      <c r="DC67"/>
      <c r="DD67"/>
      <c r="DG67" s="25"/>
      <c r="DH67" s="25"/>
      <c r="DV67"/>
      <c r="DW67"/>
      <c r="DX67"/>
      <c r="DY67" s="26" t="s">
        <v>58</v>
      </c>
      <c r="DZ67" s="76">
        <v>43916.336550925924</v>
      </c>
      <c r="EA67" s="26">
        <v>43860</v>
      </c>
      <c r="EB67" s="26">
        <v>43860</v>
      </c>
      <c r="EC67">
        <v>2</v>
      </c>
      <c r="ED67" s="25">
        <v>0.25752779680433807</v>
      </c>
      <c r="EE67" s="25">
        <v>3.3859219411555139E-6</v>
      </c>
      <c r="EF67" s="25">
        <v>0.44235943793467725</v>
      </c>
      <c r="EG67" s="95">
        <v>76058.397470454249</v>
      </c>
      <c r="EH67" s="25">
        <v>2641.5821671232216</v>
      </c>
      <c r="EI67" s="25">
        <v>0.5821652640942182</v>
      </c>
      <c r="EJ67" s="97">
        <v>3.3859219411555138E-3</v>
      </c>
      <c r="EK67" s="26">
        <v>43915</v>
      </c>
      <c r="EL67" s="25" t="s">
        <v>1835</v>
      </c>
      <c r="EM67" s="25">
        <v>76058.397470454249</v>
      </c>
      <c r="EN67" s="98">
        <v>74386</v>
      </c>
      <c r="EO67" t="s">
        <v>1836</v>
      </c>
      <c r="EP67" s="26">
        <v>43915</v>
      </c>
      <c r="EQ67" s="25">
        <v>56</v>
      </c>
      <c r="ER67" s="25" t="s">
        <v>1837</v>
      </c>
      <c r="ET67" t="s">
        <v>1838</v>
      </c>
      <c r="EV67" s="82" t="s">
        <v>1839</v>
      </c>
      <c r="EW67" s="25">
        <v>12305.376344086022</v>
      </c>
      <c r="EX67" s="82">
        <v>43899</v>
      </c>
      <c r="EY67" s="25">
        <v>16</v>
      </c>
      <c r="EZ67" s="25">
        <v>43897</v>
      </c>
      <c r="FA67" s="25">
        <v>19</v>
      </c>
      <c r="FB67" s="25"/>
      <c r="FC67" s="25"/>
    </row>
    <row r="68" spans="2:194" x14ac:dyDescent="0.25">
      <c r="B68" s="1">
        <f t="shared" si="8"/>
        <v>43909</v>
      </c>
      <c r="D68" s="25">
        <v>4</v>
      </c>
      <c r="E68">
        <v>307</v>
      </c>
      <c r="F68">
        <v>1</v>
      </c>
      <c r="G68">
        <v>144</v>
      </c>
      <c r="H68">
        <v>42</v>
      </c>
      <c r="I68">
        <v>10</v>
      </c>
      <c r="J68">
        <v>121</v>
      </c>
      <c r="K68">
        <v>52</v>
      </c>
      <c r="L68" s="12">
        <f>IF(ISNUMBER(tblData[[#This Row],[NSW]]),tblData[[#This Row],[New South Wales]]/$L$9,"")</f>
        <v>379.95049504950492</v>
      </c>
      <c r="M68" s="25">
        <v>41035</v>
      </c>
      <c r="N68" s="124">
        <f>IF(ISNUMBER(tblData[Italy]),tblData[Italy]/$N$9,"")</f>
        <v>6784.3266925684056</v>
      </c>
      <c r="O68">
        <v>13677</v>
      </c>
      <c r="P68" s="124">
        <f>IF(ISNUMBER(tblData[US]),tblData[US]/$P$9,"")</f>
        <v>415.42671193940021</v>
      </c>
      <c r="Q68">
        <v>8565</v>
      </c>
      <c r="R68" s="124">
        <f>IF(ISNUMBER(tblData[SKorea]),tblData[SKorea]/$R$9,"")</f>
        <v>1666.342412451362</v>
      </c>
      <c r="S68">
        <v>2716</v>
      </c>
      <c r="T68" s="124">
        <f>IF(ISNUMBER(tblData[UK]),tblData[UK]/$T$9,"")</f>
        <v>408.78988561107764</v>
      </c>
      <c r="U68">
        <v>81156</v>
      </c>
      <c r="V68" s="124">
        <f>IF(ISNUMBER(tblData[China]),tblData[China]/$V$9,"")</f>
        <v>563.84811640879889</v>
      </c>
      <c r="W68">
        <v>345</v>
      </c>
      <c r="X68" s="124">
        <f>IF(ISNUMBER(tblData[Singapore]),tblData[Singapore]/$X$9,"")</f>
        <v>589.74358974358972</v>
      </c>
      <c r="Y68">
        <v>67800</v>
      </c>
      <c r="Z68" s="20">
        <f>IF(AND(LEN(tblData[Generic])&gt;0,ISNUMBER(tblData[Generic])),tblData[Generic]/$Z$9,"")</f>
        <v>11589.74358974359</v>
      </c>
      <c r="AA68" s="25">
        <f>IF(tblData[[#This Row],[Date]]&lt;ItalyStart,"",tblData[[#This Row],[Date]]-ItalyStart)</f>
        <v>49</v>
      </c>
      <c r="AB68" s="25">
        <f>IF(tblData[[#This Row],[Date]]&lt;USStart,"",tblData[[#This Row],[Date]]-USStart)</f>
        <v>57</v>
      </c>
      <c r="AC68" s="25">
        <f>IF(tblData[[#This Row],[Date]]&lt;ChinaStart,"",tblData[[#This Row],[Date]]-ChinaStart)</f>
        <v>57</v>
      </c>
      <c r="AD68" s="25">
        <f>IF(tblData[[#This Row],[Date]]&lt;StartDt2Korea,"",tblData[[#This Row],[Date]]-StartDt2Korea)</f>
        <v>29</v>
      </c>
      <c r="AE68" s="25">
        <f>IF(tblData[[#This Row],[Date]]&lt;UKStart,"",tblData[[#This Row],[Date]]-UKStart)</f>
        <v>49</v>
      </c>
      <c r="AF68" s="25">
        <f>IF(tblData[[#This Row],[Date]]&lt;SingaporeStart,"",tblData[[#This Row],[Date]]-SingaporeStart)</f>
        <v>56</v>
      </c>
      <c r="AG68" s="25">
        <f>IF(tblData[[#This Row],[Date]]&lt;GenStart,"",tblData[[#This Row],[Date]]-GenStart)</f>
        <v>57</v>
      </c>
      <c r="AH68">
        <f>IF(tblData[Date]&gt;=StartDt2Au,tblData[Date]-StartDt2Au,"")</f>
        <v>54</v>
      </c>
      <c r="AI68" s="25">
        <f>IF(tblData[New South Wales]&gt;0,SUM(tblData[[#This Row],[Australian Capital Territory]:[Western Australia]]),"")</f>
        <v>681</v>
      </c>
      <c r="AJ68" s="12">
        <f>IF(ISNUMBER(tblData[Au]),tblData[Au]/$AE$9,"")</f>
        <v>268.49077432581612</v>
      </c>
      <c r="AK68" s="19">
        <f>IF(ISNUMBER(tblData[[#This Row],[Day'# Aust]]),betaAu/(deltaAu+betaPodeltaAu*EXP(-betaAu*tblData[[#This Row],[Day'# Aust]])),"")</f>
        <v>728.03207252448067</v>
      </c>
      <c r="AL68" s="66">
        <f>IF(ISNUMBER(tblData[Day'# Aust]),tblData[Au LogiP(t)]/$AJ$9,"")</f>
        <v>287.03361950973061</v>
      </c>
      <c r="AM68" s="11">
        <f>IF(AND(tblData[Date]&gt;=StartDt2Au,ISNUMBER(tblData[NSW])),(tblData[[#This Row],[Au LogiP(t)]]-tblData[[#This Row],[Au]])^2,"")</f>
        <v>2212.0158459480094</v>
      </c>
      <c r="AN68">
        <f>IF(tblData[Date]&gt;StartDt2NSW,tblData[Date]-StartDt2NSW,"")</f>
        <v>54</v>
      </c>
      <c r="AO68">
        <f t="shared" si="7"/>
        <v>307</v>
      </c>
      <c r="AP68" s="11">
        <f>IF(tblData[Date]&gt;StartDt2NSW,betaNSW/(deltaNSW+betaPodeltaNSW*EXP(-betaNSW*tblData[[#This Row],[Day '# NSW]])),"")</f>
        <v>314.50022306383545</v>
      </c>
      <c r="AQ68" s="12">
        <f>IF(AND(ISNUMBER(tblData[NSW]),tblData[Date]&gt;StartDt2NSW),(tblData[[#This Row],[NSW LogiP(t)]]-tblData[[#This Row],[NSW]])^2,"")</f>
        <v>56.25334600728921</v>
      </c>
      <c r="AR68" s="12">
        <f>IF(AND(tblData[Date]&gt;StartDt2NSW,ISNUMBER(tblData[Day'# Aust])),tblData[NSW LogiP(t)]/$AQ$9,"")</f>
        <v>389.23294933643001</v>
      </c>
      <c r="AS68" s="11">
        <f>IF(AND(tblData[Date]&gt;StartDt2Italy,ISNUMBER(tblData[Days'# Italy])),betaItaly/(deltaItaly+betaPodeltaItaly*EXP(-betaItaly*tblData[Days'# Italy])),"")</f>
        <v>48477.539866405328</v>
      </c>
      <c r="AT68" s="11">
        <f>IF(AND(tblData[Date]&gt;StartDt2Italy,ISNUMBER(tblData[Italy])),(tblData[[#This Row],[Italy LogiP(t)]]-tblData[[#This Row],[Italy]])^2,"")</f>
        <v>55391399.663032643</v>
      </c>
      <c r="AU68" s="41">
        <f>IF(AND(tblData[Date]&gt;StartDt2Italy,ISNUMBER(tblData[Days'# Italy])),tblData[[#This Row],[Italy LogiP(t)]]/$AT$9,"")</f>
        <v>8014.8036482442476</v>
      </c>
      <c r="AV68" s="20">
        <f>IF(ISNUMBER(tblData[[#This Row],[Days'# US]]),betaUS/(deltaUS+betaPodeltaUS*EXP(-betaUS*tblData[Days'# US])),"")</f>
        <v>15301.202322752803</v>
      </c>
      <c r="AW68" s="11">
        <f>IF(AND(tblData[Date]&gt;=StartDt2US,ISNUMBER(tblData[US])),(tblData[[#This Row],[US LogiP(t)]]-tblData[US])^2,"")</f>
        <v>2638033.1852355991</v>
      </c>
      <c r="AX68" s="20">
        <f>IF(ISNUMBER(tblData[[#This Row],[Days'# US]]),tblData[[#This Row],[US LogiP(t)]]/$AW$9,"")</f>
        <v>464.76041307748113</v>
      </c>
      <c r="AY68" s="20">
        <f>IF(tblData[Date]&gt;=StartDt2Korea,betaSKorea/(deltaSKorea+betaPodeltaSKorea*EXP(-betaSKorea*(tblData[Date]-StartDt2Korea))),"")</f>
        <v>8553.3959883718671</v>
      </c>
      <c r="AZ68" s="20">
        <f>IF(AND(tblData[Date]&gt;=StartDt2Korea,ISNUMBER(tblData[SKorea])),(tblData[[#This Row],[SKorea LogiP(t)]]-tblData[[#This Row],[SKorea]])^2,"")</f>
        <v>134.65308586584277</v>
      </c>
      <c r="BA68" s="20">
        <f>IF(tblData[Date]&gt;=StartDt2Korea,tblData[[#This Row],[SKorea LogiP(t)]]/$AZ$9,"")</f>
        <v>1664.0848226404412</v>
      </c>
      <c r="BB68" s="11">
        <f>IF(ISNUMBER(tblData[Days'# UK]),betaUK/(deltaUK+betaPodeltaUK*EXP(-betaUK*tblData[Days'# UK])),"")</f>
        <v>3116.1224834825298</v>
      </c>
      <c r="BC68" s="20">
        <f>IF(ISNUMBER(tblData[UK]),(tblData[[#This Row],[UK LogiP(t)]]-tblData[[#This Row],[UK]])^2,"")</f>
        <v>160098.00178822732</v>
      </c>
      <c r="BD68" s="20">
        <f>IF(ISNUMBER(tblData[Days'# UK]),tblData[[#This Row],[UK LogiP(t)]]/$BC$9,"")</f>
        <v>469.01301677942951</v>
      </c>
      <c r="BE68" s="11">
        <f>IF(ISNUMBER(tblData[Days'# China]),betaChina/(deltaChina+betaPodeltaChina*EXP(-betaChina*tblData[Days'# China])),"")</f>
        <v>81002.693708886378</v>
      </c>
      <c r="BF68" s="11">
        <f>IF(ISNUMBER(tblData[China]),(tblData[[#This Row],[China LogiP(t)]]-tblData[[#This Row],[China]])^2,"")</f>
        <v>23502.818895014658</v>
      </c>
      <c r="BG68" s="11">
        <f>tblData[[#This Row],[China LogiP(t)]]/$BF$9</f>
        <v>562.78298920344093</v>
      </c>
      <c r="BH68" s="11">
        <f>IF(ISNUMBER(tblData[Day'# Singapore]),betaSingapore/(deltaSingapore+betaPodeltaSingapore*EXP(-betaSingapore*tblData[Day'# Singapore])),"")</f>
        <v>362.2456097835302</v>
      </c>
      <c r="BI68" s="11">
        <f>IF(AND(ISNUMBER(tblData[Singapore]),tblData[Date]&gt;=StartDt2Singapore),(tblData[[#This Row],[Singapore LogiP(t)]]-tblData[[#This Row],[Singapore]])^2,"")</f>
        <v>297.4110568057925</v>
      </c>
      <c r="BJ68" s="11">
        <f>IF(ISNUMBER(tblData[Day'# Singapore]),tblData[Singapore LogiP(t)]/$BI$9,"")</f>
        <v>619.22326458723114</v>
      </c>
      <c r="BK68" s="11">
        <f>IF(ISNUMBER(tblData[Day'# Generic]),betaGeneric/(deltaGeneric+betaPodeltaGeneric*EXP(-betaGeneric*tblData[Day'# Generic])),"")</f>
        <v>67298.638783930102</v>
      </c>
      <c r="BL68" s="11">
        <f>IF(AND(ISNUMBER(tblData[Generic]),tblData[Date]&gt;=StartDt2Generic),(tblData[Generic LogiP(t)]-tblData[[#This Row],[Generic]])^2,"")</f>
        <v>251363.06897908659</v>
      </c>
      <c r="BM68" s="11">
        <f>IF(ISNUMBER(tblData[Day'# Generic]),tblData[Generic LogiP(t)]/$BL$9,"")</f>
        <v>11504.04081776583</v>
      </c>
      <c r="BN68">
        <v>38782</v>
      </c>
      <c r="BO68" s="11"/>
      <c r="BP68" s="11">
        <f>IF(ISNUMBER(tblData[[#This Row],[Tests]]),tblData[[#This Row],[Tests]]-BP67,"")</f>
        <v>19658</v>
      </c>
      <c r="BQ68" s="11" t="str">
        <f>IF(ISNUMBER(tblData[[#This Row],[NSW Under Investigation'']]),tblData[[#This Row],[NSW Under Investigation'']]-BO67,"")</f>
        <v/>
      </c>
      <c r="BR68" s="11">
        <f>IF(tblData[[#This Row],[Date]]&gt;myData!TestsStart,tblData[[#This Row],[Date]]-myData!TestsStart,"")</f>
        <v>14</v>
      </c>
      <c r="BS68" s="11">
        <f>IF(AND(tblData[[#This Row],[NSW Test Day Number]]&gt;0,ISNUMBER(tblData[[#This Row],[NSW Test Day Number]])),betaTests/(deltaTests+betaPodeltaTests*EXP(-betaTests*tblData[[#This Row],[NSW Test Day Number]])),"")</f>
        <v>36019.23505944504</v>
      </c>
      <c r="BT68" s="11">
        <f>IF(tblData[Tests]&gt;0,(tblData[[#This Row],[Tests]]-tblData[[#This Row],[NSW Test Logi]])^2,"")</f>
        <v>7632870.1167596523</v>
      </c>
      <c r="BU68" s="11">
        <f>IF(ISNUMBER(tblData[Tests]),tblData[Tests]/$BS$9/100,"")</f>
        <v>479.97524752475243</v>
      </c>
      <c r="BV68" s="124">
        <f ca="1">IF(AND(tblData[[#This Row],[NSW Test Day Number]]&gt;0,ISNUMBER(tblData[[#This Row],[NSW Test Day Number]])),TestsLogestB*TestsLogestM^tblData[[#This Row],[NSW Test Day Number]],"")</f>
        <v>33585.434271514248</v>
      </c>
      <c r="BW68" s="11">
        <f>IF(AND(tblData[[#This Row],[NSW Test Day Number]]&gt;0,ISNUMBER(tblData[Tests])),(tblData[Tests]-tblData[[#This Row],[NSW Test Per Capita]])^2,"")</f>
        <v>1467045100.1392267</v>
      </c>
      <c r="BX68" s="124"/>
      <c r="BY68" s="11"/>
      <c r="BZ68"/>
      <c r="CB68" s="25"/>
      <c r="CD68" s="25"/>
      <c r="CK68"/>
      <c r="CL68"/>
      <c r="CO68" s="25"/>
      <c r="CZ68" s="25"/>
      <c r="DA68" s="25"/>
      <c r="DC68"/>
      <c r="DD68"/>
      <c r="DG68" s="25"/>
      <c r="DH68" s="25"/>
      <c r="DV68"/>
      <c r="DW68"/>
      <c r="DX68"/>
      <c r="DY68" s="26" t="s">
        <v>58</v>
      </c>
      <c r="DZ68" s="76">
        <v>43916.338229166664</v>
      </c>
      <c r="EA68" s="26">
        <v>43860</v>
      </c>
      <c r="EB68" s="26">
        <v>43860</v>
      </c>
      <c r="EC68" s="25">
        <v>2</v>
      </c>
      <c r="ED68" s="25">
        <v>0.25752779680433807</v>
      </c>
      <c r="EE68" s="25">
        <v>3.3859219411555139E-6</v>
      </c>
      <c r="EF68" s="25">
        <v>0.44235943793467725</v>
      </c>
      <c r="EG68" s="95">
        <v>76058.397470454249</v>
      </c>
      <c r="EH68" s="25">
        <v>2581.4033034715762</v>
      </c>
      <c r="EI68" s="25">
        <v>0.5821652640942182</v>
      </c>
      <c r="EJ68" s="97">
        <v>3.3859219411555138E-3</v>
      </c>
      <c r="EK68" s="26">
        <v>43915</v>
      </c>
      <c r="EL68" s="25" t="s">
        <v>1835</v>
      </c>
      <c r="EM68" s="25">
        <v>76058.397470454249</v>
      </c>
      <c r="EN68" s="98">
        <v>74386</v>
      </c>
      <c r="EO68" s="25" t="s">
        <v>1836</v>
      </c>
      <c r="EP68" s="26">
        <v>43915</v>
      </c>
      <c r="EQ68" s="25">
        <v>56</v>
      </c>
      <c r="ER68" s="25" t="s">
        <v>1837</v>
      </c>
      <c r="ES68" s="25"/>
      <c r="ET68" s="25" t="s">
        <v>1838</v>
      </c>
      <c r="EU68" s="25"/>
      <c r="EV68" s="82" t="s">
        <v>1839</v>
      </c>
      <c r="EW68" s="25">
        <v>12305.376344086022</v>
      </c>
      <c r="EX68" s="82">
        <v>43899</v>
      </c>
      <c r="EY68" s="25">
        <v>16</v>
      </c>
      <c r="EZ68" s="25">
        <v>43897</v>
      </c>
      <c r="FA68" s="25">
        <v>19</v>
      </c>
      <c r="FB68" s="25"/>
      <c r="FC68" s="25"/>
    </row>
    <row r="69" spans="2:194" x14ac:dyDescent="0.25">
      <c r="B69" s="1">
        <f t="shared" si="8"/>
        <v>43910</v>
      </c>
      <c r="D69" s="25">
        <v>6</v>
      </c>
      <c r="E69">
        <v>353</v>
      </c>
      <c r="F69">
        <v>3</v>
      </c>
      <c r="G69">
        <v>184</v>
      </c>
      <c r="H69">
        <v>50</v>
      </c>
      <c r="I69">
        <v>10</v>
      </c>
      <c r="J69">
        <v>121</v>
      </c>
      <c r="K69">
        <v>64</v>
      </c>
      <c r="L69" s="12">
        <f>IF(ISNUMBER(tblData[[#This Row],[NSW]]),tblData[[#This Row],[New South Wales]]/$L$9,"")</f>
        <v>436.88118811881185</v>
      </c>
      <c r="M69" s="25">
        <v>47021</v>
      </c>
      <c r="N69" s="124">
        <f>IF(ISNUMBER(tblData[Italy]),tblData[Italy]/$N$9,"")</f>
        <v>7773.9935521203606</v>
      </c>
      <c r="O69">
        <v>19100</v>
      </c>
      <c r="P69" s="124">
        <f>IF(ISNUMBER(tblData[US]),tblData[US]/$P$9,"")</f>
        <v>580.14551422406544</v>
      </c>
      <c r="Q69">
        <v>8652</v>
      </c>
      <c r="R69" s="124">
        <f>IF(ISNUMBER(tblData[SKorea]),tblData[SKorea]/$R$9,"")</f>
        <v>1683.2684824902724</v>
      </c>
      <c r="S69">
        <v>4014</v>
      </c>
      <c r="T69" s="124">
        <f>IF(ISNUMBER(tblData[UK]),tblData[UK]/$T$9,"")</f>
        <v>604.15412402167362</v>
      </c>
      <c r="U69">
        <v>81250</v>
      </c>
      <c r="V69" s="124">
        <f>IF(ISNUMBER(tblData[China]),tblData[China]/$V$9,"")</f>
        <v>564.50120087504206</v>
      </c>
      <c r="W69">
        <v>385</v>
      </c>
      <c r="X69" s="124">
        <f>IF(ISNUMBER(tblData[Singapore]),tblData[Singapore]/$X$9,"")</f>
        <v>658.1196581196582</v>
      </c>
      <c r="Y69">
        <v>67800</v>
      </c>
      <c r="Z69" s="20">
        <f>IF(AND(LEN(tblData[Generic])&gt;0,ISNUMBER(tblData[Generic])),tblData[Generic]/$Z$9,"")</f>
        <v>11589.74358974359</v>
      </c>
      <c r="AA69" s="25">
        <f>IF(tblData[[#This Row],[Date]]&lt;ItalyStart,"",tblData[[#This Row],[Date]]-ItalyStart)</f>
        <v>50</v>
      </c>
      <c r="AB69" s="25">
        <f>IF(tblData[[#This Row],[Date]]&lt;USStart,"",tblData[[#This Row],[Date]]-USStart)</f>
        <v>58</v>
      </c>
      <c r="AC69" s="25">
        <f>IF(tblData[[#This Row],[Date]]&lt;ChinaStart,"",tblData[[#This Row],[Date]]-ChinaStart)</f>
        <v>58</v>
      </c>
      <c r="AD69" s="25">
        <f>IF(tblData[[#This Row],[Date]]&lt;StartDt2Korea,"",tblData[[#This Row],[Date]]-StartDt2Korea)</f>
        <v>30</v>
      </c>
      <c r="AE69" s="25">
        <f>IF(tblData[[#This Row],[Date]]&lt;UKStart,"",tblData[[#This Row],[Date]]-UKStart)</f>
        <v>50</v>
      </c>
      <c r="AF69" s="25">
        <f>IF(tblData[[#This Row],[Date]]&lt;SingaporeStart,"",tblData[[#This Row],[Date]]-SingaporeStart)</f>
        <v>57</v>
      </c>
      <c r="AG69" s="25">
        <f>IF(tblData[[#This Row],[Date]]&lt;GenStart,"",tblData[[#This Row],[Date]]-GenStart)</f>
        <v>58</v>
      </c>
      <c r="AH69">
        <f>IF(tblData[Date]&gt;=StartDt2Au,tblData[Date]-StartDt2Au,"")</f>
        <v>55</v>
      </c>
      <c r="AI69" s="25">
        <f>IF(tblData[New South Wales]&gt;0,SUM(tblData[[#This Row],[Australian Capital Territory]:[Western Australia]]),"")</f>
        <v>791</v>
      </c>
      <c r="AJ69" s="12">
        <f>IF(ISNUMBER(tblData[Au]),tblData[Au]/$AE$9,"")</f>
        <v>311.85932818167481</v>
      </c>
      <c r="AK69" s="19">
        <f>IF(ISNUMBER(tblData[[#This Row],[Day'# Aust]]),betaAu/(deltaAu+betaPodeltaAu*EXP(-betaAu*tblData[[#This Row],[Day'# Aust]])),"")</f>
        <v>909.69758811459212</v>
      </c>
      <c r="AL69" s="66">
        <f>IF(ISNUMBER(tblData[Day'# Aust]),tblData[Au LogiP(t)]/$AJ$9,"")</f>
        <v>358.65698947902229</v>
      </c>
      <c r="AM69" s="11">
        <f>IF(AND(tblData[Date]&gt;=StartDt2Au,ISNUMBER(tblData[NSW])),(tblData[[#This Row],[Au LogiP(t)]]-tblData[[#This Row],[Au]])^2,"")</f>
        <v>14089.11742422136</v>
      </c>
      <c r="AN69">
        <f>IF(tblData[Date]&gt;StartDt2NSW,tblData[Date]-StartDt2NSW,"")</f>
        <v>55</v>
      </c>
      <c r="AO69">
        <f t="shared" si="7"/>
        <v>353</v>
      </c>
      <c r="AP69" s="11">
        <f>IF(tblData[Date]&gt;StartDt2NSW,betaNSW/(deltaNSW+betaPodeltaNSW*EXP(-betaNSW*tblData[[#This Row],[Day '# NSW]])),"")</f>
        <v>384.5107541591434</v>
      </c>
      <c r="AQ69" s="12">
        <f>IF(AND(ISNUMBER(tblData[NSW]),tblData[Date]&gt;StartDt2NSW),(tblData[[#This Row],[NSW LogiP(t)]]-tblData[[#This Row],[NSW]])^2,"")</f>
        <v>992.92762767797331</v>
      </c>
      <c r="AR69" s="12">
        <f>IF(AND(tblData[Date]&gt;StartDt2NSW,ISNUMBER(tblData[Day'# Aust])),tblData[NSW LogiP(t)]/$AQ$9,"")</f>
        <v>475.87964623656359</v>
      </c>
      <c r="AS69" s="11">
        <f>IF(AND(tblData[Date]&gt;StartDt2Italy,ISNUMBER(tblData[Days'# Italy])),betaItaly/(deltaItaly+betaPodeltaItaly*EXP(-betaItaly*tblData[Days'# Italy])),"")</f>
        <v>52826.817736383622</v>
      </c>
      <c r="AT69" s="11">
        <f>IF(AND(tblData[Date]&gt;StartDt2Italy,ISNUMBER(tblData[Italy])),(tblData[[#This Row],[Italy LogiP(t)]]-tblData[[#This Row],[Italy]])^2,"")</f>
        <v>33707519.588106647</v>
      </c>
      <c r="AU69" s="41">
        <f>IF(AND(tblData[Date]&gt;StartDt2Italy,ISNUMBER(tblData[Days'# Italy])),tblData[[#This Row],[Italy LogiP(t)]]/$AT$9,"")</f>
        <v>8733.8708334931998</v>
      </c>
      <c r="AV69" s="20">
        <f>IF(ISNUMBER(tblData[[#This Row],[Days'# US]]),betaUS/(deltaUS+betaPodeltaUS*EXP(-betaUS*tblData[Days'# US])),"")</f>
        <v>19678.074772897526</v>
      </c>
      <c r="AW69" s="11">
        <f>IF(AND(tblData[Date]&gt;=StartDt2US,ISNUMBER(tblData[US])),(tblData[[#This Row],[US LogiP(t)]]-tblData[US])^2,"")</f>
        <v>334170.44306052593</v>
      </c>
      <c r="AX69" s="20">
        <f>IF(ISNUMBER(tblData[[#This Row],[Days'# US]]),tblData[[#This Row],[US LogiP(t)]]/$AW$9,"")</f>
        <v>597.70402136451548</v>
      </c>
      <c r="AY69" s="20">
        <f>IF(tblData[Date]&gt;=StartDt2Korea,betaSKorea/(deltaSKorea+betaPodeltaSKorea*EXP(-betaSKorea*(tblData[Date]-StartDt2Korea))),"")</f>
        <v>8567.3756430466328</v>
      </c>
      <c r="AZ69" s="20">
        <f>IF(AND(tblData[Date]&gt;=StartDt2Korea,ISNUMBER(tblData[SKorea])),(tblData[[#This Row],[SKorea LogiP(t)]]-tblData[[#This Row],[SKorea]])^2,"")</f>
        <v>7161.2817897709019</v>
      </c>
      <c r="BA69" s="20">
        <f>IF(tblData[Date]&gt;=StartDt2Korea,tblData[[#This Row],[SKorea LogiP(t)]]/$AZ$9,"")</f>
        <v>1666.8045998145201</v>
      </c>
      <c r="BB69" s="11">
        <f>IF(ISNUMBER(tblData[Days'# UK]),betaUK/(deltaUK+betaPodeltaUK*EXP(-betaUK*tblData[Days'# UK])),"")</f>
        <v>3806.6702620665183</v>
      </c>
      <c r="BC69" s="20">
        <f>IF(ISNUMBER(tblData[UK]),(tblData[[#This Row],[UK LogiP(t)]]-tblData[[#This Row],[UK]])^2,"")</f>
        <v>42985.620231566216</v>
      </c>
      <c r="BD69" s="20">
        <f>IF(ISNUMBER(tblData[Days'# UK]),tblData[[#This Row],[UK LogiP(t)]]/$BC$9,"")</f>
        <v>572.94856442903642</v>
      </c>
      <c r="BE69" s="11">
        <f>IF(ISNUMBER(tblData[Days'# China]),betaChina/(deltaChina+betaPodeltaChina*EXP(-betaChina*tblData[Days'# China])),"")</f>
        <v>81005.336233727125</v>
      </c>
      <c r="BF69" s="11">
        <f>IF(ISNUMBER(tblData[China]),(tblData[[#This Row],[China LogiP(t)]]-tblData[[#This Row],[China]])^2,"")</f>
        <v>59860.358526828182</v>
      </c>
      <c r="BG69" s="11">
        <f>tblData[[#This Row],[China LogiP(t)]]/$BF$9</f>
        <v>562.8013486920064</v>
      </c>
      <c r="BH69" s="11">
        <f>IF(ISNUMBER(tblData[Day'# Singapore]),betaSingapore/(deltaSingapore+betaPodeltaSingapore*EXP(-betaSingapore*tblData[Day'# Singapore])),"")</f>
        <v>390.25482092705698</v>
      </c>
      <c r="BI69" s="11">
        <f>IF(AND(ISNUMBER(tblData[Singapore]),tblData[Date]&gt;=StartDt2Singapore),(tblData[[#This Row],[Singapore LogiP(t)]]-tblData[[#This Row],[Singapore]])^2,"")</f>
        <v>27.613142975436009</v>
      </c>
      <c r="BJ69" s="11">
        <f>IF(ISNUMBER(tblData[Day'# Singapore]),tblData[Singapore LogiP(t)]/$BI$9,"")</f>
        <v>667.10225799496925</v>
      </c>
      <c r="BK69" s="11">
        <f>IF(ISNUMBER(tblData[Day'# Generic]),betaGeneric/(deltaGeneric+betaPodeltaGeneric*EXP(-betaGeneric*tblData[Day'# Generic])),"")</f>
        <v>67300.702256799719</v>
      </c>
      <c r="BL69" s="11">
        <f>IF(AND(ISNUMBER(tblData[Generic]),tblData[Date]&gt;=StartDt2Generic),(tblData[Generic LogiP(t)]-tblData[[#This Row],[Generic]])^2,"")</f>
        <v>249298.23636489359</v>
      </c>
      <c r="BM69" s="11">
        <f>IF(ISNUMBER(tblData[Day'# Generic]),tblData[Generic LogiP(t)]/$BL$9,"")</f>
        <v>11504.393548170892</v>
      </c>
      <c r="BN69">
        <v>40298</v>
      </c>
      <c r="BO69" s="11"/>
      <c r="BP69" s="11">
        <f>IF(ISNUMBER(tblData[[#This Row],[Tests]]),tblData[[#This Row],[Tests]]-BP68,"")</f>
        <v>20640</v>
      </c>
      <c r="BQ69" s="11" t="str">
        <f>IF(ISNUMBER(tblData[[#This Row],[NSW Under Investigation'']]),tblData[[#This Row],[NSW Under Investigation'']]-BO68,"")</f>
        <v/>
      </c>
      <c r="BR69" s="11">
        <f>IF(tblData[[#This Row],[Date]]&gt;myData!TestsStart,tblData[[#This Row],[Date]]-myData!TestsStart,"")</f>
        <v>15</v>
      </c>
      <c r="BS69" s="11">
        <f>IF(AND(tblData[[#This Row],[NSW Test Day Number]]&gt;0,ISNUMBER(tblData[[#This Row],[NSW Test Day Number]])),betaTests/(deltaTests+betaPodeltaTests*EXP(-betaTests*tblData[[#This Row],[NSW Test Day Number]])),"")</f>
        <v>41017.715902367345</v>
      </c>
      <c r="BT69" s="11">
        <f>IF(tblData[Tests]&gt;0,(tblData[[#This Row],[Tests]]-tblData[[#This Row],[NSW Test Logi]])^2,"")</f>
        <v>517990.98012044141</v>
      </c>
      <c r="BU69" s="11">
        <f>IF(ISNUMBER(tblData[Tests]),tblData[Tests]/$BS$9/100,"")</f>
        <v>498.73762376237619</v>
      </c>
      <c r="BV69" s="124">
        <f ca="1">IF(AND(tblData[[#This Row],[NSW Test Day Number]]&gt;0,ISNUMBER(tblData[[#This Row],[NSW Test Day Number]])),TestsLogestB*TestsLogestM^tblData[[#This Row],[NSW Test Day Number]],"")</f>
        <v>38443.599874551903</v>
      </c>
      <c r="BW69" s="11">
        <f>IF(AND(tblData[[#This Row],[NSW Test Day Number]]&gt;0,ISNUMBER(tblData[Tests])),(tblData[Tests]-tblData[[#This Row],[NSW Test Per Capita]])^2,"")</f>
        <v>1583981285.6926036</v>
      </c>
      <c r="BX69" s="124"/>
      <c r="BY69" s="11"/>
      <c r="BZ69"/>
      <c r="CB69" s="25"/>
      <c r="CD69" s="25"/>
      <c r="CK69"/>
      <c r="CL69"/>
      <c r="CO69" s="25"/>
      <c r="CZ69" s="25"/>
      <c r="DA69" s="25"/>
      <c r="DC69"/>
      <c r="DD69"/>
      <c r="DG69" s="25"/>
      <c r="DH69" s="25"/>
      <c r="DV69"/>
      <c r="DW69"/>
      <c r="DX69"/>
      <c r="DY69" s="25" t="s">
        <v>58</v>
      </c>
      <c r="DZ69" s="76">
        <v>43916.504236111112</v>
      </c>
      <c r="EA69" s="26">
        <v>43860</v>
      </c>
      <c r="EB69" s="26">
        <v>43889</v>
      </c>
      <c r="EC69">
        <v>2</v>
      </c>
      <c r="ED69">
        <v>0.25752779680433807</v>
      </c>
      <c r="EE69" s="25">
        <v>3.3859219411555139E-6</v>
      </c>
      <c r="EF69">
        <v>0.44235943793467725</v>
      </c>
      <c r="EG69" s="25">
        <v>76058.397470454249</v>
      </c>
      <c r="EH69" s="25">
        <v>3754.1329461284749</v>
      </c>
      <c r="EI69" s="25">
        <v>0.5821652640942182</v>
      </c>
      <c r="EJ69" s="25">
        <v>3.3859219411555138E-3</v>
      </c>
      <c r="EK69" s="26">
        <v>43915</v>
      </c>
      <c r="EL69" t="s">
        <v>1835</v>
      </c>
      <c r="EM69" s="25">
        <v>76058.397470454249</v>
      </c>
      <c r="EN69" s="25">
        <v>74386</v>
      </c>
      <c r="EO69" s="25" t="s">
        <v>1836</v>
      </c>
      <c r="EP69" s="26">
        <v>43915</v>
      </c>
      <c r="EQ69" s="25">
        <v>56</v>
      </c>
      <c r="ER69" t="s">
        <v>1837</v>
      </c>
      <c r="ET69" t="s">
        <v>1838</v>
      </c>
      <c r="EV69" t="s">
        <v>1839</v>
      </c>
      <c r="EW69" s="25">
        <v>12305.376344086022</v>
      </c>
      <c r="EX69" s="25">
        <v>43899</v>
      </c>
      <c r="EY69">
        <v>17</v>
      </c>
      <c r="EZ69" s="25">
        <v>43898</v>
      </c>
      <c r="FA69">
        <v>18</v>
      </c>
      <c r="FB69" s="25"/>
      <c r="FC69" s="25"/>
    </row>
    <row r="70" spans="2:194" x14ac:dyDescent="0.25">
      <c r="B70" s="1">
        <f t="shared" si="8"/>
        <v>43911</v>
      </c>
      <c r="D70" s="25">
        <v>9</v>
      </c>
      <c r="E70">
        <v>436</v>
      </c>
      <c r="F70">
        <v>3</v>
      </c>
      <c r="G70">
        <v>221</v>
      </c>
      <c r="H70">
        <v>67</v>
      </c>
      <c r="I70">
        <v>16</v>
      </c>
      <c r="J70">
        <v>229</v>
      </c>
      <c r="K70">
        <v>90</v>
      </c>
      <c r="L70" s="12">
        <f>IF(ISNUMBER(tblData[[#This Row],[NSW]]),tblData[[#This Row],[New South Wales]]/$L$9,"")</f>
        <v>539.60396039603961</v>
      </c>
      <c r="M70" s="25">
        <v>53578</v>
      </c>
      <c r="N70" s="124">
        <f>IF(ISNUMBER(tblData[Italy]),tblData[Italy]/$N$9,"")</f>
        <v>8858.0639828056555</v>
      </c>
      <c r="O70">
        <v>25489</v>
      </c>
      <c r="P70" s="124">
        <f>IF(ISNUMBER(tblData[US]),tblData[US]/$P$9,"")</f>
        <v>774.20570743755002</v>
      </c>
      <c r="Q70">
        <v>8799</v>
      </c>
      <c r="R70" s="124">
        <f>IF(ISNUMBER(tblData[SKorea]),tblData[SKorea]/$R$9,"")</f>
        <v>1711.8677042801557</v>
      </c>
      <c r="S70">
        <v>5067</v>
      </c>
      <c r="T70" s="124">
        <f>IF(ISNUMBER(tblData[UK]),tblData[UK]/$T$9,"")</f>
        <v>762.64298615291989</v>
      </c>
      <c r="U70">
        <v>81305</v>
      </c>
      <c r="V70" s="124">
        <f>IF(ISNUMBER(tblData[China]),tblData[China]/$V$9,"")</f>
        <v>564.88332476486516</v>
      </c>
      <c r="W70">
        <v>432</v>
      </c>
      <c r="X70" s="124">
        <f>IF(ISNUMBER(tblData[Singapore]),tblData[Singapore]/$X$9,"")</f>
        <v>738.46153846153845</v>
      </c>
      <c r="Y70">
        <v>67800</v>
      </c>
      <c r="Z70" s="20">
        <f>IF(AND(LEN(tblData[Generic])&gt;0,ISNUMBER(tblData[Generic])),tblData[Generic]/$Z$9,"")</f>
        <v>11589.74358974359</v>
      </c>
      <c r="AA70" s="25">
        <f>IF(tblData[[#This Row],[Date]]&lt;ItalyStart,"",tblData[[#This Row],[Date]]-ItalyStart)</f>
        <v>51</v>
      </c>
      <c r="AB70" s="25">
        <f>IF(tblData[[#This Row],[Date]]&lt;USStart,"",tblData[[#This Row],[Date]]-USStart)</f>
        <v>59</v>
      </c>
      <c r="AC70" s="25">
        <f>IF(tblData[[#This Row],[Date]]&lt;ChinaStart,"",tblData[[#This Row],[Date]]-ChinaStart)</f>
        <v>59</v>
      </c>
      <c r="AD70" s="25">
        <f>IF(tblData[[#This Row],[Date]]&lt;StartDt2Korea,"",tblData[[#This Row],[Date]]-StartDt2Korea)</f>
        <v>31</v>
      </c>
      <c r="AE70" s="25">
        <f>IF(tblData[[#This Row],[Date]]&lt;UKStart,"",tblData[[#This Row],[Date]]-UKStart)</f>
        <v>51</v>
      </c>
      <c r="AF70" s="25">
        <f>IF(tblData[[#This Row],[Date]]&lt;SingaporeStart,"",tblData[[#This Row],[Date]]-SingaporeStart)</f>
        <v>58</v>
      </c>
      <c r="AG70" s="25">
        <f>IF(tblData[[#This Row],[Date]]&lt;GenStart,"",tblData[[#This Row],[Date]]-GenStart)</f>
        <v>59</v>
      </c>
      <c r="AH70">
        <f>IF(tblData[Date]&gt;=StartDt2Au,tblData[Date]-StartDt2Au,"")</f>
        <v>56</v>
      </c>
      <c r="AI70" s="25">
        <f>IF(tblData[New South Wales]&gt;0,SUM(tblData[[#This Row],[Australian Capital Territory]:[Western Australia]]),"")</f>
        <v>1071</v>
      </c>
      <c r="AJ70" s="12">
        <f>IF(ISNUMBER(tblData[Au]),tblData[Au]/$AE$9,"")</f>
        <v>422.25201072386056</v>
      </c>
      <c r="AK70" s="19">
        <f>IF(ISNUMBER(tblData[[#This Row],[Day'# Aust]]),betaAu/(deltaAu+betaPodeltaAu*EXP(-betaAu*tblData[[#This Row],[Day'# Aust]])),"")</f>
        <v>1128.5842076472898</v>
      </c>
      <c r="AL70" s="66">
        <f>IF(ISNUMBER(tblData[Day'# Aust]),tblData[Au LogiP(t)]/$AJ$9,"")</f>
        <v>444.95513627475549</v>
      </c>
      <c r="AM70" s="11">
        <f>IF(AND(tblData[Date]&gt;=StartDt2Au,ISNUMBER(tblData[NSW])),(tblData[[#This Row],[Au LogiP(t)]]-tblData[[#This Row],[Au]])^2,"")</f>
        <v>3315.9409703661845</v>
      </c>
      <c r="AN70">
        <f>IF(tblData[Date]&gt;StartDt2NSW,tblData[Date]-StartDt2NSW,"")</f>
        <v>56</v>
      </c>
      <c r="AO70">
        <f t="shared" si="7"/>
        <v>436</v>
      </c>
      <c r="AP70" s="11">
        <f>IF(tblData[Date]&gt;StartDt2NSW,betaNSW/(deltaNSW+betaPodeltaNSW*EXP(-betaNSW*tblData[[#This Row],[Day '# NSW]])),"")</f>
        <v>469.31852017975649</v>
      </c>
      <c r="AQ70" s="12">
        <f>IF(AND(ISNUMBER(tblData[NSW]),tblData[Date]&gt;StartDt2NSW),(tblData[[#This Row],[NSW LogiP(t)]]-tblData[[#This Row],[NSW]])^2,"")</f>
        <v>1110.1237869688405</v>
      </c>
      <c r="AR70" s="12">
        <f>IF(AND(tblData[Date]&gt;StartDt2NSW,ISNUMBER(tblData[Day'# Aust])),tblData[NSW LogiP(t)]/$AQ$9,"")</f>
        <v>580.83975269771838</v>
      </c>
      <c r="AS70" s="11">
        <f>IF(AND(tblData[Date]&gt;StartDt2Italy,ISNUMBER(tblData[Days'# Italy])),betaItaly/(deltaItaly+betaPodeltaItaly*EXP(-betaItaly*tblData[Days'# Italy])),"")</f>
        <v>56763.232004632278</v>
      </c>
      <c r="AT70" s="11">
        <f>IF(AND(tblData[Date]&gt;StartDt2Italy,ISNUMBER(tblData[Italy])),(tblData[[#This Row],[Italy LogiP(t)]]-tblData[[#This Row],[Italy]])^2,"")</f>
        <v>10145702.923333762</v>
      </c>
      <c r="AU70" s="41">
        <f>IF(AND(tblData[Date]&gt;StartDt2Italy,ISNUMBER(tblData[Days'# Italy])),tblData[[#This Row],[Italy LogiP(t)]]/$AT$9,"")</f>
        <v>9384.6791774212252</v>
      </c>
      <c r="AV70" s="20">
        <f>IF(ISNUMBER(tblData[[#This Row],[Days'# US]]),betaUS/(deltaUS+betaPodeltaUS*EXP(-betaUS*tblData[Days'# US])),"")</f>
        <v>25124.132250256869</v>
      </c>
      <c r="AW70" s="11">
        <f>IF(AND(tblData[Date]&gt;=StartDt2US,ISNUMBER(tblData[US])),(tblData[[#This Row],[US LogiP(t)]]-tblData[US])^2,"")</f>
        <v>133128.47480261597</v>
      </c>
      <c r="AX70" s="20">
        <f>IF(ISNUMBER(tblData[[#This Row],[Days'# US]]),tblData[[#This Row],[US LogiP(t)]]/$AW$9,"")</f>
        <v>763.12317401877999</v>
      </c>
      <c r="AY70" s="20">
        <f>IF(tblData[Date]&gt;=StartDt2Korea,betaSKorea/(deltaSKorea+betaPodeltaSKorea*EXP(-betaSKorea*(tblData[Date]-StartDt2Korea))),"")</f>
        <v>8577.7594779404026</v>
      </c>
      <c r="AZ70" s="20">
        <f>IF(AND(tblData[Date]&gt;=StartDt2Korea,ISNUMBER(tblData[SKorea])),(tblData[[#This Row],[SKorea LogiP(t)]]-tblData[[#This Row],[SKorea]])^2,"")</f>
        <v>48947.368601203212</v>
      </c>
      <c r="BA70" s="20">
        <f>IF(tblData[Date]&gt;=StartDt2Korea,tblData[[#This Row],[SKorea LogiP(t)]]/$AZ$9,"")</f>
        <v>1668.8248011557205</v>
      </c>
      <c r="BB70" s="11">
        <f>IF(ISNUMBER(tblData[Days'# UK]),betaUK/(deltaUK+betaPodeltaUK*EXP(-betaUK*tblData[Days'# UK])),"")</f>
        <v>4612.9211875543524</v>
      </c>
      <c r="BC70" s="20">
        <f>IF(ISNUMBER(tblData[UK]),(tblData[[#This Row],[UK LogiP(t)]]-tblData[[#This Row],[UK]])^2,"")</f>
        <v>206187.56791204962</v>
      </c>
      <c r="BD70" s="20">
        <f>IF(ISNUMBER(tblData[Days'# UK]),tblData[[#This Row],[UK LogiP(t)]]/$BC$9,"")</f>
        <v>694.29879403286463</v>
      </c>
      <c r="BE70" s="11">
        <f>IF(ISNUMBER(tblData[Days'# China]),betaChina/(deltaChina+betaPodeltaChina*EXP(-betaChina*tblData[Days'# China])),"")</f>
        <v>81007.45249416781</v>
      </c>
      <c r="BF70" s="11">
        <f>IF(ISNUMBER(tblData[China]),(tblData[[#This Row],[China LogiP(t)]]-tblData[[#This Row],[China]])^2,"")</f>
        <v>88534.518226957094</v>
      </c>
      <c r="BG70" s="11">
        <f>tblData[[#This Row],[China LogiP(t)]]/$BF$9</f>
        <v>562.81605184966952</v>
      </c>
      <c r="BH70" s="11">
        <f>IF(ISNUMBER(tblData[Day'# Singapore]),betaSingapore/(deltaSingapore+betaPodeltaSingapore*EXP(-betaSingapore*tblData[Day'# Singapore])),"")</f>
        <v>420.42973369198575</v>
      </c>
      <c r="BI70" s="11">
        <f>IF(AND(ISNUMBER(tblData[Singapore]),tblData[Date]&gt;=StartDt2Singapore),(tblData[[#This Row],[Singapore LogiP(t)]]-tblData[[#This Row],[Singapore]])^2,"")</f>
        <v>133.87106243836979</v>
      </c>
      <c r="BJ70" s="11">
        <f>IF(ISNUMBER(tblData[Day'# Singapore]),tblData[Singapore LogiP(t)]/$BI$9,"")</f>
        <v>718.68330545638594</v>
      </c>
      <c r="BK70" s="11">
        <f>IF(ISNUMBER(tblData[Day'# Generic]),betaGeneric/(deltaGeneric+betaPodeltaGeneric*EXP(-betaGeneric*tblData[Day'# Generic])),"")</f>
        <v>67302.358725322527</v>
      </c>
      <c r="BL70" s="11">
        <f>IF(AND(ISNUMBER(tblData[Generic]),tblData[Date]&gt;=StartDt2Generic),(tblData[Generic LogiP(t)]-tblData[[#This Row],[Generic]])^2,"")</f>
        <v>247646.83826262024</v>
      </c>
      <c r="BM70" s="11">
        <f>IF(ISNUMBER(tblData[Day'# Generic]),tblData[Generic LogiP(t)]/$BL$9,"")</f>
        <v>11504.676705183339</v>
      </c>
      <c r="BN70">
        <v>46456</v>
      </c>
      <c r="BO70" s="11"/>
      <c r="BP70" s="11">
        <f>IF(ISNUMBER(tblData[[#This Row],[Tests]]),tblData[[#This Row],[Tests]]-BP69,"")</f>
        <v>25816</v>
      </c>
      <c r="BQ70" s="11" t="str">
        <f>IF(ISNUMBER(tblData[[#This Row],[NSW Under Investigation'']]),tblData[[#This Row],[NSW Under Investigation'']]-BO69,"")</f>
        <v/>
      </c>
      <c r="BR70" s="11">
        <f>IF(tblData[[#This Row],[Date]]&gt;myData!TestsStart,tblData[[#This Row],[Date]]-myData!TestsStart,"")</f>
        <v>16</v>
      </c>
      <c r="BS70" s="11">
        <f>IF(AND(tblData[[#This Row],[NSW Test Day Number]]&gt;0,ISNUMBER(tblData[[#This Row],[NSW Test Day Number]])),betaTests/(deltaTests+betaPodeltaTests*EXP(-betaTests*tblData[[#This Row],[NSW Test Day Number]])),"")</f>
        <v>46261.19837757913</v>
      </c>
      <c r="BT70" s="11">
        <f>IF(tblData[Tests]&gt;0,(tblData[[#This Row],[Tests]]-tblData[[#This Row],[NSW Test Logi]])^2,"")</f>
        <v>37947.672097803021</v>
      </c>
      <c r="BU70" s="11">
        <f>IF(ISNUMBER(tblData[Tests]),tblData[Tests]/$BS$9/100,"")</f>
        <v>574.95049504950487</v>
      </c>
      <c r="BV70" s="124">
        <f ca="1">IF(AND(tblData[[#This Row],[NSW Test Day Number]]&gt;0,ISNUMBER(tblData[[#This Row],[NSW Test Day Number]])),TestsLogestB*TestsLogestM^tblData[[#This Row],[NSW Test Day Number]],"")</f>
        <v>44004.503838384131</v>
      </c>
      <c r="BW70" s="11">
        <f>IF(AND(tblData[[#This Row],[NSW Test Day Number]]&gt;0,ISNUMBER(tblData[Tests])),(tblData[Tests]-tblData[[#This Row],[NSW Test Per Capita]])^2,"")</f>
        <v>2105070703.6757183</v>
      </c>
      <c r="BX70" s="124"/>
      <c r="BY70" s="11"/>
      <c r="BZ70"/>
      <c r="CB70" s="25"/>
      <c r="CD70" s="25"/>
      <c r="CK70"/>
      <c r="CL70"/>
      <c r="CO70" s="25"/>
      <c r="CZ70" s="25"/>
      <c r="DA70" s="25"/>
      <c r="DC70"/>
      <c r="DD70"/>
      <c r="DG70" s="25"/>
      <c r="DH70" s="25"/>
      <c r="DV70"/>
      <c r="DW70"/>
      <c r="DX70"/>
      <c r="DY70" s="26" t="s">
        <v>58</v>
      </c>
      <c r="DZ70" s="76">
        <v>43916.524247685185</v>
      </c>
      <c r="EA70" s="26">
        <v>43860</v>
      </c>
      <c r="EB70" s="26">
        <v>43880</v>
      </c>
      <c r="EC70">
        <v>2</v>
      </c>
      <c r="ED70">
        <v>0.25752779680433807</v>
      </c>
      <c r="EE70" s="25">
        <v>3.3859219411555139E-6</v>
      </c>
      <c r="EF70">
        <v>0.44235943793467725</v>
      </c>
      <c r="EG70" s="95">
        <v>76058.397470454249</v>
      </c>
      <c r="EH70">
        <v>3235.9046307493036</v>
      </c>
      <c r="EI70">
        <v>0.5821652640942182</v>
      </c>
      <c r="EJ70" s="97">
        <v>3.3859219411555138E-3</v>
      </c>
      <c r="EK70" s="26">
        <v>43915</v>
      </c>
      <c r="EL70" s="25" t="s">
        <v>1835</v>
      </c>
      <c r="EM70">
        <v>76058.397470454249</v>
      </c>
      <c r="EN70" s="98">
        <v>74386</v>
      </c>
      <c r="EO70" s="25" t="s">
        <v>1836</v>
      </c>
      <c r="EP70" s="26">
        <v>43915</v>
      </c>
      <c r="EQ70" s="25">
        <v>56</v>
      </c>
      <c r="ER70" t="s">
        <v>1837</v>
      </c>
      <c r="ET70" t="s">
        <v>1838</v>
      </c>
      <c r="EV70" s="82" t="s">
        <v>1839</v>
      </c>
      <c r="EW70" s="25">
        <v>12298.255765892371</v>
      </c>
      <c r="EX70" s="82">
        <v>43899</v>
      </c>
      <c r="EY70" s="25">
        <v>17</v>
      </c>
      <c r="EZ70" s="25">
        <v>43898</v>
      </c>
      <c r="FA70" s="25">
        <v>18</v>
      </c>
      <c r="FC70" s="25"/>
    </row>
    <row r="71" spans="2:194" x14ac:dyDescent="0.25">
      <c r="B71" s="1">
        <f t="shared" si="8"/>
        <v>43912</v>
      </c>
      <c r="D71" s="25">
        <v>19</v>
      </c>
      <c r="E71">
        <v>669</v>
      </c>
      <c r="F71">
        <v>5</v>
      </c>
      <c r="G71">
        <v>259</v>
      </c>
      <c r="H71">
        <v>100</v>
      </c>
      <c r="I71">
        <v>22</v>
      </c>
      <c r="J71">
        <v>355</v>
      </c>
      <c r="K71">
        <v>120</v>
      </c>
      <c r="L71" s="12">
        <f>IF(ISNUMBER(tblData[[#This Row],[NSW]]),tblData[[#This Row],[New South Wales]]/$L$9,"")</f>
        <v>827.97029702970292</v>
      </c>
      <c r="M71" s="25">
        <v>59138</v>
      </c>
      <c r="N71" s="124">
        <f>IF(ISNUMBER(tblData[Italy]),tblData[Italy]/$N$9,"")</f>
        <v>9777.3001570637352</v>
      </c>
      <c r="O71">
        <v>33276</v>
      </c>
      <c r="P71" s="124">
        <f>IF(ISNUMBER(tblData[US]),tblData[US]/$P$9,"")</f>
        <v>1010.7289073989531</v>
      </c>
      <c r="Q71">
        <v>8961</v>
      </c>
      <c r="R71" s="124">
        <f>IF(ISNUMBER(tblData[SKorea]),tblData[SKorea]/$R$9,"")</f>
        <v>1743.3852140077822</v>
      </c>
      <c r="S71">
        <v>5745</v>
      </c>
      <c r="T71" s="124">
        <f>IF(ISNUMBER(tblData[UK]),tblData[UK]/$T$9,"")</f>
        <v>864.68994581577363</v>
      </c>
      <c r="U71">
        <v>81435</v>
      </c>
      <c r="V71" s="124">
        <f>IF(ISNUMBER(tblData[China]),tblData[China]/$V$9,"")</f>
        <v>565.78652668626523</v>
      </c>
      <c r="W71">
        <v>455</v>
      </c>
      <c r="X71" s="124">
        <f>IF(ISNUMBER(tblData[Singapore]),tblData[Singapore]/$X$9,"")</f>
        <v>777.77777777777783</v>
      </c>
      <c r="Y71">
        <v>67800</v>
      </c>
      <c r="Z71" s="20">
        <f>IF(AND(LEN(tblData[Generic])&gt;0,ISNUMBER(tblData[Generic])),tblData[Generic]/$Z$9,"")</f>
        <v>11589.74358974359</v>
      </c>
      <c r="AA71" s="25">
        <f>IF(tblData[[#This Row],[Date]]&lt;ItalyStart,"",tblData[[#This Row],[Date]]-ItalyStart)</f>
        <v>52</v>
      </c>
      <c r="AB71" s="25">
        <f>IF(tblData[[#This Row],[Date]]&lt;USStart,"",tblData[[#This Row],[Date]]-USStart)</f>
        <v>60</v>
      </c>
      <c r="AC71" s="25">
        <f>IF(tblData[[#This Row],[Date]]&lt;ChinaStart,"",tblData[[#This Row],[Date]]-ChinaStart)</f>
        <v>60</v>
      </c>
      <c r="AD71" s="25">
        <f>IF(tblData[[#This Row],[Date]]&lt;StartDt2Korea,"",tblData[[#This Row],[Date]]-StartDt2Korea)</f>
        <v>32</v>
      </c>
      <c r="AE71" s="25">
        <f>IF(tblData[[#This Row],[Date]]&lt;UKStart,"",tblData[[#This Row],[Date]]-UKStart)</f>
        <v>52</v>
      </c>
      <c r="AF71" s="25">
        <f>IF(tblData[[#This Row],[Date]]&lt;SingaporeStart,"",tblData[[#This Row],[Date]]-SingaporeStart)</f>
        <v>59</v>
      </c>
      <c r="AG71" s="25">
        <f>IF(tblData[[#This Row],[Date]]&lt;GenStart,"",tblData[[#This Row],[Date]]-GenStart)</f>
        <v>60</v>
      </c>
      <c r="AH71">
        <f>IF(tblData[Date]&gt;=StartDt2Au,tblData[Date]-StartDt2Au,"")</f>
        <v>57</v>
      </c>
      <c r="AI71" s="25">
        <f>IF(tblData[New South Wales]&gt;0,SUM(tblData[[#This Row],[Australian Capital Territory]:[Western Australia]]),"")</f>
        <v>1549</v>
      </c>
      <c r="AJ71" s="12">
        <f>IF(ISNUMBER(tblData[Au]),tblData[Au]/$AE$9,"")</f>
        <v>610.70809020659203</v>
      </c>
      <c r="AK71" s="19">
        <f>IF(ISNUMBER(tblData[[#This Row],[Day'# Aust]]),betaAu/(deltaAu+betaPodeltaAu*EXP(-betaAu*tblData[[#This Row],[Day'# Aust]])),"")</f>
        <v>1388.2046805690277</v>
      </c>
      <c r="AL71" s="66">
        <f>IF(ISNUMBER(tblData[Day'# Aust]),tblData[Au LogiP(t)]/$AJ$9,"")</f>
        <v>547.31299502011814</v>
      </c>
      <c r="AM71" s="11">
        <f>IF(AND(tblData[Date]&gt;=StartDt2Au,ISNUMBER(tblData[NSW])),(tblData[[#This Row],[Au LogiP(t)]]-tblData[[#This Row],[Au]])^2,"")</f>
        <v>25855.134750908423</v>
      </c>
      <c r="AN71">
        <f>IF(tblData[Date]&gt;StartDt2NSW,tblData[Date]-StartDt2NSW,"")</f>
        <v>57</v>
      </c>
      <c r="AO71" s="25">
        <f t="shared" si="7"/>
        <v>669</v>
      </c>
      <c r="AP71" s="11">
        <f>IF(tblData[Date]&gt;StartDt2NSW,betaNSW/(deltaNSW+betaPodeltaNSW*EXP(-betaNSW*tblData[[#This Row],[Day '# NSW]])),"")</f>
        <v>571.67112664059664</v>
      </c>
      <c r="AQ71" s="12">
        <f>IF(AND(ISNUMBER(tblData[NSW]),tblData[Date]&gt;StartDt2NSW),(tblData[[#This Row],[NSW LogiP(t)]]-tblData[[#This Row],[NSW]])^2,"")</f>
        <v>9472.9095894107777</v>
      </c>
      <c r="AR71" s="12">
        <f>IF(AND(tblData[Date]&gt;StartDt2NSW,ISNUMBER(tblData[Day'# Aust])),tblData[NSW LogiP(t)]/$AQ$9,"")</f>
        <v>707.51377059479773</v>
      </c>
      <c r="AS71" s="11">
        <f>IF(AND(tblData[Date]&gt;StartDt2Italy,ISNUMBER(tblData[Days'# Italy])),betaItaly/(deltaItaly+betaPodeltaItaly*EXP(-betaItaly*tblData[Days'# Italy])),"")</f>
        <v>60232.470214233465</v>
      </c>
      <c r="AT71" s="11">
        <f>IF(AND(tblData[Date]&gt;StartDt2Italy,ISNUMBER(tblData[Italy])),(tblData[[#This Row],[Italy LogiP(t)]]-tblData[[#This Row],[Italy]])^2,"")</f>
        <v>1197865.0498442457</v>
      </c>
      <c r="AU71" s="41">
        <f>IF(AND(tblData[Date]&gt;StartDt2Italy,ISNUMBER(tblData[Days'# Italy])),tblData[[#This Row],[Italy LogiP(t)]]/$AT$9,"")</f>
        <v>9958.2491881017559</v>
      </c>
      <c r="AV71" s="20">
        <f>IF(ISNUMBER(tblData[[#This Row],[Days'# US]]),betaUS/(deltaUS+betaPodeltaUS*EXP(-betaUS*tblData[Days'# US])),"")</f>
        <v>31791.675622189592</v>
      </c>
      <c r="AW71" s="11">
        <f>IF(AND(tblData[Date]&gt;=StartDt2US,ISNUMBER(tblData[US])),(tblData[[#This Row],[US LogiP(t)]]-tblData[US])^2,"")</f>
        <v>2203218.8585622543</v>
      </c>
      <c r="AX71" s="20">
        <f>IF(ISNUMBER(tblData[[#This Row],[Days'# US]]),tblData[[#This Row],[US LogiP(t)]]/$AW$9,"")</f>
        <v>965.64387444397209</v>
      </c>
      <c r="AY71" s="20">
        <f>IF(tblData[Date]&gt;=StartDt2Korea,betaSKorea/(deltaSKorea+betaPodeltaSKorea*EXP(-betaSKorea*(tblData[Date]-StartDt2Korea))),"")</f>
        <v>8585.4667363351273</v>
      </c>
      <c r="AZ71" s="20">
        <f>IF(AND(tblData[Date]&gt;=StartDt2Korea,ISNUMBER(tblData[SKorea])),(tblData[[#This Row],[SKorea LogiP(t)]]-tblData[[#This Row],[SKorea]])^2,"")</f>
        <v>141025.23211879082</v>
      </c>
      <c r="BA71" s="20">
        <f>IF(tblData[Date]&gt;=StartDt2Korea,tblData[[#This Row],[SKorea LogiP(t)]]/$AZ$9,"")</f>
        <v>1670.3242677694802</v>
      </c>
      <c r="BB71" s="11">
        <f>IF(ISNUMBER(tblData[Days'# UK]),betaUK/(deltaUK+betaPodeltaUK*EXP(-betaUK*tblData[Days'# UK])),"")</f>
        <v>5538.0362185571112</v>
      </c>
      <c r="BC71" s="20">
        <f>IF(ISNUMBER(tblData[UK]),(tblData[[#This Row],[UK LogiP(t)]]-tblData[[#This Row],[UK]])^2,"")</f>
        <v>42834.006829139857</v>
      </c>
      <c r="BD71" s="20">
        <f>IF(ISNUMBER(tblData[Days'# UK]),tblData[[#This Row],[UK LogiP(t)]]/$BC$9,"")</f>
        <v>833.53946697126901</v>
      </c>
      <c r="BE71" s="11">
        <f>IF(ISNUMBER(tblData[Days'# China]),betaChina/(deltaChina+betaPodeltaChina*EXP(-betaChina*tblData[Days'# China])),"")</f>
        <v>81009.147277043739</v>
      </c>
      <c r="BF71" s="11">
        <f>IF(ISNUMBER(tblData[China]),(tblData[[#This Row],[China LogiP(t)]]-tblData[[#This Row],[China]])^2,"")</f>
        <v>181350.54164926161</v>
      </c>
      <c r="BG71" s="11">
        <f>tblData[[#This Row],[China LogiP(t)]]/$BF$9</f>
        <v>562.82782670466872</v>
      </c>
      <c r="BH71" s="11">
        <f>IF(ISNUMBER(tblData[Day'# Singapore]),betaSingapore/(deltaSingapore+betaPodeltaSingapore*EXP(-betaSingapore*tblData[Day'# Singapore])),"")</f>
        <v>452.93780240017924</v>
      </c>
      <c r="BI71" s="11">
        <f>IF(AND(ISNUMBER(tblData[Singapore]),tblData[Date]&gt;=StartDt2Singapore),(tblData[[#This Row],[Singapore LogiP(t)]]-tblData[[#This Row],[Singapore]])^2,"")</f>
        <v>4.2526589407065165</v>
      </c>
      <c r="BJ71" s="11">
        <f>IF(ISNUMBER(tblData[Day'# Singapore]),tblData[Singapore LogiP(t)]/$BI$9,"")</f>
        <v>774.25265367552015</v>
      </c>
      <c r="BK71" s="11">
        <f>IF(ISNUMBER(tblData[Day'# Generic]),betaGeneric/(deltaGeneric+betaPodeltaGeneric*EXP(-betaGeneric*tblData[Day'# Generic])),"")</f>
        <v>67303.688453514871</v>
      </c>
      <c r="BL71" s="11">
        <f>IF(AND(ISNUMBER(tblData[Generic]),tblData[Date]&gt;=StartDt2Generic),(tblData[Generic LogiP(t)]-tblData[[#This Row],[Generic]])^2,"")</f>
        <v>246325.1511744603</v>
      </c>
      <c r="BM71" s="11">
        <f>IF(ISNUMBER(tblData[Day'# Generic]),tblData[Generic LogiP(t)]/$BL$9,"")</f>
        <v>11504.904009147842</v>
      </c>
      <c r="BN71">
        <v>52130</v>
      </c>
      <c r="BO71" s="11"/>
      <c r="BP71" s="11">
        <f>IF(ISNUMBER(tblData[[#This Row],[Tests]]),tblData[[#This Row],[Tests]]-BP70,"")</f>
        <v>26314</v>
      </c>
      <c r="BQ71" s="11" t="str">
        <f>IF(ISNUMBER(tblData[[#This Row],[NSW Under Investigation'']]),tblData[[#This Row],[NSW Under Investigation'']]-BO70,"")</f>
        <v/>
      </c>
      <c r="BR71" s="11">
        <f>IF(tblData[[#This Row],[Date]]&gt;myData!TestsStart,tblData[[#This Row],[Date]]-myData!TestsStart,"")</f>
        <v>17</v>
      </c>
      <c r="BS71" s="11">
        <f>IF(AND(tblData[[#This Row],[NSW Test Day Number]]&gt;0,ISNUMBER(tblData[[#This Row],[NSW Test Day Number]])),betaTests/(deltaTests+betaPodeltaTests*EXP(-betaTests*tblData[[#This Row],[NSW Test Day Number]])),"")</f>
        <v>51654.51659307009</v>
      </c>
      <c r="BT71" s="11">
        <f>IF(tblData[Tests]&gt;0,(tblData[[#This Row],[Tests]]-tblData[[#This Row],[NSW Test Logi]])^2,"")</f>
        <v>226084.47026567478</v>
      </c>
      <c r="BU71" s="11">
        <f>IF(ISNUMBER(tblData[Tests]),tblData[Tests]/$BS$9/100,"")</f>
        <v>645.17326732673257</v>
      </c>
      <c r="BV71" s="124">
        <f ca="1">IF(AND(tblData[[#This Row],[NSW Test Day Number]]&gt;0,ISNUMBER(tblData[[#This Row],[NSW Test Day Number]])),TestsLogestB*TestsLogestM^tblData[[#This Row],[NSW Test Day Number]],"")</f>
        <v>50369.797947672938</v>
      </c>
      <c r="BW71" s="11">
        <f>IF(AND(tblData[[#This Row],[NSW Test Day Number]]&gt;0,ISNUMBER(tblData[Tests])),(tblData[Tests]-tblData[[#This Row],[NSW Test Per Capita]])^2,"")</f>
        <v>2650687383.693388</v>
      </c>
      <c r="BX71" s="124"/>
      <c r="BY71" s="11"/>
      <c r="BZ71"/>
      <c r="CB71" s="25"/>
      <c r="CD71" s="25"/>
      <c r="CK71"/>
      <c r="CL71"/>
      <c r="CO71" s="25"/>
      <c r="CZ71" s="25"/>
      <c r="DA71" s="25"/>
      <c r="DC71"/>
      <c r="DD71"/>
      <c r="DG71" s="25"/>
      <c r="DH71" s="25"/>
      <c r="DV71"/>
      <c r="DW71"/>
      <c r="DX71"/>
      <c r="DY71" s="26" t="s">
        <v>58</v>
      </c>
      <c r="DZ71" s="76">
        <v>43916.899085648147</v>
      </c>
      <c r="EA71" s="26">
        <v>43860</v>
      </c>
      <c r="EB71" s="26">
        <v>43860</v>
      </c>
      <c r="EC71">
        <v>2</v>
      </c>
      <c r="ED71" s="25">
        <v>0.25752779680433807</v>
      </c>
      <c r="EE71" s="95">
        <v>3.3859219411555139E-6</v>
      </c>
      <c r="EF71" s="25">
        <v>0.44235943793467725</v>
      </c>
      <c r="EG71" s="25">
        <v>76058.397470454249</v>
      </c>
      <c r="EH71" s="97">
        <v>2581.4033034715762</v>
      </c>
      <c r="EI71" s="26">
        <v>0.5821652640942182</v>
      </c>
      <c r="EJ71" s="25">
        <v>3.3859219411555138E-3</v>
      </c>
      <c r="EK71" s="26">
        <v>43915</v>
      </c>
      <c r="EL71" s="98" t="s">
        <v>1835</v>
      </c>
      <c r="EM71" s="25">
        <v>76058.397470454249</v>
      </c>
      <c r="EN71" s="26">
        <v>74386</v>
      </c>
      <c r="EO71" s="25" t="s">
        <v>1836</v>
      </c>
      <c r="EP71" s="26">
        <v>43915</v>
      </c>
      <c r="EQ71" s="25">
        <v>56</v>
      </c>
      <c r="ER71" s="25" t="s">
        <v>1837</v>
      </c>
      <c r="ET71" s="82" t="s">
        <v>1838</v>
      </c>
      <c r="EU71" s="25"/>
      <c r="EV71" s="82" t="s">
        <v>1839</v>
      </c>
      <c r="EW71">
        <v>12298.255765892371</v>
      </c>
      <c r="EX71" s="25">
        <v>43899</v>
      </c>
      <c r="EY71">
        <v>17</v>
      </c>
      <c r="EZ71" s="25">
        <v>43898</v>
      </c>
      <c r="FA71">
        <v>18</v>
      </c>
      <c r="FC71" s="25"/>
    </row>
    <row r="72" spans="2:194" x14ac:dyDescent="0.25">
      <c r="B72" s="1">
        <f t="shared" si="8"/>
        <v>43913</v>
      </c>
      <c r="D72" s="25">
        <v>32</v>
      </c>
      <c r="E72">
        <v>669</v>
      </c>
      <c r="F72">
        <v>5</v>
      </c>
      <c r="G72">
        <v>319</v>
      </c>
      <c r="H72">
        <v>134</v>
      </c>
      <c r="I72">
        <v>28</v>
      </c>
      <c r="J72">
        <v>355</v>
      </c>
      <c r="K72">
        <v>140</v>
      </c>
      <c r="L72" s="12">
        <f>IF(ISNUMBER(tblData[[#This Row],[NSW]]),tblData[[#This Row],[New South Wales]]/$L$9,"")</f>
        <v>827.97029702970292</v>
      </c>
      <c r="M72" s="25">
        <v>63927</v>
      </c>
      <c r="N72" s="124">
        <f>IF(ISNUMBER(tblData[Italy]),tblData[Italy]/$N$9,"")</f>
        <v>10569.066710754732</v>
      </c>
      <c r="O72">
        <v>43847</v>
      </c>
      <c r="P72" s="124">
        <f>IF(ISNUMBER(tblData[US]),tblData[US]/$P$9,"")</f>
        <v>1331.8136315278848</v>
      </c>
      <c r="Q72">
        <v>8961</v>
      </c>
      <c r="R72" s="124">
        <f>IF(ISNUMBER(tblData[SKorea]),tblData[SKorea]/$R$9,"")</f>
        <v>1743.3852140077822</v>
      </c>
      <c r="S72">
        <v>6726</v>
      </c>
      <c r="T72" s="124">
        <f>IF(ISNUMBER(tblData[UK]),tblData[UK]/$T$9,"")</f>
        <v>1012.3419626730885</v>
      </c>
      <c r="U72">
        <v>81498</v>
      </c>
      <c r="V72" s="124">
        <f>IF(ISNUMBER(tblData[China]),tblData[China]/$V$9,"")</f>
        <v>566.22423223278986</v>
      </c>
      <c r="W72">
        <v>509</v>
      </c>
      <c r="X72" s="124">
        <f>IF(ISNUMBER(tblData[Singapore]),tblData[Singapore]/$X$9,"")</f>
        <v>870.08547008547009</v>
      </c>
      <c r="Y72">
        <v>67800</v>
      </c>
      <c r="Z72" s="20">
        <f>IF(AND(LEN(tblData[Generic])&gt;0,ISNUMBER(tblData[Generic])),tblData[Generic]/$Z$9,"")</f>
        <v>11589.74358974359</v>
      </c>
      <c r="AA72" s="25">
        <f>IF(tblData[[#This Row],[Date]]&lt;ItalyStart,"",tblData[[#This Row],[Date]]-ItalyStart)</f>
        <v>53</v>
      </c>
      <c r="AB72" s="25">
        <f>IF(tblData[[#This Row],[Date]]&lt;USStart,"",tblData[[#This Row],[Date]]-USStart)</f>
        <v>61</v>
      </c>
      <c r="AC72" s="25">
        <f>IF(tblData[[#This Row],[Date]]&lt;ChinaStart,"",tblData[[#This Row],[Date]]-ChinaStart)</f>
        <v>61</v>
      </c>
      <c r="AD72" s="25">
        <f>IF(tblData[[#This Row],[Date]]&lt;StartDt2Korea,"",tblData[[#This Row],[Date]]-StartDt2Korea)</f>
        <v>33</v>
      </c>
      <c r="AE72" s="25">
        <f>IF(tblData[[#This Row],[Date]]&lt;UKStart,"",tblData[[#This Row],[Date]]-UKStart)</f>
        <v>53</v>
      </c>
      <c r="AF72" s="25">
        <f>IF(tblData[[#This Row],[Date]]&lt;SingaporeStart,"",tblData[[#This Row],[Date]]-SingaporeStart)</f>
        <v>60</v>
      </c>
      <c r="AG72" s="25">
        <f>IF(tblData[[#This Row],[Date]]&lt;GenStart,"",tblData[[#This Row],[Date]]-GenStart)</f>
        <v>61</v>
      </c>
      <c r="AH72">
        <f>IF(tblData[Date]&gt;=StartDt2Au,tblData[Date]-StartDt2Au,"")</f>
        <v>58</v>
      </c>
      <c r="AI72" s="25">
        <f>IF(tblData[New South Wales]&gt;0,SUM(tblData[[#This Row],[Australian Capital Territory]:[Western Australia]]),"")</f>
        <v>1682</v>
      </c>
      <c r="AJ72" s="12">
        <f>IF(ISNUMBER(tblData[Au]),tblData[Au]/$AE$9,"")</f>
        <v>663.14461441413027</v>
      </c>
      <c r="AK72" s="19">
        <f>IF(ISNUMBER(tblData[[#This Row],[Day'# Aust]]),betaAu/(deltaAu+betaPodeltaAu*EXP(-betaAu*tblData[[#This Row],[Day'# Aust]])),"")</f>
        <v>1690.4593011221589</v>
      </c>
      <c r="AL72" s="66">
        <f>IF(ISNUMBER(tblData[Day'# Aust]),tblData[Au LogiP(t)]/$AJ$9,"")</f>
        <v>666.4797749259418</v>
      </c>
      <c r="AM72" s="11">
        <f>IF(AND(tblData[Date]&gt;=StartDt2Au,ISNUMBER(tblData[NSW])),(tblData[[#This Row],[Au LogiP(t)]]-tblData[[#This Row],[Au]])^2,"")</f>
        <v>71.559775475358435</v>
      </c>
      <c r="AN72">
        <f>IF(tblData[Date]&gt;StartDt2NSW,tblData[Date]-StartDt2NSW,"")</f>
        <v>58</v>
      </c>
      <c r="AO72" s="25">
        <f t="shared" si="7"/>
        <v>669</v>
      </c>
      <c r="AP72" s="11">
        <f>IF(tblData[Date]&gt;StartDt2NSW,betaNSW/(deltaNSW+betaPodeltaNSW*EXP(-betaNSW*tblData[[#This Row],[Day '# NSW]])),"")</f>
        <v>694.64733694095719</v>
      </c>
      <c r="AQ72" s="12">
        <f>IF(AND(ISNUMBER(tblData[NSW]),tblData[Date]&gt;StartDt2NSW),(tblData[[#This Row],[NSW LogiP(t)]]-tblData[[#This Row],[NSW]])^2,"")</f>
        <v>657.78589216298724</v>
      </c>
      <c r="AR72" s="12">
        <f>IF(AND(tblData[Date]&gt;StartDt2NSW,ISNUMBER(tblData[Day'# Aust])),tblData[NSW LogiP(t)]/$AQ$9,"")</f>
        <v>859.71205066950142</v>
      </c>
      <c r="AS72" s="11">
        <f>IF(AND(tblData[Date]&gt;StartDt2Italy,ISNUMBER(tblData[Days'# Italy])),betaItaly/(deltaItaly+betaPodeltaItaly*EXP(-betaItaly*tblData[Days'# Italy])),"")</f>
        <v>63219.035192279764</v>
      </c>
      <c r="AT72" s="11">
        <f>IF(AND(tblData[Date]&gt;StartDt2Italy,ISNUMBER(tblData[Italy])),(tblData[[#This Row],[Italy LogiP(t)]]-tblData[[#This Row],[Italy]])^2,"")</f>
        <v>501214.16897035134</v>
      </c>
      <c r="AU72" s="41">
        <f>IF(AND(tblData[Date]&gt;StartDt2Italy,ISNUMBER(tblData[Days'# Italy])),tblData[[#This Row],[Italy LogiP(t)]]/$AT$9,"")</f>
        <v>10452.018714107591</v>
      </c>
      <c r="AV72" s="20">
        <f>IF(ISNUMBER(tblData[[#This Row],[Days'# US]]),betaUS/(deltaUS+betaPodeltaUS*EXP(-betaUS*tblData[Days'# US])),"")</f>
        <v>39794.669797755618</v>
      </c>
      <c r="AW72" s="11">
        <f>IF(AND(tblData[Date]&gt;=StartDt2US,ISNUMBER(tblData[US])),(tblData[[#This Row],[US LogiP(t)]]-tblData[US])^2,"")</f>
        <v>16421380.068021996</v>
      </c>
      <c r="AX72" s="20">
        <f>IF(ISNUMBER(tblData[[#This Row],[Days'# US]]),tblData[[#This Row],[US LogiP(t)]]/$AW$9,"")</f>
        <v>1208.7277054029225</v>
      </c>
      <c r="AY72" s="20">
        <f>IF(tblData[Date]&gt;=StartDt2Korea,betaSKorea/(deltaSKorea+betaPodeltaSKorea*EXP(-betaSKorea*(tblData[Date]-StartDt2Korea))),"")</f>
        <v>8591.1842226215849</v>
      </c>
      <c r="AZ72" s="20">
        <f>IF(AND(tblData[Date]&gt;=StartDt2Korea,ISNUMBER(tblData[SKorea])),(tblData[[#This Row],[SKorea LogiP(t)]]-tblData[[#This Row],[SKorea]])^2,"")</f>
        <v>136763.70919800145</v>
      </c>
      <c r="BA72" s="20">
        <f>IF(tblData[Date]&gt;=StartDt2Korea,tblData[[#This Row],[SKorea LogiP(t)]]/$AZ$9,"")</f>
        <v>1671.4366191870788</v>
      </c>
      <c r="BB72" s="11">
        <f>IF(ISNUMBER(tblData[Days'# UK]),betaUK/(deltaUK+betaPodeltaUK*EXP(-betaUK*tblData[Days'# UK])),"")</f>
        <v>6578.5984535943371</v>
      </c>
      <c r="BC72" s="20">
        <f>IF(ISNUMBER(tblData[UK]),(tblData[[#This Row],[UK LogiP(t)]]-tblData[[#This Row],[UK]])^2,"")</f>
        <v>21727.215882780787</v>
      </c>
      <c r="BD72" s="20">
        <f>IF(ISNUMBER(tblData[Days'# UK]),tblData[[#This Row],[UK LogiP(t)]]/$BC$9,"")</f>
        <v>990.15629945730541</v>
      </c>
      <c r="BE72" s="11">
        <f>IF(ISNUMBER(tblData[Days'# China]),betaChina/(deltaChina+betaPodeltaChina*EXP(-betaChina*tblData[Days'# China])),"")</f>
        <v>81010.504511732914</v>
      </c>
      <c r="BF72" s="11">
        <f>IF(ISNUMBER(tblData[China]),(tblData[[#This Row],[China LogiP(t)]]-tblData[[#This Row],[China]])^2,"")</f>
        <v>237651.8510807649</v>
      </c>
      <c r="BG72" s="11">
        <f>tblData[[#This Row],[China LogiP(t)]]/$BF$9</f>
        <v>562.83725637373834</v>
      </c>
      <c r="BH72" s="11">
        <f>IF(ISNUMBER(tblData[Day'# Singapore]),betaSingapore/(deltaSingapore+betaPodeltaSingapore*EXP(-betaSingapore*tblData[Day'# Singapore])),"")</f>
        <v>487.9594291170626</v>
      </c>
      <c r="BI72" s="11">
        <f>IF(AND(ISNUMBER(tblData[Singapore]),tblData[Date]&gt;=StartDt2Singapore),(tblData[[#This Row],[Singapore LogiP(t)]]-tblData[[#This Row],[Singapore]])^2,"")</f>
        <v>442.70562307991321</v>
      </c>
      <c r="BJ72" s="11">
        <f>IF(ISNUMBER(tblData[Day'# Singapore]),tblData[Singapore LogiP(t)]/$BI$9,"")</f>
        <v>834.11868225138915</v>
      </c>
      <c r="BK72" s="11">
        <f>IF(ISNUMBER(tblData[Day'# Generic]),betaGeneric/(deltaGeneric+betaPodeltaGeneric*EXP(-betaGeneric*tblData[Day'# Generic])),"")</f>
        <v>67304.755881941426</v>
      </c>
      <c r="BL72" s="11">
        <f>IF(AND(ISNUMBER(tblData[Generic]),tblData[Date]&gt;=StartDt2Generic),(tblData[Generic LogiP(t)]-tblData[[#This Row],[Generic]])^2,"")</f>
        <v>245266.7364716146</v>
      </c>
      <c r="BM72" s="11">
        <f>IF(ISNUMBER(tblData[Day'# Generic]),tblData[Generic LogiP(t)]/$BL$9,"")</f>
        <v>11505.086475545544</v>
      </c>
      <c r="BN72">
        <v>56272</v>
      </c>
      <c r="BO72" s="11"/>
      <c r="BP72" s="11">
        <f>IF(ISNUMBER(tblData[[#This Row],[Tests]]),tblData[[#This Row],[Tests]]-BP71,"")</f>
        <v>29958</v>
      </c>
      <c r="BQ72" s="11" t="str">
        <f>IF(ISNUMBER(tblData[[#This Row],[NSW Under Investigation'']]),tblData[[#This Row],[NSW Under Investigation'']]-BO71,"")</f>
        <v/>
      </c>
      <c r="BR72" s="11">
        <f>IF(tblData[[#This Row],[Date]]&gt;myData!TestsStart,tblData[[#This Row],[Date]]-myData!TestsStart,"")</f>
        <v>18</v>
      </c>
      <c r="BS72" s="11">
        <f>IF(AND(tblData[[#This Row],[NSW Test Day Number]]&gt;0,ISNUMBER(tblData[[#This Row],[NSW Test Day Number]])),betaTests/(deltaTests+betaPodeltaTests*EXP(-betaTests*tblData[[#This Row],[NSW Test Day Number]])),"")</f>
        <v>57090.835986673985</v>
      </c>
      <c r="BT72" s="11">
        <f>IF(tblData[Tests]&gt;0,(tblData[[#This Row],[Tests]]-tblData[[#This Row],[NSW Test Logi]])^2,"")</f>
        <v>670492.37307235808</v>
      </c>
      <c r="BU72" s="11">
        <f>IF(ISNUMBER(tblData[Tests]),tblData[Tests]/$BS$9/100,"")</f>
        <v>696.43564356435638</v>
      </c>
      <c r="BV72" s="124">
        <f ca="1">IF(AND(tblData[[#This Row],[NSW Test Day Number]]&gt;0,ISNUMBER(tblData[[#This Row],[NSW Test Day Number]])),TestsLogestB*TestsLogestM^tblData[[#This Row],[NSW Test Day Number]],"")</f>
        <v>57655.838016206144</v>
      </c>
      <c r="BW72" s="11">
        <f>IF(AND(tblData[[#This Row],[NSW Test Day Number]]&gt;0,ISNUMBER(tblData[Tests])),(tblData[Tests]-tblData[[#This Row],[NSW Test Per Capita]])^2,"")</f>
        <v>3088643353.5363197</v>
      </c>
      <c r="BX72" s="124"/>
      <c r="BY72" s="11"/>
      <c r="BZ72"/>
      <c r="CB72" s="25"/>
      <c r="CD72" s="25"/>
      <c r="CK72"/>
      <c r="CL72"/>
      <c r="CO72" s="25"/>
      <c r="CZ72" s="25"/>
      <c r="DA72" s="25"/>
      <c r="DC72"/>
      <c r="DD72"/>
      <c r="DG72" s="25"/>
      <c r="DH72" s="25"/>
      <c r="DV72"/>
      <c r="DW72"/>
      <c r="DX72"/>
      <c r="DY72" s="25" t="s">
        <v>58</v>
      </c>
      <c r="EA72" s="26">
        <v>43860</v>
      </c>
      <c r="EC72" s="25">
        <v>2</v>
      </c>
      <c r="ED72" s="22">
        <v>0.26238091349277259</v>
      </c>
      <c r="EE72" s="24">
        <v>6.5504048686306527E-6</v>
      </c>
      <c r="EF72" s="21">
        <v>0.44060114064329331</v>
      </c>
      <c r="EG72" s="96">
        <f>betaItaly/deltaItaly</f>
        <v>76058.397470454249</v>
      </c>
      <c r="EH72" s="21">
        <f>SQRT(SUM(tblData[Italy Sq Err])/COUNT(tblData[Italy Sq Err]))</f>
        <v>2581.4033034715762</v>
      </c>
      <c r="EI72" s="36">
        <f>(betaItaly/PoItaly)-deltaItaly</f>
        <v>0.5821652640942182</v>
      </c>
      <c r="EJ72" s="98">
        <f>deltaItaly*1000</f>
        <v>3.3859219411555138E-3</v>
      </c>
      <c r="EK72" s="26">
        <f t="array" ref="EK72">MAX(IF(ISNUMBER(tblData[Italy]),tblData[Date]))</f>
        <v>43915</v>
      </c>
      <c r="EL72" s="26" t="str">
        <f>Cengnotation(EG72,3)</f>
        <v>76.1 k</v>
      </c>
      <c r="EM72" s="26"/>
      <c r="EN72" s="98"/>
      <c r="EO72" s="19"/>
      <c r="EQ72" s="25"/>
      <c r="ER72" s="18"/>
      <c r="ES72" s="25"/>
      <c r="ET72" s="25"/>
      <c r="EU72" s="25"/>
      <c r="EV72" s="25"/>
      <c r="EW72" s="25"/>
      <c r="EX72" s="82"/>
      <c r="EY72" s="25"/>
      <c r="EZ72" s="82"/>
      <c r="FC72" s="25"/>
    </row>
    <row r="73" spans="2:194" x14ac:dyDescent="0.25">
      <c r="B73" s="1">
        <f t="shared" si="8"/>
        <v>43914</v>
      </c>
      <c r="D73" s="25">
        <v>39</v>
      </c>
      <c r="E73">
        <v>818</v>
      </c>
      <c r="F73">
        <v>6</v>
      </c>
      <c r="G73">
        <v>397</v>
      </c>
      <c r="H73">
        <v>170</v>
      </c>
      <c r="I73">
        <v>28</v>
      </c>
      <c r="J73">
        <v>411</v>
      </c>
      <c r="K73">
        <v>175</v>
      </c>
      <c r="L73" s="12">
        <f>IF(ISNUMBER(tblData[[#This Row],[NSW]]),tblData[[#This Row],[New South Wales]]/$L$9,"")</f>
        <v>1012.3762376237623</v>
      </c>
      <c r="M73" s="25">
        <v>69176</v>
      </c>
      <c r="N73" s="124">
        <f>IF(ISNUMBER(tblData[Italy]),tblData[Italy]/$N$9,"")</f>
        <v>11436.885178143342</v>
      </c>
      <c r="O73">
        <v>53740</v>
      </c>
      <c r="P73" s="124">
        <f>IF(ISNUMBER(tblData[US]),tblData[US]/$P$9,"")</f>
        <v>1632.3047086073968</v>
      </c>
      <c r="Q73">
        <v>9037</v>
      </c>
      <c r="R73" s="124">
        <f>IF(ISNUMBER(tblData[SKorea]),tblData[SKorea]/$R$9,"")</f>
        <v>1758.1712062256811</v>
      </c>
      <c r="S73">
        <v>8164</v>
      </c>
      <c r="T73" s="124">
        <f>IF(ISNUMBER(tblData[UK]),tblData[UK]/$T$9,"")</f>
        <v>1228.7778446718844</v>
      </c>
      <c r="U73">
        <v>81591</v>
      </c>
      <c r="V73" s="20">
        <f>IF(ISNUMBER(tblData[China]),tblData[China]/$V$9,"")</f>
        <v>566.87036899194527</v>
      </c>
      <c r="W73">
        <v>558</v>
      </c>
      <c r="X73" s="124">
        <f>IF(ISNUMBER(tblData[Singapore]),tblData[Singapore]/$X$9,"")</f>
        <v>953.84615384615392</v>
      </c>
      <c r="Y73">
        <v>67801</v>
      </c>
      <c r="Z73" s="20">
        <f>IF(AND(LEN(tblData[Generic])&gt;0,ISNUMBER(tblData[Generic])),tblData[Generic]/$Z$9,"")</f>
        <v>11589.914529914531</v>
      </c>
      <c r="AA73" s="25">
        <f>IF(tblData[[#This Row],[Date]]&lt;ItalyStart,"",tblData[[#This Row],[Date]]-ItalyStart)</f>
        <v>54</v>
      </c>
      <c r="AB73" s="25">
        <f>IF(tblData[[#This Row],[Date]]&lt;USStart,"",tblData[[#This Row],[Date]]-USStart)</f>
        <v>62</v>
      </c>
      <c r="AC73" s="25">
        <f>IF(tblData[[#This Row],[Date]]&lt;ChinaStart,"",tblData[[#This Row],[Date]]-ChinaStart)</f>
        <v>62</v>
      </c>
      <c r="AD73" s="25">
        <f>IF(tblData[[#This Row],[Date]]&lt;StartDt2Korea,"",tblData[[#This Row],[Date]]-StartDt2Korea)</f>
        <v>34</v>
      </c>
      <c r="AE73" s="25">
        <f>IF(tblData[[#This Row],[Date]]&lt;UKStart,"",tblData[[#This Row],[Date]]-UKStart)</f>
        <v>54</v>
      </c>
      <c r="AF73" s="25">
        <f>IF(tblData[[#This Row],[Date]]&lt;SingaporeStart,"",tblData[[#This Row],[Date]]-SingaporeStart)</f>
        <v>61</v>
      </c>
      <c r="AG73" s="25">
        <f>IF(tblData[[#This Row],[Date]]&lt;GenStart,"",tblData[[#This Row],[Date]]-GenStart)</f>
        <v>62</v>
      </c>
      <c r="AH73">
        <f>IF(tblData[Date]&gt;=StartDt2Au,tblData[Date]-StartDt2Au,"")</f>
        <v>59</v>
      </c>
      <c r="AI73" s="25">
        <f>IF(tblData[New South Wales]&gt;0,SUM(tblData[[#This Row],[Australian Capital Territory]:[Western Australia]]),"")</f>
        <v>2044</v>
      </c>
      <c r="AJ73" s="12">
        <f>IF(ISNUMBER(tblData[Au]),tblData[Au]/$AE$9,"")</f>
        <v>805.86658255795612</v>
      </c>
      <c r="AK73" s="19">
        <f>IF(ISNUMBER(tblData[[#This Row],[Day'# Aust]]),betaAu/(deltaAu+betaPodeltaAu*EXP(-betaAu*tblData[[#This Row],[Day'# Aust]])),"")</f>
        <v>2034.8153450298425</v>
      </c>
      <c r="AL73" s="66">
        <f>IF(ISNUMBER(tblData[Day'# Aust]),tblData[Au LogiP(t)]/$AJ$9,"")</f>
        <v>802.24544434231291</v>
      </c>
      <c r="AM73" s="11">
        <f>IF(AND(tblData[Date]&gt;=StartDt2Au,ISNUMBER(tblData[NSW])),(tblData[[#This Row],[Au LogiP(t)]]-tblData[[#This Row],[Au]])^2,"")</f>
        <v>84.357886920838013</v>
      </c>
      <c r="AN73">
        <f>IF(tblData[Date]&gt;StartDt2NSW,tblData[Date]-StartDt2NSW,"")</f>
        <v>59</v>
      </c>
      <c r="AO73">
        <f t="shared" si="7"/>
        <v>818</v>
      </c>
      <c r="AP73" s="11">
        <f>IF(tblData[Date]&gt;StartDt2NSW,betaNSW/(deltaNSW+betaPodeltaNSW*EXP(-betaNSW*tblData[[#This Row],[Day '# NSW]])),"")</f>
        <v>841.6117375135251</v>
      </c>
      <c r="AQ73" s="12">
        <f>IF(AND(ISNUMBER(tblData[NSW]),tblData[Date]&gt;StartDt2NSW),(tblData[[#This Row],[NSW LogiP(t)]]-tblData[[#This Row],[NSW]])^2,"")</f>
        <v>557.51414840760845</v>
      </c>
      <c r="AR73" s="12">
        <f>IF(AND(tblData[Date]&gt;StartDt2NSW,ISNUMBER(tblData[Day'# Aust])),tblData[NSW LogiP(t)]/$AQ$9,"")</f>
        <v>1041.5986850414913</v>
      </c>
      <c r="AS73" s="11">
        <f>IF(AND(tblData[Date]&gt;StartDt2Italy,ISNUMBER(tblData[Days'# Italy])),betaItaly/(deltaItaly+betaPodeltaItaly*EXP(-betaItaly*tblData[Days'# Italy])),"")</f>
        <v>65738.559639279818</v>
      </c>
      <c r="AT73" s="11">
        <f>IF(AND(tblData[Date]&gt;StartDt2Italy,ISNUMBER(tblData[Italy])),(tblData[[#This Row],[Italy LogiP(t)]]-tblData[[#This Row],[Italy]])^2,"")</f>
        <v>11815996.233508095</v>
      </c>
      <c r="AU73" s="41">
        <f>IF(AND(tblData[Date]&gt;StartDt2Italy,ISNUMBER(tblData[Days'# Italy])),tblData[[#This Row],[Italy LogiP(t)]]/$AT$9,"")</f>
        <v>10868.572313677741</v>
      </c>
      <c r="AV73" s="20">
        <f>IF(ISNUMBER(tblData[[#This Row],[Days'# US]]),betaUS/(deltaUS+betaPodeltaUS*EXP(-betaUS*tblData[Days'# US])),"")</f>
        <v>49175.484206503599</v>
      </c>
      <c r="AW73" s="11">
        <f>IF(AND(tblData[Date]&gt;=StartDt2US,ISNUMBER(tblData[US])),(tblData[[#This Row],[US LogiP(t)]]-tblData[US])^2,"")</f>
        <v>20834804.42907808</v>
      </c>
      <c r="AX73" s="20">
        <f>IF(ISNUMBER(tblData[[#This Row],[Days'# US]]),tblData[[#This Row],[US LogiP(t)]]/$AW$9,"")</f>
        <v>1493.6616006387142</v>
      </c>
      <c r="AY73" s="20">
        <f>IF(tblData[Date]&gt;=StartDt2Korea,betaSKorea/(deltaSKorea+betaPodeltaSKorea*EXP(-betaSKorea*(tblData[Date]-StartDt2Korea))),"")</f>
        <v>8595.423917152626</v>
      </c>
      <c r="AZ73" s="20">
        <f>IF(AND(tblData[Date]&gt;=StartDt2Korea,ISNUMBER(tblData[SKorea])),(tblData[[#This Row],[SKorea LogiP(t)]]-tblData[[#This Row],[SKorea]])^2,"")</f>
        <v>194989.43694283089</v>
      </c>
      <c r="BA73" s="20">
        <f>IF(tblData[Date]&gt;=StartDt2Korea,tblData[[#This Row],[SKorea LogiP(t)]]/$AZ$9,"")</f>
        <v>1672.2614624810558</v>
      </c>
      <c r="BB73" s="11">
        <f>IF(ISNUMBER(tblData[Days'# UK]),betaUK/(deltaUK+betaPodeltaUK*EXP(-betaUK*tblData[Days'# UK])),"")</f>
        <v>7723.1078012818916</v>
      </c>
      <c r="BC73" s="20">
        <f>IF(ISNUMBER(tblData[UK]),(tblData[[#This Row],[UK LogiP(t)]]-tblData[[#This Row],[UK]])^2,"")</f>
        <v>194385.93089048797</v>
      </c>
      <c r="BD73" s="20">
        <f>IF(ISNUMBER(tblData[Days'# UK]),tblData[[#This Row],[UK LogiP(t)]]/$BC$9,"")</f>
        <v>1162.4183927275574</v>
      </c>
      <c r="BE73" s="11">
        <f>IF(ISNUMBER(tblData[Days'# China]),betaChina/(deltaChina+betaPodeltaChina*EXP(-betaChina*tblData[Days'# China])),"")</f>
        <v>81011.591419208868</v>
      </c>
      <c r="BF73" s="11">
        <f>IF(ISNUMBER(tblData[China]),(tblData[[#This Row],[China LogiP(t)]]-tblData[[#This Row],[China]])^2,"")</f>
        <v>335714.30349439423</v>
      </c>
      <c r="BG73" s="11">
        <f>tblData[[#This Row],[China LogiP(t)]]/$BF$9</f>
        <v>562.84480788851272</v>
      </c>
      <c r="BH73" s="11">
        <f>IF(ISNUMBER(tblData[Day'# Singapore]),betaSingapore/(deltaSingapore+betaPodeltaSingapore*EXP(-betaSingapore*tblData[Day'# Singapore])),"")</f>
        <v>525.68896478466741</v>
      </c>
      <c r="BI73" s="11">
        <f>IF(AND(ISNUMBER(tblData[Singapore]),tblData[Date]&gt;=StartDt2Singapore),(tblData[[#This Row],[Singapore LogiP(t)]]-tblData[[#This Row],[Singapore]])^2,"")</f>
        <v>1044.0029966864631</v>
      </c>
      <c r="BJ73" s="11">
        <f>IF(ISNUMBER(tblData[Day'# Singapore]),tblData[Singapore LogiP(t)]/$BI$9,"")</f>
        <v>898.6136150165255</v>
      </c>
      <c r="BK73" s="11">
        <f>IF(ISNUMBER(tblData[Day'# Generic]),betaGeneric/(deltaGeneric+betaPodeltaGeneric*EXP(-betaGeneric*tblData[Day'# Generic])),"")</f>
        <v>67305.612745356513</v>
      </c>
      <c r="BL73" s="11">
        <f>IF(AND(ISNUMBER(tblData[Generic]),tblData[Date]&gt;=StartDt2Generic),(tblData[Generic LogiP(t)]-tblData[[#This Row],[Generic]])^2,"")</f>
        <v>245408.53206321085</v>
      </c>
      <c r="BM73" s="11">
        <f>IF(ISNUMBER(tblData[Day'# Generic]),tblData[Generic LogiP(t)]/$BL$9,"")</f>
        <v>11505.232947924191</v>
      </c>
      <c r="BN73">
        <v>61030</v>
      </c>
      <c r="BO73" s="11"/>
      <c r="BP73" s="11">
        <f>IF(ISNUMBER(tblData[[#This Row],[Tests]]),tblData[[#This Row],[Tests]]-BP72,"")</f>
        <v>31072</v>
      </c>
      <c r="BQ73" s="11" t="str">
        <f>IF(ISNUMBER(tblData[[#This Row],[NSW Under Investigation'']]),tblData[[#This Row],[NSW Under Investigation'']]-BO72,"")</f>
        <v/>
      </c>
      <c r="BR73" s="11">
        <f>IF(tblData[[#This Row],[Date]]&gt;myData!TestsStart,tblData[[#This Row],[Date]]-myData!TestsStart,"")</f>
        <v>19</v>
      </c>
      <c r="BS73" s="11">
        <f>IF(AND(tblData[[#This Row],[NSW Test Day Number]]&gt;0,ISNUMBER(tblData[[#This Row],[NSW Test Day Number]])),betaTests/(deltaTests+betaPodeltaTests*EXP(-betaTests*tblData[[#This Row],[NSW Test Day Number]])),"")</f>
        <v>62459.883242217576</v>
      </c>
      <c r="BT73" s="11">
        <f>IF(tblData[Tests]&gt;0,(tblData[[#This Row],[Tests]]-tblData[[#This Row],[NSW Test Logi]])^2,"")</f>
        <v>2044566.0863746484</v>
      </c>
      <c r="BU73" s="11">
        <f>IF(ISNUMBER(tblData[Tests]),tblData[Tests]/$BS$9/100,"")</f>
        <v>755.32178217821786</v>
      </c>
      <c r="BV73" s="124">
        <f ca="1">IF(AND(tblData[[#This Row],[NSW Test Day Number]]&gt;0,ISNUMBER(tblData[[#This Row],[NSW Test Day Number]])),TestsLogestB*TestsLogestM^tblData[[#This Row],[NSW Test Day Number]],"")</f>
        <v>65995.810838954887</v>
      </c>
      <c r="BW73" s="11">
        <f>IF(AND(tblData[[#This Row],[NSW Test Day Number]]&gt;0,ISNUMBER(tblData[Tests])),(tblData[Tests]-tblData[[#This Row],[NSW Test Per Capita]])^2,"")</f>
        <v>3633036834.2619596</v>
      </c>
      <c r="BX73" s="124"/>
      <c r="BY73" s="11"/>
      <c r="BZ73"/>
      <c r="CB73" s="25"/>
      <c r="CD73" s="25"/>
      <c r="CK73"/>
      <c r="CL73"/>
      <c r="CO73" s="25"/>
      <c r="CZ73" s="25"/>
      <c r="DA73" s="25"/>
      <c r="DC73"/>
      <c r="DD73"/>
      <c r="DG73" s="25"/>
      <c r="DH73" s="25"/>
      <c r="DV73"/>
      <c r="DW73"/>
      <c r="DX73"/>
      <c r="DY73" s="25" t="s">
        <v>209</v>
      </c>
      <c r="EA73" s="26">
        <v>43852</v>
      </c>
      <c r="EC73" s="25">
        <v>3</v>
      </c>
      <c r="ED73" s="22">
        <v>0.23690262188948924</v>
      </c>
      <c r="EE73" s="24">
        <v>1.0000000000010001E-8</v>
      </c>
      <c r="EF73" s="21">
        <v>1</v>
      </c>
      <c r="EG73" s="96">
        <v>23690262.188925233</v>
      </c>
      <c r="EH73" s="19">
        <v>70.768652159383493</v>
      </c>
      <c r="EI73" s="36">
        <v>0.23690261188948925</v>
      </c>
      <c r="EJ73" s="98">
        <v>1.0000000000010001E-5</v>
      </c>
      <c r="EK73" s="26">
        <v>43904</v>
      </c>
      <c r="EL73" s="26" t="s">
        <v>216</v>
      </c>
      <c r="EM73" s="26"/>
      <c r="EN73" s="98"/>
      <c r="EO73" s="19"/>
      <c r="EQ73" s="25"/>
      <c r="ER73" s="18"/>
      <c r="ES73" s="25"/>
      <c r="ET73" s="25"/>
      <c r="EU73" s="25"/>
      <c r="EV73" s="25"/>
      <c r="EW73" s="25"/>
      <c r="EX73" s="82"/>
      <c r="EY73" s="25"/>
      <c r="EZ73" s="82"/>
      <c r="FB73" s="25"/>
      <c r="FC73" s="25"/>
      <c r="FD73" s="25"/>
    </row>
    <row r="74" spans="2:194" x14ac:dyDescent="0.25">
      <c r="B74" s="1">
        <f t="shared" si="8"/>
        <v>43915</v>
      </c>
      <c r="D74" s="25">
        <v>44</v>
      </c>
      <c r="E74">
        <v>1029</v>
      </c>
      <c r="F74">
        <v>5</v>
      </c>
      <c r="G74">
        <v>443</v>
      </c>
      <c r="H74">
        <v>197</v>
      </c>
      <c r="I74">
        <v>42</v>
      </c>
      <c r="J74">
        <v>466</v>
      </c>
      <c r="K74">
        <v>205</v>
      </c>
      <c r="L74" s="12">
        <f>IF(ISNUMBER(tblData[[#This Row],[NSW]]),tblData[[#This Row],[New South Wales]]/$L$9,"")</f>
        <v>1273.5148514851485</v>
      </c>
      <c r="M74" s="25">
        <v>74386</v>
      </c>
      <c r="N74" s="46">
        <f>IF(ISNUMBER(tblData[Italy]),tblData[Italy]/$N$9,"")</f>
        <v>12298.255765892371</v>
      </c>
      <c r="O74">
        <v>54916</v>
      </c>
      <c r="P74" s="124">
        <f>IF(ISNUMBER(tblData[US]),tblData[US]/$P$9,"")</f>
        <v>1668.0246627816116</v>
      </c>
      <c r="Q74">
        <v>9137</v>
      </c>
      <c r="R74" s="124">
        <f>IF(ISNUMBER(tblData[SKorea]),tblData[SKorea]/$R$9,"")</f>
        <v>1777.626459143969</v>
      </c>
      <c r="S74">
        <v>8365</v>
      </c>
      <c r="T74" s="12">
        <f>IF(ISNUMBER(tblData[UK]),tblData[UK]/$T$9,"")</f>
        <v>1259.0307043949429</v>
      </c>
      <c r="U74">
        <v>81661</v>
      </c>
      <c r="V74" s="20">
        <f>IF(ISNUMBER(tblData[China]),tblData[China]/$V$9,"")</f>
        <v>567.35670848808377</v>
      </c>
      <c r="W74">
        <v>631</v>
      </c>
      <c r="X74" s="20">
        <f>IF(ISNUMBER(tblData[Singapore]),tblData[Singapore]/$X$9,"")</f>
        <v>1078.6324786324788</v>
      </c>
      <c r="Y74"/>
      <c r="Z74" s="20" t="str">
        <f>IF(AND(LEN(tblData[Generic])&gt;0,ISNUMBER(tblData[Generic])),tblData[Generic]/$Z$9,"")</f>
        <v/>
      </c>
      <c r="AA74" s="25">
        <f>IF(tblData[[#This Row],[Date]]&lt;ItalyStart,"",tblData[[#This Row],[Date]]-ItalyStart)</f>
        <v>55</v>
      </c>
      <c r="AB74" s="25">
        <f>IF(tblData[[#This Row],[Date]]&lt;USStart,"",tblData[[#This Row],[Date]]-USStart)</f>
        <v>63</v>
      </c>
      <c r="AC74" s="25">
        <f>IF(tblData[[#This Row],[Date]]&lt;ChinaStart,"",tblData[[#This Row],[Date]]-ChinaStart)</f>
        <v>63</v>
      </c>
      <c r="AD74" s="25">
        <f>IF(tblData[[#This Row],[Date]]&lt;StartDt2Korea,"",tblData[[#This Row],[Date]]-StartDt2Korea)</f>
        <v>35</v>
      </c>
      <c r="AE74" s="25">
        <f>IF(tblData[[#This Row],[Date]]&lt;UKStart,"",tblData[[#This Row],[Date]]-UKStart)</f>
        <v>55</v>
      </c>
      <c r="AF74" s="25">
        <f>IF(tblData[[#This Row],[Date]]&lt;SingaporeStart,"",tblData[[#This Row],[Date]]-SingaporeStart)</f>
        <v>62</v>
      </c>
      <c r="AG74" s="25">
        <f>IF(tblData[[#This Row],[Date]]&lt;GenStart,"",tblData[[#This Row],[Date]]-GenStart)</f>
        <v>63</v>
      </c>
      <c r="AH74">
        <f>IF(tblData[Date]&gt;=StartDt2Au,tblData[Date]-StartDt2Au,"")</f>
        <v>60</v>
      </c>
      <c r="AI74" s="25">
        <f>IF(tblData[New South Wales]&gt;0,SUM(tblData[[#This Row],[Australian Capital Territory]:[Western Australia]]),"")</f>
        <v>2431</v>
      </c>
      <c r="AJ74" s="12">
        <f>IF(ISNUMBER(tblData[Au]),tblData[Au]/$AE$9,"")</f>
        <v>958.44504021447722</v>
      </c>
      <c r="AK74" s="19">
        <f>IF(ISNUMBER(tblData[[#This Row],[Day'# Aust]]),betaAu/(deltaAu+betaPodeltaAu*EXP(-betaAu*tblData[[#This Row],[Day'# Aust]])),"")</f>
        <v>2417.5959991978434</v>
      </c>
      <c r="AL74" s="66">
        <f>IF(ISNUMBER(tblData[Day'# Aust]),tblData[Au LogiP(t)]/$AJ$9,"")</f>
        <v>953.16038448109271</v>
      </c>
      <c r="AM74" s="11">
        <f>IF(AND(tblData[Date]&gt;=StartDt2Au,ISNUMBER(tblData[NSW])),(tblData[[#This Row],[Au LogiP(t)]]-tblData[[#This Row],[Au]])^2,"")</f>
        <v>179.66723750421446</v>
      </c>
      <c r="AN74">
        <f>IF(tblData[Date]&gt;StartDt2NSW,tblData[Date]-StartDt2NSW,"")</f>
        <v>60</v>
      </c>
      <c r="AO74" s="25">
        <f t="shared" si="7"/>
        <v>1029</v>
      </c>
      <c r="AP74" s="11">
        <f>IF(tblData[Date]&gt;StartDt2NSW,betaNSW/(deltaNSW+betaPodeltaNSW*EXP(-betaNSW*tblData[[#This Row],[Day '# NSW]])),"")</f>
        <v>1016.1211128817506</v>
      </c>
      <c r="AQ74" s="12">
        <f>IF(AND(ISNUMBER(tblData[NSW]),tblData[Date]&gt;StartDt2NSW),(tblData[[#This Row],[NSW LogiP(t)]]-tblData[[#This Row],[NSW]])^2,"")</f>
        <v>165.86573340461021</v>
      </c>
      <c r="AR74" s="12">
        <f>IF(AND(tblData[Date]&gt;StartDt2NSW,ISNUMBER(tblData[Day'# Aust])),tblData[NSW LogiP(t)]/$AQ$9,"")</f>
        <v>1257.5756347546417</v>
      </c>
      <c r="AS74" s="11">
        <f>IF(AND(tblData[Date]&gt;StartDt2Italy,ISNUMBER(tblData[Days'# Italy])),betaItaly/(deltaItaly+betaPodeltaItaly*EXP(-betaItaly*tblData[Days'# Italy])),"")</f>
        <v>67828.033973833837</v>
      </c>
      <c r="AT74" s="11">
        <f>IF(AND(tblData[Date]&gt;StartDt2Italy,ISNUMBER(tblData[Italy])),(tblData[[#This Row],[Italy LogiP(t)]]-tblData[[#This Row],[Italy]])^2,"")</f>
        <v>43006918.400349617</v>
      </c>
      <c r="AU74" s="41">
        <f>IF(AND(tblData[Date]&gt;StartDt2Italy,ISNUMBER(tblData[Days'# Italy])),tblData[[#This Row],[Italy LogiP(t)]]/$AT$9,"")</f>
        <v>11214.025621862253</v>
      </c>
      <c r="AV74" s="20">
        <f>IF(ISNUMBER(tblData[[#This Row],[Days'# US]]),betaUS/(deltaUS+betaPodeltaUS*EXP(-betaUS*tblData[Days'# US])),"")</f>
        <v>59870.497305398385</v>
      </c>
      <c r="AW74" s="11">
        <f>IF(AND(tblData[Date]&gt;=StartDt2US,ISNUMBER(tblData[US])),(tblData[[#This Row],[US LogiP(t)]]-tblData[US])^2,"")</f>
        <v>24547043.549199857</v>
      </c>
      <c r="AX74" s="20">
        <f>IF(ISNUMBER(tblData[[#This Row],[Days'# US]]),tblData[[#This Row],[US LogiP(t)]]/$AW$9,"")</f>
        <v>1818.5131123607787</v>
      </c>
      <c r="AY74" s="20">
        <f>IF(tblData[Date]&gt;=StartDt2Korea,betaSKorea/(deltaSKorea+betaPodeltaSKorea*EXP(-betaSKorea*(tblData[Date]-StartDt2Korea))),"")</f>
        <v>8598.5668395027496</v>
      </c>
      <c r="AZ74" s="20">
        <f>IF(AND(tblData[Date]&gt;=StartDt2Korea,ISNUMBER(tblData[SKorea])),(tblData[[#This Row],[SKorea LogiP(t)]]-tblData[[#This Row],[SKorea]])^2,"")</f>
        <v>289910.26832305774</v>
      </c>
      <c r="BA74" s="20">
        <f>IF(tblData[Date]&gt;=StartDt2Korea,tblData[[#This Row],[SKorea LogiP(t)]]/$AZ$9,"")</f>
        <v>1672.8729259732977</v>
      </c>
      <c r="BB74" s="11">
        <f>IF(ISNUMBER(tblData[Days'# UK]),betaUK/(deltaUK+betaPodeltaUK*EXP(-betaUK*tblData[Days'# UK])),"")</f>
        <v>8951.3679251404228</v>
      </c>
      <c r="BC74" s="20">
        <f>IF(ISNUMBER(tblData[UK]),(tblData[[#This Row],[UK LogiP(t)]]-tblData[[#This Row],[UK]])^2,"")</f>
        <v>343827.3436334845</v>
      </c>
      <c r="BD74" s="20">
        <f>IF(ISNUMBER(tblData[Days'# UK]),tblData[[#This Row],[UK LogiP(t)]]/$BC$9,"")</f>
        <v>1347.2859610385947</v>
      </c>
      <c r="BE74" s="11">
        <f>IF(ISNUMBER(tblData[Days'# China]),betaChina/(deltaChina+betaPodeltaChina*EXP(-betaChina*tblData[Days'# China])),"")</f>
        <v>81012.461836662143</v>
      </c>
      <c r="BF74" s="11">
        <f>IF(ISNUMBER(tblData[China]),(tblData[[#This Row],[China LogiP(t)]]-tblData[[#This Row],[China]])^2,"")</f>
        <v>420601.74930564029</v>
      </c>
      <c r="BG74" s="11">
        <f>tblData[[#This Row],[China LogiP(t)]]/$BF$9</f>
        <v>562.85085529402204</v>
      </c>
      <c r="BH74" s="11">
        <f>IF(ISNUMBER(tblData[Day'# Singapore]),betaSingapore/(deltaSingapore+betaPodeltaSingapore*EXP(-betaSingapore*tblData[Day'# Singapore])),"")</f>
        <v>566.33578776331865</v>
      </c>
      <c r="BI74" s="11">
        <f>IF(AND(ISNUMBER(tblData[Singapore]),tblData[Date]&gt;=StartDt2Singapore),(tblData[[#This Row],[Singapore LogiP(t)]]-tblData[[#This Row],[Singapore]])^2,"")</f>
        <v>4181.4603441905701</v>
      </c>
      <c r="BJ74" s="11">
        <f>IF(ISNUMBER(tblData[Day'# Singapore]),tblData[Singapore LogiP(t)]/$BI$9,"")</f>
        <v>968.0953636979807</v>
      </c>
      <c r="BK74" s="11">
        <f>IF(ISNUMBER(tblData[Day'# Generic]),betaGeneric/(deltaGeneric+betaPodeltaGeneric*EXP(-betaGeneric*tblData[Day'# Generic])),"")</f>
        <v>67306.300576739552</v>
      </c>
      <c r="BL74" s="11" t="str">
        <f>IF(AND(ISNUMBER(tblData[Generic]),tblData[Date]&gt;=StartDt2Generic),(tblData[Generic LogiP(t)]-tblData[[#This Row],[Generic]])^2,"")</f>
        <v/>
      </c>
      <c r="BM74" s="11">
        <f>IF(ISNUMBER(tblData[Day'# Generic]),tblData[Generic LogiP(t)]/$BL$9,"")</f>
        <v>11505.350525938386</v>
      </c>
      <c r="BN74">
        <v>67148</v>
      </c>
      <c r="BO74" s="11"/>
      <c r="BP74" s="11">
        <f>IF(ISNUMBER(tblData[[#This Row],[Tests]]),tblData[[#This Row],[Tests]]-BP73,"")</f>
        <v>36076</v>
      </c>
      <c r="BQ74" s="11" t="str">
        <f>IF(ISNUMBER(tblData[[#This Row],[NSW Under Investigation'']]),tblData[[#This Row],[NSW Under Investigation'']]-BO73,"")</f>
        <v/>
      </c>
      <c r="BR74" s="11">
        <f>IF(tblData[[#This Row],[Date]]&gt;myData!TestsStart,tblData[[#This Row],[Date]]-myData!TestsStart,"")</f>
        <v>20</v>
      </c>
      <c r="BS74" s="11">
        <f>IF(AND(tblData[[#This Row],[NSW Test Day Number]]&gt;0,ISNUMBER(tblData[[#This Row],[NSW Test Day Number]])),betaTests/(deltaTests+betaPodeltaTests*EXP(-betaTests*tblData[[#This Row],[NSW Test Day Number]])),"")</f>
        <v>67656.74700952055</v>
      </c>
      <c r="BT74" s="11">
        <f>IF(tblData[Tests]&gt;0,(tblData[[#This Row],[Tests]]-tblData[[#This Row],[NSW Test Logi]])^2,"")</f>
        <v>258823.51969610251</v>
      </c>
      <c r="BU74" s="11">
        <f>IF(ISNUMBER(tblData[Tests]),tblData[Tests]/$BS$9/100,"")</f>
        <v>831.03960396039611</v>
      </c>
      <c r="BV74" s="124">
        <f ca="1">IF(AND(tblData[[#This Row],[NSW Test Day Number]]&gt;0,ISNUMBER(tblData[[#This Row],[NSW Test Day Number]])),TestsLogestB*TestsLogestM^tblData[[#This Row],[NSW Test Day Number]],"")</f>
        <v>75542.168809806724</v>
      </c>
      <c r="BW74" s="11">
        <f>IF(AND(tblData[[#This Row],[NSW Test Day Number]]&gt;0,ISNUMBER(tblData[Tests])),(tblData[Tests]-tblData[[#This Row],[NSW Test Per Capita]])^2,"")</f>
        <v>4397939236.1698856</v>
      </c>
      <c r="BX74" s="124"/>
      <c r="BY74" s="11"/>
      <c r="BZ74"/>
      <c r="CB74" s="25"/>
      <c r="CD74" s="25"/>
      <c r="CK74"/>
      <c r="CL74"/>
      <c r="CO74" s="25"/>
      <c r="CZ74" s="25"/>
      <c r="DA74" s="25"/>
      <c r="DC74"/>
      <c r="DD74"/>
      <c r="DG74" s="25"/>
      <c r="DH74" s="25"/>
      <c r="DV74"/>
      <c r="DW74"/>
      <c r="DX74"/>
      <c r="DY74" s="25" t="s">
        <v>209</v>
      </c>
      <c r="EA74" s="26">
        <v>43852</v>
      </c>
      <c r="EC74" s="25">
        <v>3</v>
      </c>
      <c r="ED74" s="22">
        <v>0.32325497596799352</v>
      </c>
      <c r="EE74" s="24">
        <v>3.2192747767709561E-5</v>
      </c>
      <c r="EF74" s="21">
        <v>8.8068098227311528E-2</v>
      </c>
      <c r="EG74" s="96">
        <v>10041.235942345667</v>
      </c>
      <c r="EH74" s="21">
        <v>0</v>
      </c>
      <c r="EI74" s="36">
        <v>3.6704794053753567</v>
      </c>
      <c r="EJ74" s="98">
        <v>3.2192747767709563E-2</v>
      </c>
      <c r="EK74" s="26">
        <v>43905</v>
      </c>
      <c r="EL74" s="26" t="s">
        <v>491</v>
      </c>
      <c r="EM74" s="26"/>
      <c r="EN74" s="98"/>
      <c r="EO74" s="19"/>
      <c r="EQ74" s="25"/>
      <c r="ER74" s="18"/>
      <c r="ES74" s="25"/>
      <c r="ET74" s="25"/>
      <c r="EU74" s="25"/>
      <c r="EV74" s="25"/>
      <c r="EW74" s="25"/>
      <c r="EX74" s="82"/>
      <c r="EY74" s="25"/>
      <c r="EZ74" s="82"/>
      <c r="FB74" s="25"/>
      <c r="FC74" s="25"/>
    </row>
    <row r="75" spans="2:194" x14ac:dyDescent="0.25">
      <c r="B75" s="1">
        <f t="shared" si="8"/>
        <v>43916</v>
      </c>
      <c r="D75" s="25">
        <v>53</v>
      </c>
      <c r="E75">
        <v>1219</v>
      </c>
      <c r="F75">
        <v>8</v>
      </c>
      <c r="G75">
        <v>493</v>
      </c>
      <c r="H75">
        <v>235</v>
      </c>
      <c r="I75">
        <v>47</v>
      </c>
      <c r="J75">
        <v>520</v>
      </c>
      <c r="K75">
        <v>231</v>
      </c>
      <c r="L75" s="12">
        <f>IF(ISNUMBER(tblData[[#This Row],[NSW]]),tblData[[#This Row],[New South Wales]]/$L$9,"")</f>
        <v>1508.6633663366335</v>
      </c>
      <c r="M75" s="25"/>
      <c r="N75" s="46" t="str">
        <f>IF(ISNUMBER(tblData[Italy]),tblData[Italy]/$N$9,"")</f>
        <v/>
      </c>
      <c r="O75" s="25"/>
      <c r="P75" s="124" t="str">
        <f>IF(ISNUMBER(tblData[US]),tblData[US]/$P$9,"")</f>
        <v/>
      </c>
      <c r="Q75" s="46"/>
      <c r="R75" s="19" t="str">
        <f>IF(ISNUMBER(tblData[SKorea]),tblData[SKorea]/$R$9,"")</f>
        <v/>
      </c>
      <c r="S75" s="46"/>
      <c r="T75" s="12" t="str">
        <f>IF(ISNUMBER(tblData[UK]),tblData[UK]/$T$9,"")</f>
        <v/>
      </c>
      <c r="U75" s="25"/>
      <c r="V75" s="20" t="str">
        <f>IF(ISNUMBER(tblData[China]),tblData[China]/$V$9,"")</f>
        <v/>
      </c>
      <c r="W75" s="20"/>
      <c r="X75" s="20" t="str">
        <f>IF(ISNUMBER(tblData[Singapore]),tblData[Singapore]/$X$9,"")</f>
        <v/>
      </c>
      <c r="Y75" s="20"/>
      <c r="Z75" s="20" t="str">
        <f>IF(AND(LEN(tblData[Generic])&gt;0,ISNUMBER(tblData[Generic])),tblData[Generic]/$Z$9,"")</f>
        <v/>
      </c>
      <c r="AA75" s="25">
        <f>IF(tblData[[#This Row],[Date]]&lt;ItalyStart,"",tblData[[#This Row],[Date]]-ItalyStart)</f>
        <v>56</v>
      </c>
      <c r="AB75" s="25">
        <f>IF(tblData[[#This Row],[Date]]&lt;USStart,"",tblData[[#This Row],[Date]]-USStart)</f>
        <v>64</v>
      </c>
      <c r="AC75" s="25">
        <f>IF(tblData[[#This Row],[Date]]&lt;ChinaStart,"",tblData[[#This Row],[Date]]-ChinaStart)</f>
        <v>64</v>
      </c>
      <c r="AD75" s="25">
        <f>IF(tblData[[#This Row],[Date]]&lt;StartDt2Korea,"",tblData[[#This Row],[Date]]-StartDt2Korea)</f>
        <v>36</v>
      </c>
      <c r="AE75" s="25">
        <f>IF(tblData[[#This Row],[Date]]&lt;UKStart,"",tblData[[#This Row],[Date]]-UKStart)</f>
        <v>56</v>
      </c>
      <c r="AF75" s="25">
        <f>IF(tblData[[#This Row],[Date]]&lt;SingaporeStart,"",tblData[[#This Row],[Date]]-SingaporeStart)</f>
        <v>63</v>
      </c>
      <c r="AG75" s="25">
        <f>IF(tblData[[#This Row],[Date]]&lt;GenStart,"",tblData[[#This Row],[Date]]-GenStart)</f>
        <v>64</v>
      </c>
      <c r="AH75">
        <f>IF(tblData[Date]&gt;=StartDt2Au,tblData[Date]-StartDt2Au,"")</f>
        <v>61</v>
      </c>
      <c r="AI75" s="25">
        <f>IF(tblData[New South Wales]&gt;0,SUM(tblData[[#This Row],[Australian Capital Territory]:[Western Australia]]),"")</f>
        <v>2806</v>
      </c>
      <c r="AJ75" s="12">
        <f>IF(ISNUMBER(tblData[Au]),tblData[Au]/$AE$9,"")</f>
        <v>1106.2923829049046</v>
      </c>
      <c r="AK75" s="19">
        <f>IF(ISNUMBER(tblData[[#This Row],[Day'# Aust]]),betaAu/(deltaAu+betaPodeltaAu*EXP(-betaAu*tblData[[#This Row],[Day'# Aust]])),"")</f>
        <v>2831.6174219322379</v>
      </c>
      <c r="AL75" s="66">
        <f>IF(ISNUMBER(tblData[Day'# Aust]),tblData[Au LogiP(t)]/$AJ$9,"")</f>
        <v>1116.3922969296002</v>
      </c>
      <c r="AM75" s="11">
        <f>IF(AND(tblData[Date]&gt;=StartDt2Au,ISNUMBER(tblData[NSW])),(tblData[[#This Row],[Au LogiP(t)]]-tblData[[#This Row],[Au]])^2,"")</f>
        <v>656.25230645430349</v>
      </c>
      <c r="AN75">
        <f>IF(tblData[Date]&gt;StartDt2NSW,tblData[Date]-StartDt2NSW,"")</f>
        <v>61</v>
      </c>
      <c r="AO75" s="25">
        <f t="shared" si="7"/>
        <v>1219</v>
      </c>
      <c r="AP75" s="11">
        <f>IF(tblData[Date]&gt;StartDt2NSW,betaNSW/(deltaNSW+betaPodeltaNSW*EXP(-betaNSW*tblData[[#This Row],[Day '# NSW]])),"")</f>
        <v>1221.767489143017</v>
      </c>
      <c r="AQ75" s="12">
        <f>IF(AND(ISNUMBER(tblData[NSW]),tblData[Date]&gt;StartDt2NSW),(tblData[[#This Row],[NSW LogiP(t)]]-tblData[[#This Row],[NSW]])^2,"")</f>
        <v>7.6589961567168237</v>
      </c>
      <c r="AR75" s="12">
        <f>IF(AND(tblData[Date]&gt;StartDt2NSW,ISNUMBER(tblData[Day'# Aust])),tblData[NSW LogiP(t)]/$AQ$9,"")</f>
        <v>1512.0884766621496</v>
      </c>
      <c r="AS75" s="11">
        <f>IF(AND(tblData[Date]&gt;StartDt2Italy,ISNUMBER(tblData[Days'# Italy])),betaItaly/(deltaItaly+betaPodeltaItaly*EXP(-betaItaly*tblData[Days'# Italy])),"")</f>
        <v>69536.421100869673</v>
      </c>
      <c r="AT75" s="11" t="str">
        <f>IF(AND(tblData[Date]&gt;StartDt2Italy,ISNUMBER(tblData[Italy])),(tblData[[#This Row],[Italy LogiP(t)]]-tblData[[#This Row],[Italy]])^2,"")</f>
        <v/>
      </c>
      <c r="AU75" s="41">
        <f>IF(AND(tblData[Date]&gt;StartDt2Italy,ISNUMBER(tblData[Days'# Italy])),tblData[[#This Row],[Italy LogiP(t)]]/$AT$9,"")</f>
        <v>11496.473687834947</v>
      </c>
      <c r="AV75" s="20">
        <f>IF(ISNUMBER(tblData[[#This Row],[Days'# US]]),betaUS/(deltaUS+betaPodeltaUS*EXP(-betaUS*tblData[Days'# US])),"")</f>
        <v>71684.945819220738</v>
      </c>
      <c r="AW75" s="11" t="str">
        <f>IF(AND(tblData[Date]&gt;=StartDt2US,ISNUMBER(tblData[US])),(tblData[[#This Row],[US LogiP(t)]]-tblData[US])^2,"")</f>
        <v/>
      </c>
      <c r="AX75" s="20">
        <f>IF(ISNUMBER(tblData[[#This Row],[Days'# US]]),tblData[[#This Row],[US LogiP(t)]]/$AW$9,"")</f>
        <v>2177.3664792888003</v>
      </c>
      <c r="AY75" s="20">
        <f>IF(tblData[Date]&gt;=StartDt2Korea,betaSKorea/(deltaSKorea+betaPodeltaSKorea*EXP(-betaSKorea*(tblData[Date]-StartDt2Korea))),"")</f>
        <v>8600.8961967586674</v>
      </c>
      <c r="AZ75" s="20" t="str">
        <f>IF(AND(tblData[Date]&gt;=StartDt2Korea,ISNUMBER(tblData[SKorea])),(tblData[[#This Row],[SKorea LogiP(t)]]-tblData[[#This Row],[SKorea]])^2,"")</f>
        <v/>
      </c>
      <c r="BA75" s="20">
        <f>IF(tblData[Date]&gt;=StartDt2Korea,tblData[[#This Row],[SKorea LogiP(t)]]/$AZ$9,"")</f>
        <v>1673.326108318807</v>
      </c>
      <c r="BB75" s="11">
        <f>IF(ISNUMBER(tblData[Days'# UK]),betaUK/(deltaUK+betaPodeltaUK*EXP(-betaUK*tblData[Days'# UK])),"")</f>
        <v>10235.204549728494</v>
      </c>
      <c r="BC75" s="20" t="str">
        <f>IF(ISNUMBER(tblData[UK]),(tblData[[#This Row],[UK LogiP(t)]]-tblData[[#This Row],[UK]])^2,"")</f>
        <v/>
      </c>
      <c r="BD75" s="20">
        <f>IF(ISNUMBER(tblData[Days'# UK]),tblData[[#This Row],[UK LogiP(t)]]/$BC$9,"")</f>
        <v>1540.5184451728619</v>
      </c>
      <c r="BE75" s="11">
        <f>IF(ISNUMBER(tblData[Days'# China]),betaChina/(deltaChina+betaPodeltaChina*EXP(-betaChina*tblData[Days'# China])),"")</f>
        <v>81013.158881179363</v>
      </c>
      <c r="BF75" s="11" t="str">
        <f>IF(ISNUMBER(tblData[China]),(tblData[[#This Row],[China LogiP(t)]]-tblData[[#This Row],[China]])^2,"")</f>
        <v/>
      </c>
      <c r="BG75" s="11">
        <f>tblData[[#This Row],[China LogiP(t)]]/$BF$9</f>
        <v>562.85569815515476</v>
      </c>
      <c r="BH75" s="11">
        <f>IF(ISNUMBER(tblData[Day'# Singapore]),betaSingapore/(deltaSingapore+betaPodeltaSingapore*EXP(-betaSingapore*tblData[Day'# Singapore])),"")</f>
        <v>610.12546576727868</v>
      </c>
      <c r="BI75" s="11" t="str">
        <f>IF(AND(ISNUMBER(tblData[Singapore]),tblData[Date]&gt;=StartDt2Singapore),(tblData[[#This Row],[Singapore LogiP(t)]]-tblData[[#This Row],[Singapore]])^2,"")</f>
        <v/>
      </c>
      <c r="BJ75" s="11">
        <f>IF(ISNUMBER(tblData[Day'# Singapore]),tblData[Singapore LogiP(t)]/$BI$9,"")</f>
        <v>1042.9495141321004</v>
      </c>
      <c r="BK75" s="11">
        <f>IF(ISNUMBER(tblData[Day'# Generic]),betaGeneric/(deltaGeneric+betaPodeltaGeneric*EXP(-betaGeneric*tblData[Day'# Generic])),"")</f>
        <v>67306.852718260721</v>
      </c>
      <c r="BL75" s="11" t="str">
        <f>IF(AND(ISNUMBER(tblData[Generic]),tblData[Date]&gt;=StartDt2Generic),(tblData[Generic LogiP(t)]-tblData[[#This Row],[Generic]])^2,"")</f>
        <v/>
      </c>
      <c r="BM75" s="11">
        <f>IF(ISNUMBER(tblData[Day'# Generic]),tblData[Generic LogiP(t)]/$BL$9,"")</f>
        <v>11505.444909104397</v>
      </c>
      <c r="BN75" s="11">
        <v>72787</v>
      </c>
      <c r="BO75" s="11"/>
      <c r="BP75" s="11">
        <f>IF(ISNUMBER(tblData[[#This Row],[Tests]]),tblData[[#This Row],[Tests]]-BP74,"")</f>
        <v>36711</v>
      </c>
      <c r="BQ75" s="11" t="str">
        <f>IF(ISNUMBER(tblData[[#This Row],[NSW Under Investigation'']]),tblData[[#This Row],[NSW Under Investigation'']]-BO74,"")</f>
        <v/>
      </c>
      <c r="BR75" s="11">
        <f>IF(tblData[[#This Row],[Date]]&gt;myData!TestsStart,tblData[[#This Row],[Date]]-myData!TestsStart,"")</f>
        <v>21</v>
      </c>
      <c r="BS75" s="11">
        <f>IF(AND(tblData[[#This Row],[NSW Test Day Number]]&gt;0,ISNUMBER(tblData[[#This Row],[NSW Test Day Number]])),betaTests/(deltaTests+betaPodeltaTests*EXP(-betaTests*tblData[[#This Row],[NSW Test Day Number]])),"")</f>
        <v>72589.792430180154</v>
      </c>
      <c r="BT75" s="11">
        <f>IF(tblData[Tests]&gt;0,(tblData[[#This Row],[Tests]]-tblData[[#This Row],[NSW Test Logi]])^2,"")</f>
        <v>38890.825594249422</v>
      </c>
      <c r="BU75" s="11">
        <f>IF(ISNUMBER(tblData[Tests]),tblData[Tests]/$BS$9/100,"")</f>
        <v>900.82920792079199</v>
      </c>
      <c r="BV75" s="124">
        <f ca="1">IF(AND(tblData[[#This Row],[NSW Test Day Number]]&gt;0,ISNUMBER(tblData[[#This Row],[NSW Test Day Number]])),TestsLogestB*TestsLogestM^tblData[[#This Row],[NSW Test Day Number]],"")</f>
        <v>86469.416709112207</v>
      </c>
      <c r="BW75" s="11">
        <f>IF(AND(tblData[[#This Row],[NSW Test Day Number]]&gt;0,ISNUMBER(tblData[Tests])),(tblData[Tests]-tblData[[#This Row],[NSW Test Per Capita]])^2,"")</f>
        <v>5167621551.1479826</v>
      </c>
      <c r="BX75" s="124"/>
      <c r="BY75" s="11"/>
      <c r="BZ75"/>
      <c r="CB75" s="25"/>
      <c r="CD75" s="25"/>
      <c r="CK75"/>
      <c r="CL75"/>
      <c r="CO75" s="25"/>
      <c r="CZ75" s="25"/>
      <c r="DA75" s="25"/>
      <c r="DC75"/>
      <c r="DD75"/>
      <c r="DG75" s="25"/>
      <c r="DH75" s="25"/>
      <c r="DV75"/>
      <c r="DW75"/>
      <c r="DX75"/>
      <c r="DY75" s="25" t="s">
        <v>209</v>
      </c>
      <c r="EA75" s="26">
        <v>43852</v>
      </c>
      <c r="EC75" s="25">
        <v>3</v>
      </c>
      <c r="ED75" s="22">
        <v>0.36149962702652205</v>
      </c>
      <c r="EE75" s="24">
        <v>4.559608796995672E-5</v>
      </c>
      <c r="EF75" s="21">
        <v>2.9311946911653858E-2</v>
      </c>
      <c r="EG75" s="96">
        <v>7928.3035699184175</v>
      </c>
      <c r="EH75" s="19">
        <v>80.421636650241254</v>
      </c>
      <c r="EI75" s="36">
        <v>12.332796985678472</v>
      </c>
      <c r="EJ75" s="98">
        <v>4.559608796995672E-2</v>
      </c>
      <c r="EK75" s="26">
        <v>43907</v>
      </c>
      <c r="EL75" s="26" t="s">
        <v>682</v>
      </c>
      <c r="EM75" s="26"/>
      <c r="EN75" s="98">
        <v>4736</v>
      </c>
      <c r="EO75" s="19" t="s">
        <v>683</v>
      </c>
      <c r="EP75" s="26">
        <v>43906</v>
      </c>
      <c r="EQ75" s="25">
        <v>38</v>
      </c>
      <c r="ER75" s="18" t="s">
        <v>684</v>
      </c>
      <c r="ES75" s="25"/>
      <c r="ET75" s="25" t="s">
        <v>685</v>
      </c>
      <c r="EU75" s="25"/>
      <c r="EV75" s="25"/>
      <c r="EW75" s="25"/>
      <c r="EX75" s="82"/>
      <c r="EY75" s="25"/>
      <c r="EZ75" s="82"/>
      <c r="FB75" s="25"/>
      <c r="FC75" s="25"/>
    </row>
    <row r="76" spans="2:194" x14ac:dyDescent="0.25">
      <c r="B76" s="1">
        <f t="shared" si="8"/>
        <v>43917</v>
      </c>
      <c r="D76" s="25"/>
      <c r="L76" s="12" t="str">
        <f>IF(ISNUMBER(tblData[[#This Row],[NSW]]),tblData[[#This Row],[New South Wales]]/$L$9,"")</f>
        <v/>
      </c>
      <c r="M76" s="25"/>
      <c r="N76" s="46" t="str">
        <f>IF(ISNUMBER(tblData[Italy]),tblData[Italy]/$N$9,"")</f>
        <v/>
      </c>
      <c r="O76" s="25"/>
      <c r="P76" s="124" t="str">
        <f>IF(ISNUMBER(tblData[US]),tblData[US]/$P$9,"")</f>
        <v/>
      </c>
      <c r="Q76" s="46"/>
      <c r="R76" s="19" t="str">
        <f>IF(ISNUMBER(tblData[SKorea]),tblData[SKorea]/$R$9,"")</f>
        <v/>
      </c>
      <c r="S76" s="46"/>
      <c r="T76" s="12" t="str">
        <f>IF(ISNUMBER(tblData[UK]),tblData[UK]/$T$9,"")</f>
        <v/>
      </c>
      <c r="U76" s="25"/>
      <c r="V76" s="20" t="str">
        <f>IF(ISNUMBER(tblData[China]),tblData[China]/$V$9,"")</f>
        <v/>
      </c>
      <c r="W76" s="20"/>
      <c r="X76" s="20" t="str">
        <f>IF(ISNUMBER(tblData[Singapore]),tblData[Singapore]/$X$9,"")</f>
        <v/>
      </c>
      <c r="Y76" s="20"/>
      <c r="Z76" s="20" t="str">
        <f>IF(AND(LEN(tblData[Generic])&gt;0,ISNUMBER(tblData[Generic])),tblData[Generic]/$Z$9,"")</f>
        <v/>
      </c>
      <c r="AA76" s="25">
        <f>IF(tblData[[#This Row],[Date]]&lt;ItalyStart,"",tblData[[#This Row],[Date]]-ItalyStart)</f>
        <v>57</v>
      </c>
      <c r="AB76" s="25">
        <f>IF(tblData[[#This Row],[Date]]&lt;USStart,"",tblData[[#This Row],[Date]]-USStart)</f>
        <v>65</v>
      </c>
      <c r="AC76" s="25">
        <f>IF(tblData[[#This Row],[Date]]&lt;ChinaStart,"",tblData[[#This Row],[Date]]-ChinaStart)</f>
        <v>65</v>
      </c>
      <c r="AD76" s="25">
        <f>IF(tblData[[#This Row],[Date]]&lt;StartDt2Korea,"",tblData[[#This Row],[Date]]-StartDt2Korea)</f>
        <v>37</v>
      </c>
      <c r="AE76" s="25">
        <f>IF(tblData[[#This Row],[Date]]&lt;UKStart,"",tblData[[#This Row],[Date]]-UKStart)</f>
        <v>57</v>
      </c>
      <c r="AF76" s="25">
        <f>IF(tblData[[#This Row],[Date]]&lt;SingaporeStart,"",tblData[[#This Row],[Date]]-SingaporeStart)</f>
        <v>64</v>
      </c>
      <c r="AG76" s="25">
        <f>IF(tblData[[#This Row],[Date]]&lt;GenStart,"",tblData[[#This Row],[Date]]-GenStart)</f>
        <v>65</v>
      </c>
      <c r="AH76">
        <f>IF(tblData[Date]&gt;=StartDt2Au,tblData[Date]-StartDt2Au,"")</f>
        <v>62</v>
      </c>
      <c r="AI76" s="25" t="str">
        <f>IF(tblData[New South Wales]&gt;0,SUM(tblData[[#This Row],[Australian Capital Territory]:[Western Australia]]),"")</f>
        <v/>
      </c>
      <c r="AJ76" s="12" t="str">
        <f>IF(ISNUMBER(tblData[Au]),tblData[Au]/$AE$9,"")</f>
        <v/>
      </c>
      <c r="AK76" s="19">
        <f>IF(ISNUMBER(tblData[[#This Row],[Day'# Aust]]),betaAu/(deltaAu+betaPodeltaAu*EXP(-betaAu*tblData[[#This Row],[Day'# Aust]])),"")</f>
        <v>3266.3995151339009</v>
      </c>
      <c r="AL76" s="66">
        <f>IF(ISNUMBER(tblData[Day'# Aust]),tblData[Au LogiP(t)]/$AJ$9,"")</f>
        <v>1287.8093026075937</v>
      </c>
      <c r="AM76" s="11" t="str">
        <f>IF(AND(tblData[Date]&gt;=StartDt2Au,ISNUMBER(tblData[NSW])),(tblData[[#This Row],[Au LogiP(t)]]-tblData[[#This Row],[Au]])^2,"")</f>
        <v/>
      </c>
      <c r="AN76">
        <f>IF(tblData[Date]&gt;StartDt2NSW,tblData[Date]-StartDt2NSW,"")</f>
        <v>62</v>
      </c>
      <c r="AO76" s="25" t="str">
        <f t="shared" si="7"/>
        <v/>
      </c>
      <c r="AP76" s="11">
        <f>IF(tblData[Date]&gt;StartDt2NSW,betaNSW/(deltaNSW+betaPodeltaNSW*EXP(-betaNSW*tblData[[#This Row],[Day '# NSW]])),"")</f>
        <v>1461.9448656232116</v>
      </c>
      <c r="AQ76" s="12" t="str">
        <f>IF(AND(ISNUMBER(tblData[NSW]),tblData[Date]&gt;StartDt2NSW),(tblData[[#This Row],[NSW LogiP(t)]]-tblData[[#This Row],[NSW]])^2,"")</f>
        <v/>
      </c>
      <c r="AR76" s="12">
        <f>IF(AND(tblData[Date]&gt;StartDt2NSW,ISNUMBER(tblData[Day'# Aust])),tblData[NSW LogiP(t)]/$AQ$9,"")</f>
        <v>1809.3377049792223</v>
      </c>
      <c r="AS76" s="11">
        <f>IF(AND(tblData[Date]&gt;StartDt2Italy,ISNUMBER(tblData[Days'# Italy])),betaItaly/(deltaItaly+betaPodeltaItaly*EXP(-betaItaly*tblData[Days'# Italy])),"")</f>
        <v>70917.075489915369</v>
      </c>
      <c r="AT76" s="11" t="str">
        <f>IF(AND(tblData[Date]&gt;StartDt2Italy,ISNUMBER(tblData[Italy])),(tblData[[#This Row],[Italy LogiP(t)]]-tblData[[#This Row],[Italy]])^2,"")</f>
        <v/>
      </c>
      <c r="AU76" s="41">
        <f>IF(AND(tblData[Date]&gt;StartDt2Italy,ISNUMBER(tblData[Days'# Italy])),tblData[[#This Row],[Italy LogiP(t)]]/$AT$9,"")</f>
        <v>11724.737619230449</v>
      </c>
      <c r="AV76" s="20">
        <f>IF(ISNUMBER(tblData[[#This Row],[Days'# US]]),betaUS/(deltaUS+betaPodeltaUS*EXP(-betaUS*tblData[Days'# US])),"")</f>
        <v>84289.479300836494</v>
      </c>
      <c r="AW76" s="11" t="str">
        <f>IF(AND(tblData[Date]&gt;=StartDt2US,ISNUMBER(tblData[US])),(tblData[[#This Row],[US LogiP(t)]]-tblData[US])^2,"")</f>
        <v/>
      </c>
      <c r="AX76" s="20">
        <f>IF(ISNUMBER(tblData[[#This Row],[Days'# US]]),tblData[[#This Row],[US LogiP(t)]]/$AW$9,"")</f>
        <v>2560.2179744849482</v>
      </c>
      <c r="AY76" s="20">
        <f>IF(tblData[Date]&gt;=StartDt2Korea,betaSKorea/(deltaSKorea+betaPodeltaSKorea*EXP(-betaSKorea*(tblData[Date]-StartDt2Korea))),"")</f>
        <v>8602.6223006458677</v>
      </c>
      <c r="AZ76" s="20" t="str">
        <f>IF(AND(tblData[Date]&gt;=StartDt2Korea,ISNUMBER(tblData[SKorea])),(tblData[[#This Row],[SKorea LogiP(t)]]-tblData[[#This Row],[SKorea]])^2,"")</f>
        <v/>
      </c>
      <c r="BA76" s="20">
        <f>IF(tblData[Date]&gt;=StartDt2Korea,tblData[[#This Row],[SKorea LogiP(t)]]/$AZ$9,"")</f>
        <v>1673.6619261956942</v>
      </c>
      <c r="BB76" s="11">
        <f>IF(ISNUMBER(tblData[Days'# UK]),betaUK/(deltaUK+betaPodeltaUK*EXP(-betaUK*tblData[Days'# UK])),"")</f>
        <v>11540.673293627853</v>
      </c>
      <c r="BC76" s="20" t="str">
        <f>IF(ISNUMBER(tblData[UK]),(tblData[[#This Row],[UK LogiP(t)]]-tblData[[#This Row],[UK]])^2,"")</f>
        <v/>
      </c>
      <c r="BD76" s="20">
        <f>IF(ISNUMBER(tblData[Days'# UK]),tblData[[#This Row],[UK LogiP(t)]]/$BC$9,"")</f>
        <v>1737.0068172227352</v>
      </c>
      <c r="BE76" s="11">
        <f>IF(ISNUMBER(tblData[Days'# China]),betaChina/(deltaChina+betaPodeltaChina*EXP(-betaChina*tblData[Days'# China])),"")</f>
        <v>81013.71708366547</v>
      </c>
      <c r="BF76" s="11" t="str">
        <f>IF(ISNUMBER(tblData[China]),(tblData[[#This Row],[China LogiP(t)]]-tblData[[#This Row],[China]])^2,"")</f>
        <v/>
      </c>
      <c r="BG76" s="11">
        <f>tblData[[#This Row],[China LogiP(t)]]/$BF$9</f>
        <v>562.85957638252387</v>
      </c>
      <c r="BH76" s="11">
        <f>IF(ISNUMBER(tblData[Day'# Singapore]),betaSingapore/(deltaSingapore+betaPodeltaSingapore*EXP(-betaSingapore*tblData[Day'# Singapore])),"")</f>
        <v>657.30100764245969</v>
      </c>
      <c r="BI76" s="11" t="str">
        <f>IF(AND(ISNUMBER(tblData[Singapore]),tblData[Date]&gt;=StartDt2Singapore),(tblData[[#This Row],[Singapore LogiP(t)]]-tblData[[#This Row],[Singapore]])^2,"")</f>
        <v/>
      </c>
      <c r="BJ76" s="11">
        <f>IF(ISNUMBER(tblData[Day'# Singapore]),tblData[Singapore LogiP(t)]/$BI$9,"")</f>
        <v>1123.5914660554868</v>
      </c>
      <c r="BK76" s="11">
        <f>IF(ISNUMBER(tblData[Day'# Generic]),betaGeneric/(deltaGeneric+betaPodeltaGeneric*EXP(-betaGeneric*tblData[Day'# Generic])),"")</f>
        <v>67307.295936117458</v>
      </c>
      <c r="BL76" s="11" t="str">
        <f>IF(AND(ISNUMBER(tblData[Generic]),tblData[Date]&gt;=StartDt2Generic),(tblData[Generic LogiP(t)]-tblData[[#This Row],[Generic]])^2,"")</f>
        <v/>
      </c>
      <c r="BM76" s="11">
        <f>IF(ISNUMBER(tblData[Day'# Generic]),tblData[Generic LogiP(t)]/$BL$9,"")</f>
        <v>11505.520672840592</v>
      </c>
      <c r="BN76" s="11"/>
      <c r="BO76" s="11"/>
      <c r="BP76" s="11" t="str">
        <f>IF(ISNUMBER(tblData[[#This Row],[Tests]]),tblData[[#This Row],[Tests]]-BP75,"")</f>
        <v/>
      </c>
      <c r="BQ76" s="11" t="str">
        <f>IF(ISNUMBER(tblData[[#This Row],[NSW Under Investigation'']]),tblData[[#This Row],[NSW Under Investigation'']]-BO75,"")</f>
        <v/>
      </c>
      <c r="BR76" s="11">
        <f>IF(tblData[[#This Row],[Date]]&gt;myData!TestsStart,tblData[[#This Row],[Date]]-myData!TestsStart,"")</f>
        <v>22</v>
      </c>
      <c r="BS76" s="11">
        <f>IF(AND(tblData[[#This Row],[NSW Test Day Number]]&gt;0,ISNUMBER(tblData[[#This Row],[NSW Test Day Number]])),betaTests/(deltaTests+betaPodeltaTests*EXP(-betaTests*tblData[[#This Row],[NSW Test Day Number]])),"")</f>
        <v>77186.476021685346</v>
      </c>
      <c r="BT76" s="11" t="str">
        <f>IF(tblData[Tests]&gt;0,(tblData[[#This Row],[Tests]]-tblData[[#This Row],[NSW Test Logi]])^2,"")</f>
        <v/>
      </c>
      <c r="BU76" s="11" t="str">
        <f>IF(ISNUMBER(tblData[Tests]),tblData[Tests]/$BS$9/100,"")</f>
        <v/>
      </c>
      <c r="BV76" s="124">
        <f ca="1">IF(AND(tblData[[#This Row],[NSW Test Day Number]]&gt;0,ISNUMBER(tblData[[#This Row],[NSW Test Day Number]])),TestsLogestB*TestsLogestM^tblData[[#This Row],[NSW Test Day Number]],"")</f>
        <v>98977.301602749998</v>
      </c>
      <c r="BW76" s="11" t="str">
        <f>IF(AND(tblData[[#This Row],[NSW Test Day Number]]&gt;0,ISNUMBER(tblData[Tests])),(tblData[Tests]-tblData[[#This Row],[NSW Test Per Capita]])^2,"")</f>
        <v/>
      </c>
      <c r="BX76" s="124"/>
      <c r="BY76" s="11"/>
      <c r="BZ76"/>
      <c r="CB76" s="25"/>
      <c r="CD76" s="25"/>
      <c r="CK76"/>
      <c r="CL76"/>
      <c r="CO76" s="25"/>
      <c r="CZ76" s="25"/>
      <c r="DA76" s="25"/>
      <c r="DC76"/>
      <c r="DD76"/>
      <c r="DG76" s="25"/>
      <c r="DH76" s="25"/>
      <c r="DV76"/>
      <c r="DW76"/>
      <c r="DX76"/>
      <c r="DY76" t="s">
        <v>209</v>
      </c>
      <c r="EA76" s="26">
        <v>43852</v>
      </c>
      <c r="EC76">
        <v>3</v>
      </c>
      <c r="ED76" s="22">
        <v>0.27693699134998795</v>
      </c>
      <c r="EE76" s="24">
        <v>9.9999999999976868E-11</v>
      </c>
      <c r="EF76" s="21">
        <v>0.29473541562593031</v>
      </c>
      <c r="EG76" s="96">
        <v>2769369913.5005202</v>
      </c>
      <c r="EH76" s="19">
        <v>50.62824539226316</v>
      </c>
      <c r="EI76" s="36">
        <v>0.93961219669642571</v>
      </c>
      <c r="EJ76" s="98">
        <v>9.9999999999976874E-8</v>
      </c>
      <c r="EK76" s="26">
        <v>43907</v>
      </c>
      <c r="EL76" s="26" t="s">
        <v>718</v>
      </c>
      <c r="EM76" s="26"/>
      <c r="EN76" s="98">
        <v>6421</v>
      </c>
      <c r="EO76" s="19" t="s">
        <v>719</v>
      </c>
      <c r="EP76" s="26">
        <v>43907</v>
      </c>
      <c r="EQ76" s="25">
        <v>38</v>
      </c>
      <c r="ER76" s="18" t="s">
        <v>720</v>
      </c>
      <c r="ET76" t="s">
        <v>721</v>
      </c>
      <c r="EU76" t="s">
        <v>690</v>
      </c>
      <c r="EV76" t="s">
        <v>722</v>
      </c>
      <c r="EX76" s="82"/>
      <c r="EZ76" s="82"/>
      <c r="FA76"/>
      <c r="FB76" s="25"/>
      <c r="FC76" s="25"/>
    </row>
    <row r="77" spans="2:194" s="50" customFormat="1" x14ac:dyDescent="0.25">
      <c r="B77" s="49">
        <f t="shared" si="8"/>
        <v>43918</v>
      </c>
      <c r="L77" s="12" t="str">
        <f>IF(ISNUMBER(tblData[[#This Row],[NSW]]),tblData[[#This Row],[New South Wales]]/$L$9,"")</f>
        <v/>
      </c>
      <c r="N77" s="51" t="str">
        <f>IF(ISNUMBER(tblData[Italy]),tblData[Italy]/$N$9,"")</f>
        <v/>
      </c>
      <c r="P77" s="126" t="str">
        <f>IF(ISNUMBER(tblData[US]),tblData[US]/$P$9,"")</f>
        <v/>
      </c>
      <c r="Q77" s="51"/>
      <c r="R77" s="19" t="str">
        <f>IF(ISNUMBER(tblData[SKorea]),tblData[SKorea]/$R$9,"")</f>
        <v/>
      </c>
      <c r="S77" s="51"/>
      <c r="T77" s="12" t="str">
        <f>IF(ISNUMBER(tblData[UK]),tblData[UK]/$T$9,"")</f>
        <v/>
      </c>
      <c r="V77" s="56" t="str">
        <f>IF(ISNUMBER(tblData[China]),tblData[China]/$V$9,"")</f>
        <v/>
      </c>
      <c r="W77" s="56"/>
      <c r="X77" s="56" t="str">
        <f>IF(ISNUMBER(tblData[Singapore]),tblData[Singapore]/$X$9,"")</f>
        <v/>
      </c>
      <c r="Y77" s="56"/>
      <c r="Z77" s="56" t="str">
        <f>IF(AND(LEN(tblData[Generic])&gt;0,ISNUMBER(tblData[Generic])),tblData[Generic]/$Z$9,"")</f>
        <v/>
      </c>
      <c r="AA77" s="25">
        <f>IF(tblData[[#This Row],[Date]]&lt;ItalyStart,"",tblData[[#This Row],[Date]]-ItalyStart)</f>
        <v>58</v>
      </c>
      <c r="AB77" s="25">
        <f>IF(tblData[[#This Row],[Date]]&lt;USStart,"",tblData[[#This Row],[Date]]-USStart)</f>
        <v>66</v>
      </c>
      <c r="AC77" s="25">
        <f>IF(tblData[[#This Row],[Date]]&lt;ChinaStart,"",tblData[[#This Row],[Date]]-ChinaStart)</f>
        <v>66</v>
      </c>
      <c r="AD77" s="50">
        <f>IF(tblData[[#This Row],[Date]]&lt;StartDt2Korea,"",tblData[[#This Row],[Date]]-StartDt2Korea)</f>
        <v>38</v>
      </c>
      <c r="AE77" s="50">
        <f>IF(tblData[[#This Row],[Date]]&lt;UKStart,"",tblData[[#This Row],[Date]]-UKStart)</f>
        <v>58</v>
      </c>
      <c r="AF77" s="50">
        <f>IF(tblData[[#This Row],[Date]]&lt;SingaporeStart,"",tblData[[#This Row],[Date]]-SingaporeStart)</f>
        <v>65</v>
      </c>
      <c r="AG77" s="50">
        <f>IF(tblData[[#This Row],[Date]]&lt;GenStart,"",tblData[[#This Row],[Date]]-GenStart)</f>
        <v>66</v>
      </c>
      <c r="AH77" s="50">
        <f>IF(tblData[Date]&gt;=StartDt2Au,tblData[Date]-StartDt2Au,"")</f>
        <v>63</v>
      </c>
      <c r="AI77" s="50" t="str">
        <f>IF(tblData[New South Wales]&gt;0,SUM(tblData[[#This Row],[Australian Capital Territory]:[Western Australia]]),"")</f>
        <v/>
      </c>
      <c r="AJ77" s="52" t="str">
        <f>IF(ISNUMBER(tblData[Au]),tblData[Au]/$AE$9,"")</f>
        <v/>
      </c>
      <c r="AK77" s="53">
        <f>IF(ISNUMBER(tblData[[#This Row],[Day'# Aust]]),betaAu/(deltaAu+betaPodeltaAu*EXP(-betaAu*tblData[[#This Row],[Day'# Aust]])),"")</f>
        <v>3709.0524055351957</v>
      </c>
      <c r="AL77" s="66">
        <f>IF(ISNUMBER(tblData[Day'# Aust]),tblData[Au LogiP(t)]/$AJ$9,"")</f>
        <v>1462.3294454877762</v>
      </c>
      <c r="AM77" s="54" t="str">
        <f>IF(AND(tblData[Date]&gt;=StartDt2Au,ISNUMBER(tblData[NSW])),(tblData[[#This Row],[Au LogiP(t)]]-tblData[[#This Row],[Au]])^2,"")</f>
        <v/>
      </c>
      <c r="AN77" s="50">
        <f>IF(tblData[Date]&gt;StartDt2NSW,tblData[Date]-StartDt2NSW,"")</f>
        <v>63</v>
      </c>
      <c r="AO77" s="25" t="str">
        <f t="shared" si="7"/>
        <v/>
      </c>
      <c r="AP77" s="11">
        <f>IF(tblData[Date]&gt;StartDt2NSW,betaNSW/(deltaNSW+betaPodeltaNSW*EXP(-betaNSW*tblData[[#This Row],[Day '# NSW]])),"")</f>
        <v>1739.5336254055826</v>
      </c>
      <c r="AQ77" s="12" t="str">
        <f>IF(AND(ISNUMBER(tblData[NSW]),tblData[Date]&gt;StartDt2NSW),(tblData[[#This Row],[NSW LogiP(t)]]-tblData[[#This Row],[NSW]])^2,"")</f>
        <v/>
      </c>
      <c r="AR77" s="52">
        <f>IF(AND(tblData[Date]&gt;StartDt2NSW,ISNUMBER(tblData[Day'# Aust])),tblData[NSW LogiP(t)]/$AQ$9,"")</f>
        <v>2152.8881502544336</v>
      </c>
      <c r="AS77" s="54">
        <f>IF(AND(tblData[Date]&gt;StartDt2Italy,ISNUMBER(tblData[Days'# Italy])),betaItaly/(deltaItaly+betaPodeltaItaly*EXP(-betaItaly*tblData[Days'# Italy])),"")</f>
        <v>72022.419465912812</v>
      </c>
      <c r="AT77" s="11" t="str">
        <f>IF(AND(tblData[Date]&gt;StartDt2Italy,ISNUMBER(tblData[Italy])),(tblData[[#This Row],[Italy LogiP(t)]]-tblData[[#This Row],[Italy]])^2,"")</f>
        <v/>
      </c>
      <c r="AU77" s="55">
        <f>IF(AND(tblData[Date]&gt;StartDt2Italy,ISNUMBER(tblData[Days'# Italy])),tblData[[#This Row],[Italy LogiP(t)]]/$AT$9,"")</f>
        <v>11907.484411988562</v>
      </c>
      <c r="AV77" s="56">
        <f>IF(ISNUMBER(tblData[[#This Row],[Days'# US]]),betaUS/(deltaUS+betaPodeltaUS*EXP(-betaUS*tblData[Days'# US])),"")</f>
        <v>97247.204226808317</v>
      </c>
      <c r="AW77" s="11" t="str">
        <f>IF(AND(tblData[Date]&gt;=StartDt2US,ISNUMBER(tblData[US])),(tblData[[#This Row],[US LogiP(t)]]-tblData[US])^2,"")</f>
        <v/>
      </c>
      <c r="AX77" s="56">
        <f>IF(ISNUMBER(tblData[[#This Row],[Days'# US]]),tblData[[#This Row],[US LogiP(t)]]/$AW$9,"")</f>
        <v>2953.7973457075614</v>
      </c>
      <c r="AY77" s="56">
        <f>IF(tblData[Date]&gt;=StartDt2Korea,betaSKorea/(deltaSKorea+betaPodeltaSKorea*EXP(-betaSKorea*(tblData[Date]-StartDt2Korea))),"")</f>
        <v>8603.901224491734</v>
      </c>
      <c r="AZ77" s="56" t="str">
        <f>IF(AND(tblData[Date]&gt;=StartDt2Korea,ISNUMBER(tblData[SKorea])),(tblData[[#This Row],[SKorea LogiP(t)]]-tblData[[#This Row],[SKorea]])^2,"")</f>
        <v/>
      </c>
      <c r="BA77" s="56">
        <f>IF(tblData[Date]&gt;=StartDt2Korea,tblData[[#This Row],[SKorea LogiP(t)]]/$AZ$9,"")</f>
        <v>1673.9107440645398</v>
      </c>
      <c r="BB77" s="11">
        <f>IF(ISNUMBER(tblData[Days'# UK]),betaUK/(deltaUK+betaPodeltaUK*EXP(-betaUK*tblData[Days'# UK])),"")</f>
        <v>12831.481549476743</v>
      </c>
      <c r="BC77" s="56" t="str">
        <f>IF(ISNUMBER(tblData[UK]),(tblData[[#This Row],[UK LogiP(t)]]-tblData[[#This Row],[UK]])^2,"")</f>
        <v/>
      </c>
      <c r="BD77" s="56">
        <f>IF(ISNUMBER(tblData[Days'# UK]),tblData[[#This Row],[UK LogiP(t)]]/$BC$9,"")</f>
        <v>1931.2886137081189</v>
      </c>
      <c r="BE77" s="54">
        <f>IF(ISNUMBER(tblData[Days'# China]),betaChina/(deltaChina+betaPodeltaChina*EXP(-betaChina*tblData[Days'# China])),"")</f>
        <v>81014.16409823361</v>
      </c>
      <c r="BF77" s="54" t="str">
        <f>IF(ISNUMBER(tblData[China]),(tblData[[#This Row],[China LogiP(t)]]-tblData[[#This Row],[China]])^2,"")</f>
        <v/>
      </c>
      <c r="BG77" s="54">
        <f>tblData[[#This Row],[China LogiP(t)]]/$BF$9</f>
        <v>562.86268210880723</v>
      </c>
      <c r="BH77" s="54">
        <f>IF(ISNUMBER(tblData[Day'# Singapore]),betaSingapore/(deltaSingapore+betaPodeltaSingapore*EXP(-betaSingapore*tblData[Day'# Singapore])),"")</f>
        <v>708.12421193287548</v>
      </c>
      <c r="BI77" s="54" t="str">
        <f>IF(AND(ISNUMBER(tblData[Singapore]),tblData[Date]&gt;=StartDt2Singapore),(tblData[[#This Row],[Singapore LogiP(t)]]-tblData[[#This Row],[Singapore]])^2,"")</f>
        <v/>
      </c>
      <c r="BJ77" s="11">
        <f>IF(ISNUMBER(tblData[Day'# Singapore]),tblData[Singapore LogiP(t)]/$BI$9,"")</f>
        <v>1210.4687383467958</v>
      </c>
      <c r="BK77" s="11">
        <f>IF(ISNUMBER(tblData[Day'# Generic]),betaGeneric/(deltaGeneric+betaPodeltaGeneric*EXP(-betaGeneric*tblData[Day'# Generic])),"")</f>
        <v>67307.65171717701</v>
      </c>
      <c r="BL77" s="11" t="str">
        <f>IF(AND(ISNUMBER(tblData[Generic]),tblData[Date]&gt;=StartDt2Generic),(tblData[Generic LogiP(t)]-tblData[[#This Row],[Generic]])^2,"")</f>
        <v/>
      </c>
      <c r="BM77" s="11">
        <f>IF(ISNUMBER(tblData[Day'# Generic]),tblData[Generic LogiP(t)]/$BL$9,"")</f>
        <v>11505.581490115728</v>
      </c>
      <c r="BN77" s="54"/>
      <c r="BO77" s="54"/>
      <c r="BP77" s="54" t="str">
        <f>IF(ISNUMBER(tblData[[#This Row],[Tests]]),tblData[[#This Row],[Tests]]-BP76,"")</f>
        <v/>
      </c>
      <c r="BQ77" s="54" t="str">
        <f>IF(ISNUMBER(tblData[[#This Row],[NSW Under Investigation'']]),tblData[[#This Row],[NSW Under Investigation'']]-BO76,"")</f>
        <v/>
      </c>
      <c r="BR77" s="11">
        <f>IF(tblData[[#This Row],[Date]]&gt;myData!TestsStart,tblData[[#This Row],[Date]]-myData!TestsStart,"")</f>
        <v>23</v>
      </c>
      <c r="BS77" s="11">
        <f>IF(AND(tblData[[#This Row],[NSW Test Day Number]]&gt;0,ISNUMBER(tblData[[#This Row],[NSW Test Day Number]])),betaTests/(deltaTests+betaPodeltaTests*EXP(-betaTests*tblData[[#This Row],[NSW Test Day Number]])),"")</f>
        <v>81396.393818577024</v>
      </c>
      <c r="BT77" s="54" t="str">
        <f>IF(tblData[Tests]&gt;0,(tblData[[#This Row],[Tests]]-tblData[[#This Row],[NSW Test Logi]])^2,"")</f>
        <v/>
      </c>
      <c r="BU77" s="54" t="str">
        <f>IF(ISNUMBER(tblData[Tests]),tblData[Tests]/$BS$9/100,"")</f>
        <v/>
      </c>
      <c r="BV77" s="126">
        <f ca="1">IF(AND(tblData[[#This Row],[NSW Test Day Number]]&gt;0,ISNUMBER(tblData[[#This Row],[NSW Test Day Number]])),TestsLogestB*TestsLogestM^tblData[[#This Row],[NSW Test Day Number]],"")</f>
        <v>113294.46416318172</v>
      </c>
      <c r="BW77" s="54" t="str">
        <f>IF(AND(tblData[[#This Row],[NSW Test Day Number]]&gt;0,ISNUMBER(tblData[Tests])),(tblData[Tests]-tblData[[#This Row],[NSW Test Per Capita]])^2,"")</f>
        <v/>
      </c>
      <c r="BX77" s="126"/>
      <c r="BY77" s="54"/>
      <c r="CA77"/>
      <c r="CB77" s="25"/>
      <c r="CC77"/>
      <c r="CD77" s="25"/>
      <c r="CE77"/>
      <c r="CF77"/>
      <c r="CG77"/>
      <c r="CH77"/>
      <c r="CI77"/>
      <c r="CJ77"/>
      <c r="CK77"/>
      <c r="CL77"/>
      <c r="CM77"/>
      <c r="CN77"/>
      <c r="CO77" s="25"/>
      <c r="CP77"/>
      <c r="CQ77"/>
      <c r="CR77"/>
      <c r="CS77"/>
      <c r="CT77"/>
      <c r="CU77"/>
      <c r="CV77"/>
      <c r="CW77"/>
      <c r="CX77"/>
      <c r="CY77"/>
      <c r="CZ77" s="25"/>
      <c r="DA77" s="25"/>
      <c r="DB77"/>
      <c r="DC77"/>
      <c r="DD77"/>
      <c r="DE77" s="25"/>
      <c r="DF77" s="25"/>
      <c r="DG77" s="25"/>
      <c r="DH77" s="25"/>
      <c r="DI77"/>
      <c r="DJ77"/>
      <c r="DK77"/>
      <c r="DL77"/>
      <c r="DM77"/>
      <c r="DN77"/>
      <c r="DO77"/>
      <c r="DP77"/>
      <c r="DY77" t="s">
        <v>209</v>
      </c>
      <c r="DZ77" s="76"/>
      <c r="EA77" s="26">
        <v>43852</v>
      </c>
      <c r="EB77" s="26"/>
      <c r="EC77">
        <v>3</v>
      </c>
      <c r="ED77" s="22">
        <v>0.26960395783553237</v>
      </c>
      <c r="EE77" s="24">
        <v>9.0234118240884196E-8</v>
      </c>
      <c r="EF77" s="21">
        <v>0.28960505152543209</v>
      </c>
      <c r="EG77" s="96">
        <v>2987827.2552718031</v>
      </c>
      <c r="EH77" s="21">
        <v>77.269010204642242</v>
      </c>
      <c r="EI77" s="36">
        <v>0.9309365644114127</v>
      </c>
      <c r="EJ77" s="98">
        <v>9.0234118240884196E-5</v>
      </c>
      <c r="EK77" s="26">
        <v>43907</v>
      </c>
      <c r="EL77" s="26" t="s">
        <v>734</v>
      </c>
      <c r="EM77" s="26"/>
      <c r="EN77" s="98">
        <v>7786</v>
      </c>
      <c r="EO77" s="25" t="s">
        <v>735</v>
      </c>
      <c r="EP77" s="26">
        <v>43907</v>
      </c>
      <c r="EQ77" s="25">
        <v>39</v>
      </c>
      <c r="ER77" s="26" t="s">
        <v>736</v>
      </c>
      <c r="ES77"/>
      <c r="ET77" t="s">
        <v>737</v>
      </c>
      <c r="EU77" s="32" t="s">
        <v>690</v>
      </c>
      <c r="EV77" s="18" t="s">
        <v>738</v>
      </c>
      <c r="EW77" s="20">
        <v>236.49282585071069</v>
      </c>
      <c r="EX77" s="82">
        <v>43907</v>
      </c>
      <c r="EY77" s="11">
        <v>-2</v>
      </c>
      <c r="EZ77" s="82">
        <v>43909</v>
      </c>
      <c r="FA77" s="11">
        <v>0</v>
      </c>
      <c r="FB77" s="25"/>
      <c r="FC77" s="25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</row>
    <row r="78" spans="2:194" x14ac:dyDescent="0.25">
      <c r="B78" s="1">
        <f t="shared" si="8"/>
        <v>43919</v>
      </c>
      <c r="D78" s="25"/>
      <c r="L78" s="12" t="str">
        <f>IF(ISNUMBER(tblData[[#This Row],[NSW]]),tblData[[#This Row],[New South Wales]]/$L$9,"")</f>
        <v/>
      </c>
      <c r="M78" s="25"/>
      <c r="N78" s="46" t="str">
        <f>IF(ISNUMBER(tblData[Italy]),tblData[Italy]/$N$9,"")</f>
        <v/>
      </c>
      <c r="O78" s="25"/>
      <c r="P78" s="124" t="str">
        <f>IF(ISNUMBER(tblData[US]),tblData[US]/$P$9,"")</f>
        <v/>
      </c>
      <c r="Q78" s="46"/>
      <c r="R78" s="19" t="str">
        <f>IF(ISNUMBER(tblData[SKorea]),tblData[SKorea]/$R$9,"")</f>
        <v/>
      </c>
      <c r="S78" s="46"/>
      <c r="T78" s="12" t="str">
        <f>IF(ISNUMBER(tblData[UK]),tblData[UK]/$T$9,"")</f>
        <v/>
      </c>
      <c r="U78" s="25"/>
      <c r="V78" s="20" t="str">
        <f>IF(ISNUMBER(tblData[China]),tblData[China]/$V$9,"")</f>
        <v/>
      </c>
      <c r="W78" s="20"/>
      <c r="X78" s="20" t="str">
        <f>IF(ISNUMBER(tblData[Singapore]),tblData[Singapore]/$X$9,"")</f>
        <v/>
      </c>
      <c r="Y78" s="20"/>
      <c r="Z78" s="20" t="str">
        <f>IF(AND(LEN(tblData[Generic])&gt;0,ISNUMBER(tblData[Generic])),tblData[Generic]/$Z$9,"")</f>
        <v/>
      </c>
      <c r="AA78" s="25">
        <f>IF(tblData[[#This Row],[Date]]&lt;ItalyStart,"",tblData[[#This Row],[Date]]-ItalyStart)</f>
        <v>59</v>
      </c>
      <c r="AB78" s="25">
        <f>IF(tblData[[#This Row],[Date]]&lt;USStart,"",tblData[[#This Row],[Date]]-USStart)</f>
        <v>67</v>
      </c>
      <c r="AC78" s="25">
        <f>IF(tblData[[#This Row],[Date]]&lt;ChinaStart,"",tblData[[#This Row],[Date]]-ChinaStart)</f>
        <v>67</v>
      </c>
      <c r="AD78" s="25">
        <f>IF(tblData[[#This Row],[Date]]&lt;StartDt2Korea,"",tblData[[#This Row],[Date]]-StartDt2Korea)</f>
        <v>39</v>
      </c>
      <c r="AE78" s="25">
        <f>IF(tblData[[#This Row],[Date]]&lt;UKStart,"",tblData[[#This Row],[Date]]-UKStart)</f>
        <v>59</v>
      </c>
      <c r="AF78" s="25">
        <f>IF(tblData[[#This Row],[Date]]&lt;SingaporeStart,"",tblData[[#This Row],[Date]]-SingaporeStart)</f>
        <v>66</v>
      </c>
      <c r="AG78" s="25">
        <f>IF(tblData[[#This Row],[Date]]&lt;GenStart,"",tblData[[#This Row],[Date]]-GenStart)</f>
        <v>67</v>
      </c>
      <c r="AH78">
        <f>IF(tblData[Date]&gt;=StartDt2Au,tblData[Date]-StartDt2Au,"")</f>
        <v>64</v>
      </c>
      <c r="AI78" s="25" t="str">
        <f>IF(tblData[New South Wales]&gt;0,SUM(tblData[[#This Row],[Australian Capital Territory]:[Western Australia]]),"")</f>
        <v/>
      </c>
      <c r="AJ78" s="12" t="str">
        <f>IF(ISNUMBER(tblData[Au]),tblData[Au]/$AE$9,"")</f>
        <v/>
      </c>
      <c r="AK78" s="19">
        <f>IF(ISNUMBER(tblData[[#This Row],[Day'# Aust]]),betaAu/(deltaAu+betaPodeltaAu*EXP(-betaAu*tblData[[#This Row],[Day'# Aust]])),"")</f>
        <v>4145.7270425203096</v>
      </c>
      <c r="AL78" s="66">
        <f>IF(ISNUMBER(tblData[Day'# Aust]),tblData[Au LogiP(t)]/$AJ$9,"")</f>
        <v>1634.4926046839259</v>
      </c>
      <c r="AM78" s="11" t="str">
        <f>IF(AND(tblData[Date]&gt;=StartDt2Au,ISNUMBER(tblData[NSW])),(tblData[[#This Row],[Au LogiP(t)]]-tblData[[#This Row],[Au]])^2,"")</f>
        <v/>
      </c>
      <c r="AN78">
        <f>IF(tblData[Date]&gt;StartDt2NSW,tblData[Date]-StartDt2NSW,"")</f>
        <v>64</v>
      </c>
      <c r="AO78" s="25" t="str">
        <f t="shared" si="7"/>
        <v/>
      </c>
      <c r="AP78" s="11">
        <f>IF(tblData[Date]&gt;StartDt2NSW,betaNSW/(deltaNSW+betaPodeltaNSW*EXP(-betaNSW*tblData[[#This Row],[Day '# NSW]])),"")</f>
        <v>2056.5102849737455</v>
      </c>
      <c r="AQ78" s="12" t="str">
        <f>IF(AND(ISNUMBER(tblData[NSW]),tblData[Date]&gt;StartDt2NSW),(tblData[[#This Row],[NSW LogiP(t)]]-tblData[[#This Row],[NSW]])^2,"")</f>
        <v/>
      </c>
      <c r="AR78" s="12">
        <f>IF(AND(tblData[Date]&gt;StartDt2NSW,ISNUMBER(tblData[Day'# Aust])),tblData[NSW LogiP(t)]/$AQ$9,"")</f>
        <v>2545.1859962546355</v>
      </c>
      <c r="AS78" s="11">
        <f>IF(AND(tblData[Date]&gt;StartDt2Italy,ISNUMBER(tblData[Days'# Italy])),betaItaly/(deltaItaly+betaPodeltaItaly*EXP(-betaItaly*tblData[Days'# Italy])),"")</f>
        <v>72900.704444298171</v>
      </c>
      <c r="AT78" s="11" t="str">
        <f>IF(AND(tblData[Date]&gt;StartDt2Italy,ISNUMBER(tblData[Italy])),(tblData[[#This Row],[Italy LogiP(t)]]-tblData[[#This Row],[Italy]])^2,"")</f>
        <v/>
      </c>
      <c r="AU78" s="41">
        <f>IF(AND(tblData[Date]&gt;StartDt2Italy,ISNUMBER(tblData[Days'# Italy])),tblData[[#This Row],[Italy LogiP(t)]]/$AT$9,"")</f>
        <v>12052.691484549587</v>
      </c>
      <c r="AV78" s="20">
        <f>IF(ISNUMBER(tblData[[#This Row],[Days'# US]]),betaUS/(deltaUS+betaPodeltaUS*EXP(-betaUS*tblData[Days'# US])),"")</f>
        <v>110069.81429818377</v>
      </c>
      <c r="AW78" s="11" t="str">
        <f>IF(AND(tblData[Date]&gt;=StartDt2US,ISNUMBER(tblData[US])),(tblData[[#This Row],[US LogiP(t)]]-tblData[US])^2,"")</f>
        <v/>
      </c>
      <c r="AX78" s="20">
        <f>IF(ISNUMBER(tblData[[#This Row],[Days'# US]]),tblData[[#This Row],[US LogiP(t)]]/$AW$9,"")</f>
        <v>3343.2727233804826</v>
      </c>
      <c r="AY78" s="20">
        <f>IF(tblData[Date]&gt;=StartDt2Korea,betaSKorea/(deltaSKorea+betaPodeltaSKorea*EXP(-betaSKorea*(tblData[Date]-StartDt2Korea))),"")</f>
        <v>8604.8487329909094</v>
      </c>
      <c r="AZ78" s="20" t="str">
        <f>IF(AND(tblData[Date]&gt;=StartDt2Korea,ISNUMBER(tblData[SKorea])),(tblData[[#This Row],[SKorea LogiP(t)]]-tblData[[#This Row],[SKorea]])^2,"")</f>
        <v/>
      </c>
      <c r="BA78" s="20">
        <f>IF(tblData[Date]&gt;=StartDt2Korea,tblData[[#This Row],[SKorea LogiP(t)]]/$AZ$9,"")</f>
        <v>1674.0950842394766</v>
      </c>
      <c r="BB78" s="11">
        <f>IF(ISNUMBER(tblData[Days'# UK]),betaUK/(deltaUK+betaPodeltaUK*EXP(-betaUK*tblData[Days'# UK])),"")</f>
        <v>14072.934399326949</v>
      </c>
      <c r="BC78" s="20" t="str">
        <f>IF(ISNUMBER(tblData[UK]),(tblData[[#This Row],[UK LogiP(t)]]-tblData[[#This Row],[UK]])^2,"")</f>
        <v/>
      </c>
      <c r="BD78" s="20">
        <f>IF(ISNUMBER(tblData[Days'# UK]),tblData[[#This Row],[UK LogiP(t)]]/$BC$9,"")</f>
        <v>2118.1418421623944</v>
      </c>
      <c r="BE78" s="11">
        <f>IF(ISNUMBER(tblData[Days'# China]),betaChina/(deltaChina+betaPodeltaChina*EXP(-betaChina*tblData[Days'# China])),"")</f>
        <v>81014.522071433676</v>
      </c>
      <c r="BF78" s="11" t="str">
        <f>IF(ISNUMBER(tblData[China]),(tblData[[#This Row],[China LogiP(t)]]-tblData[[#This Row],[China]])^2,"")</f>
        <v/>
      </c>
      <c r="BG78" s="11">
        <f>tblData[[#This Row],[China LogiP(t)]]/$BF$9</f>
        <v>562.86516920174654</v>
      </c>
      <c r="BH78" s="11">
        <f>IF(ISNUMBER(tblData[Day'# Singapore]),betaSingapore/(deltaSingapore+betaPodeltaSingapore*EXP(-betaSingapore*tblData[Day'# Singapore])),"")</f>
        <v>762.87711971964211</v>
      </c>
      <c r="BI78" s="11" t="str">
        <f>IF(AND(ISNUMBER(tblData[Singapore]),tblData[Date]&gt;=StartDt2Singapore),(tblData[[#This Row],[Singapore LogiP(t)]]-tblData[[#This Row],[Singapore]])^2,"")</f>
        <v/>
      </c>
      <c r="BJ78" s="11">
        <f>IF(ISNUMBER(tblData[Day'# Singapore]),tblData[Singapore LogiP(t)]/$BI$9,"")</f>
        <v>1304.0634525122089</v>
      </c>
      <c r="BK78" s="11">
        <f>IF(ISNUMBER(tblData[Day'# Generic]),betaGeneric/(deltaGeneric+betaPodeltaGeneric*EXP(-betaGeneric*tblData[Day'# Generic])),"")</f>
        <v>67307.937310060879</v>
      </c>
      <c r="BL78" s="11" t="str">
        <f>IF(AND(ISNUMBER(tblData[Generic]),tblData[Date]&gt;=StartDt2Generic),(tblData[Generic LogiP(t)]-tblData[[#This Row],[Generic]])^2,"")</f>
        <v/>
      </c>
      <c r="BM78" s="11">
        <f>IF(ISNUMBER(tblData[Day'# Generic]),tblData[Generic LogiP(t)]/$BL$9,"")</f>
        <v>11505.630309412118</v>
      </c>
      <c r="BN78" s="11"/>
      <c r="BO78" s="11"/>
      <c r="BP78" s="11" t="str">
        <f>IF(ISNUMBER(tblData[[#This Row],[Tests]]),tblData[[#This Row],[Tests]]-BP77,"")</f>
        <v/>
      </c>
      <c r="BQ78" s="11" t="str">
        <f>IF(ISNUMBER(tblData[[#This Row],[NSW Under Investigation'']]),tblData[[#This Row],[NSW Under Investigation'']]-BO77,"")</f>
        <v/>
      </c>
      <c r="BR78" s="11">
        <f>IF(tblData[[#This Row],[Date]]&gt;myData!TestsStart,tblData[[#This Row],[Date]]-myData!TestsStart,"")</f>
        <v>24</v>
      </c>
      <c r="BS78" s="11">
        <f>IF(AND(tblData[[#This Row],[NSW Test Day Number]]&gt;0,ISNUMBER(tblData[[#This Row],[NSW Test Day Number]])),betaTests/(deltaTests+betaPodeltaTests*EXP(-betaTests*tblData[[#This Row],[NSW Test Day Number]])),"")</f>
        <v>85191.537788463625</v>
      </c>
      <c r="BT78" s="11" t="str">
        <f>IF(tblData[Tests]&gt;0,(tblData[[#This Row],[Tests]]-tblData[[#This Row],[NSW Test Logi]])^2,"")</f>
        <v/>
      </c>
      <c r="BU78" s="11" t="str">
        <f>IF(ISNUMBER(tblData[Tests]),tblData[Tests]/$BS$9/100,"")</f>
        <v/>
      </c>
      <c r="BV78" s="124">
        <f ca="1">IF(AND(tblData[[#This Row],[NSW Test Day Number]]&gt;0,ISNUMBER(tblData[[#This Row],[NSW Test Day Number]])),TestsLogestB*TestsLogestM^tblData[[#This Row],[NSW Test Day Number]],"")</f>
        <v>129682.6181576346</v>
      </c>
      <c r="BW78" s="11" t="str">
        <f>IF(AND(tblData[[#This Row],[NSW Test Day Number]]&gt;0,ISNUMBER(tblData[Tests])),(tblData[Tests]-tblData[[#This Row],[NSW Test Per Capita]])^2,"")</f>
        <v/>
      </c>
      <c r="BX78" s="124"/>
      <c r="BY78" s="11"/>
      <c r="BZ78"/>
      <c r="CB78" s="25"/>
      <c r="CD78" s="25"/>
      <c r="CK78"/>
      <c r="CL78"/>
      <c r="CO78" s="25"/>
      <c r="CZ78" s="25"/>
      <c r="DA78" s="25"/>
      <c r="DC78"/>
      <c r="DD78"/>
      <c r="DG78" s="25"/>
      <c r="DH78" s="25"/>
      <c r="DV78"/>
      <c r="DW78"/>
      <c r="DX78"/>
      <c r="DY78" t="s">
        <v>209</v>
      </c>
      <c r="DZ78" s="76">
        <v>43911.866307870368</v>
      </c>
      <c r="EA78" s="26">
        <v>43852</v>
      </c>
      <c r="EB78" s="26">
        <v>43870</v>
      </c>
      <c r="EC78">
        <v>3</v>
      </c>
      <c r="ED78" s="25">
        <v>0.34769529201458815</v>
      </c>
      <c r="EE78" s="24">
        <v>1.0000000000000751E-9</v>
      </c>
      <c r="EF78" s="25">
        <v>1.709986186409522E-2</v>
      </c>
      <c r="EG78" s="96">
        <v>347695292.01456201</v>
      </c>
      <c r="EH78" s="19">
        <v>315.73237932545749</v>
      </c>
      <c r="EI78" s="12">
        <v>20.333222265821231</v>
      </c>
      <c r="EJ78" s="98">
        <v>1.0000000000000751E-6</v>
      </c>
      <c r="EK78" s="26">
        <v>43910</v>
      </c>
      <c r="EL78" s="25" t="s">
        <v>1072</v>
      </c>
      <c r="EM78" s="25"/>
      <c r="EN78" s="98">
        <v>19100</v>
      </c>
      <c r="EO78" s="25" t="s">
        <v>1073</v>
      </c>
      <c r="EP78" s="26">
        <v>43910</v>
      </c>
      <c r="EQ78" s="25">
        <v>41</v>
      </c>
      <c r="ER78" s="25" t="s">
        <v>1074</v>
      </c>
      <c r="ET78" t="s">
        <v>1075</v>
      </c>
      <c r="EU78" t="s">
        <v>690</v>
      </c>
      <c r="EV78" t="s">
        <v>1076</v>
      </c>
      <c r="EW78">
        <v>580.14551422406544</v>
      </c>
      <c r="EX78" s="82">
        <v>43910</v>
      </c>
      <c r="EY78">
        <v>1</v>
      </c>
      <c r="EZ78" s="82">
        <v>43910</v>
      </c>
      <c r="FA78">
        <v>1</v>
      </c>
      <c r="FC78" s="25"/>
    </row>
    <row r="79" spans="2:194" x14ac:dyDescent="0.25">
      <c r="B79" s="1">
        <f t="shared" si="8"/>
        <v>43920</v>
      </c>
      <c r="D79" s="25"/>
      <c r="L79" s="12" t="str">
        <f>IF(ISNUMBER(tblData[[#This Row],[NSW]]),tblData[[#This Row],[New South Wales]]/$L$9,"")</f>
        <v/>
      </c>
      <c r="M79" s="25"/>
      <c r="N79" s="46" t="str">
        <f>IF(ISNUMBER(tblData[Italy]),tblData[Italy]/$N$9,"")</f>
        <v/>
      </c>
      <c r="O79" s="25"/>
      <c r="P79" s="124" t="str">
        <f>IF(ISNUMBER(tblData[US]),tblData[US]/$P$9,"")</f>
        <v/>
      </c>
      <c r="Q79" s="46"/>
      <c r="R79" s="19" t="str">
        <f>IF(ISNUMBER(tblData[SKorea]),tblData[SKorea]/$R$9,"")</f>
        <v/>
      </c>
      <c r="S79" s="46"/>
      <c r="T79" s="12" t="str">
        <f>IF(ISNUMBER(tblData[UK]),tblData[UK]/$T$9,"")</f>
        <v/>
      </c>
      <c r="U79" s="25"/>
      <c r="V79" s="20" t="str">
        <f>IF(ISNUMBER(tblData[China]),tblData[China]/$V$9,"")</f>
        <v/>
      </c>
      <c r="W79" s="20"/>
      <c r="X79" s="20" t="str">
        <f>IF(ISNUMBER(tblData[Singapore]),tblData[Singapore]/$X$9,"")</f>
        <v/>
      </c>
      <c r="Y79" s="20"/>
      <c r="Z79" s="20" t="str">
        <f>IF(AND(LEN(tblData[Generic])&gt;0,ISNUMBER(tblData[Generic])),tblData[Generic]/$Z$9,"")</f>
        <v/>
      </c>
      <c r="AA79" s="25">
        <f>IF(tblData[[#This Row],[Date]]&lt;ItalyStart,"",tblData[[#This Row],[Date]]-ItalyStart)</f>
        <v>60</v>
      </c>
      <c r="AB79" s="25">
        <f>IF(tblData[[#This Row],[Date]]&lt;USStart,"",tblData[[#This Row],[Date]]-USStart)</f>
        <v>68</v>
      </c>
      <c r="AC79" s="25">
        <f>IF(tblData[[#This Row],[Date]]&lt;ChinaStart,"",tblData[[#This Row],[Date]]-ChinaStart)</f>
        <v>68</v>
      </c>
      <c r="AD79" s="25">
        <f>IF(tblData[[#This Row],[Date]]&lt;StartDt2Korea,"",tblData[[#This Row],[Date]]-StartDt2Korea)</f>
        <v>40</v>
      </c>
      <c r="AE79" s="25">
        <f>IF(tblData[[#This Row],[Date]]&lt;UKStart,"",tblData[[#This Row],[Date]]-UKStart)</f>
        <v>60</v>
      </c>
      <c r="AF79" s="25">
        <f>IF(tblData[[#This Row],[Date]]&lt;SingaporeStart,"",tblData[[#This Row],[Date]]-SingaporeStart)</f>
        <v>67</v>
      </c>
      <c r="AG79" s="25">
        <f>IF(tblData[[#This Row],[Date]]&lt;GenStart,"",tblData[[#This Row],[Date]]-GenStart)</f>
        <v>68</v>
      </c>
      <c r="AH79">
        <f>IF(tblData[Date]&gt;=StartDt2Au,tblData[Date]-StartDt2Au,"")</f>
        <v>65</v>
      </c>
      <c r="AI79" s="25" t="str">
        <f>IF(tblData[New South Wales]&gt;0,SUM(tblData[[#This Row],[Australian Capital Territory]:[Western Australia]]),"")</f>
        <v/>
      </c>
      <c r="AJ79" s="12" t="str">
        <f>IF(ISNUMBER(tblData[Au]),tblData[Au]/$AE$9,"")</f>
        <v/>
      </c>
      <c r="AK79" s="19">
        <f>IF(ISNUMBER(tblData[[#This Row],[Day'# Aust]]),betaAu/(deltaAu+betaPodeltaAu*EXP(-betaAu*tblData[[#This Row],[Day'# Aust]])),"")</f>
        <v>4563.3052022020765</v>
      </c>
      <c r="AL79" s="66">
        <f>IF(ISNUMBER(tblData[Day'# Aust]),tblData[Au LogiP(t)]/$AJ$9,"")</f>
        <v>1799.1267947492811</v>
      </c>
      <c r="AM79" s="11" t="str">
        <f>IF(AND(tblData[Date]&gt;=StartDt2Au,ISNUMBER(tblData[NSW])),(tblData[[#This Row],[Au LogiP(t)]]-tblData[[#This Row],[Au]])^2,"")</f>
        <v/>
      </c>
      <c r="AN79">
        <f>IF(tblData[Date]&gt;StartDt2NSW,tblData[Date]-StartDt2NSW,"")</f>
        <v>65</v>
      </c>
      <c r="AO79" s="25" t="str">
        <f t="shared" si="7"/>
        <v/>
      </c>
      <c r="AP79" s="11">
        <f>IF(tblData[Date]&gt;StartDt2NSW,betaNSW/(deltaNSW+betaPodeltaNSW*EXP(-betaNSW*tblData[[#This Row],[Day '# NSW]])),"")</f>
        <v>2413.5111631180444</v>
      </c>
      <c r="AQ79" s="12" t="str">
        <f>IF(AND(ISNUMBER(tblData[NSW]),tblData[Date]&gt;StartDt2NSW),(tblData[[#This Row],[NSW LogiP(t)]]-tblData[[#This Row],[NSW]])^2,"")</f>
        <v/>
      </c>
      <c r="AR79" s="12">
        <f>IF(AND(tblData[Date]&gt;StartDt2NSW,ISNUMBER(tblData[Day'# Aust])),tblData[NSW LogiP(t)]/$AQ$9,"")</f>
        <v>2987.0187662352032</v>
      </c>
      <c r="AS79" s="11">
        <f>IF(AND(tblData[Date]&gt;StartDt2Italy,ISNUMBER(tblData[Days'# Italy])),betaItaly/(deltaItaly+betaPodeltaItaly*EXP(-betaItaly*tblData[Days'# Italy])),"")</f>
        <v>73594.401135229229</v>
      </c>
      <c r="AT79" s="11" t="str">
        <f>IF(AND(tblData[Date]&gt;StartDt2Italy,ISNUMBER(tblData[Italy])),(tblData[[#This Row],[Italy LogiP(t)]]-tblData[[#This Row],[Italy]])^2,"")</f>
        <v/>
      </c>
      <c r="AU79" s="41">
        <f>IF(AND(tblData[Date]&gt;StartDt2Italy,ISNUMBER(tblData[Days'# Italy])),tblData[[#This Row],[Italy LogiP(t)]]/$AT$9,"")</f>
        <v>12167.380529921342</v>
      </c>
      <c r="AV79" s="20">
        <f>IF(ISNUMBER(tblData[[#This Row],[Days'# US]]),betaUS/(deltaUS+betaPodeltaUS*EXP(-betaUS*tblData[Days'# US])),"")</f>
        <v>122288.91424267375</v>
      </c>
      <c r="AW79" s="11" t="str">
        <f>IF(AND(tblData[Date]&gt;=StartDt2US,ISNUMBER(tblData[US])),(tblData[[#This Row],[US LogiP(t)]]-tblData[US])^2,"")</f>
        <v/>
      </c>
      <c r="AX79" s="20">
        <f>IF(ISNUMBER(tblData[[#This Row],[Days'# US]]),tblData[[#This Row],[US LogiP(t)]]/$AW$9,"")</f>
        <v>3714.4170176554244</v>
      </c>
      <c r="AY79" s="20">
        <f>IF(tblData[Date]&gt;=StartDt2Korea,betaSKorea/(deltaSKorea+betaPodeltaSKorea*EXP(-betaSKorea*(tblData[Date]-StartDt2Korea))),"")</f>
        <v>8605.5506607354127</v>
      </c>
      <c r="AZ79" s="20" t="str">
        <f>IF(AND(tblData[Date]&gt;=StartDt2Korea,ISNUMBER(tblData[SKorea])),(tblData[[#This Row],[SKorea LogiP(t)]]-tblData[[#This Row],[SKorea]])^2,"")</f>
        <v/>
      </c>
      <c r="BA79" s="20">
        <f>IF(tblData[Date]&gt;=StartDt2Korea,tblData[[#This Row],[SKorea LogiP(t)]]/$AZ$9,"")</f>
        <v>1674.2316460574734</v>
      </c>
      <c r="BB79" s="11">
        <f>IF(ISNUMBER(tblData[Days'# UK]),betaUK/(deltaUK+betaPodeltaUK*EXP(-betaUK*tblData[Days'# UK])),"")</f>
        <v>15235.522164191787</v>
      </c>
      <c r="BC79" s="20" t="str">
        <f>IF(ISNUMBER(tblData[UK]),(tblData[[#This Row],[UK LogiP(t)]]-tblData[[#This Row],[UK]])^2,"")</f>
        <v/>
      </c>
      <c r="BD79" s="20">
        <f>IF(ISNUMBER(tblData[Days'# UK]),tblData[[#This Row],[UK LogiP(t)]]/$BC$9,"")</f>
        <v>2293.1249494569215</v>
      </c>
      <c r="BE79" s="11">
        <f>IF(ISNUMBER(tblData[Days'# China]),betaChina/(deltaChina+betaPodeltaChina*EXP(-betaChina*tblData[Days'# China])),"")</f>
        <v>81014.808738955209</v>
      </c>
      <c r="BF79" s="11" t="str">
        <f>IF(ISNUMBER(tblData[China]),(tblData[[#This Row],[China LogiP(t)]]-tblData[[#This Row],[China]])^2,"")</f>
        <v/>
      </c>
      <c r="BG79" s="11">
        <f>tblData[[#This Row],[China LogiP(t)]]/$BF$9</f>
        <v>562.8671608837177</v>
      </c>
      <c r="BH79" s="11">
        <f>IF(ISNUMBER(tblData[Day'# Singapore]),betaSingapore/(deltaSingapore+betaPodeltaSingapore*EXP(-betaSingapore*tblData[Day'# Singapore])),"")</f>
        <v>821.86357979498507</v>
      </c>
      <c r="BI79" s="11" t="str">
        <f>IF(AND(ISNUMBER(tblData[Singapore]),tblData[Date]&gt;=StartDt2Singapore),(tblData[[#This Row],[Singapore LogiP(t)]]-tblData[[#This Row],[Singapore]])^2,"")</f>
        <v/>
      </c>
      <c r="BJ79" s="11">
        <f>IF(ISNUMBER(tblData[Day'# Singapore]),tblData[Singapore LogiP(t)]/$BI$9,"")</f>
        <v>1404.8950081965559</v>
      </c>
      <c r="BK79" s="11">
        <f>IF(ISNUMBER(tblData[Day'# Generic]),betaGeneric/(deltaGeneric+betaPodeltaGeneric*EXP(-betaGeneric*tblData[Day'# Generic])),"")</f>
        <v>67308.166560999918</v>
      </c>
      <c r="BL79" s="11" t="str">
        <f>IF(AND(ISNUMBER(tblData[Generic]),tblData[Date]&gt;=StartDt2Generic),(tblData[Generic LogiP(t)]-tblData[[#This Row],[Generic]])^2,"")</f>
        <v/>
      </c>
      <c r="BM79" s="11">
        <f>IF(ISNUMBER(tblData[Day'# Generic]),tblData[Generic LogiP(t)]/$BL$9,"")</f>
        <v>11505.669497606825</v>
      </c>
      <c r="BN79" s="11"/>
      <c r="BO79" s="11"/>
      <c r="BP79" s="11" t="str">
        <f>IF(ISNUMBER(tblData[[#This Row],[Tests]]),tblData[[#This Row],[Tests]]-BP78,"")</f>
        <v/>
      </c>
      <c r="BQ79" s="11" t="str">
        <f>IF(ISNUMBER(tblData[[#This Row],[NSW Under Investigation'']]),tblData[[#This Row],[NSW Under Investigation'']]-BO78,"")</f>
        <v/>
      </c>
      <c r="BR79" s="11">
        <f>IF(tblData[[#This Row],[Date]]&gt;myData!TestsStart,tblData[[#This Row],[Date]]-myData!TestsStart,"")</f>
        <v>25</v>
      </c>
      <c r="BS79" s="11">
        <f>IF(AND(tblData[[#This Row],[NSW Test Day Number]]&gt;0,ISNUMBER(tblData[[#This Row],[NSW Test Day Number]])),betaTests/(deltaTests+betaPodeltaTests*EXP(-betaTests*tblData[[#This Row],[NSW Test Day Number]])),"")</f>
        <v>88564.26332857438</v>
      </c>
      <c r="BT79" s="11" t="str">
        <f>IF(tblData[Tests]&gt;0,(tblData[[#This Row],[Tests]]-tblData[[#This Row],[NSW Test Logi]])^2,"")</f>
        <v/>
      </c>
      <c r="BU79" s="11" t="str">
        <f>IF(ISNUMBER(tblData[Tests]),tblData[Tests]/$BS$9/100,"")</f>
        <v/>
      </c>
      <c r="BV79" s="124">
        <f ca="1">IF(AND(tblData[[#This Row],[NSW Test Day Number]]&gt;0,ISNUMBER(tblData[[#This Row],[NSW Test Day Number]])),TestsLogestB*TestsLogestM^tblData[[#This Row],[NSW Test Day Number]],"")</f>
        <v>148441.33450329883</v>
      </c>
      <c r="BW79" s="11" t="str">
        <f>IF(AND(tblData[[#This Row],[NSW Test Day Number]]&gt;0,ISNUMBER(tblData[Tests])),(tblData[Tests]-tblData[[#This Row],[NSW Test Per Capita]])^2,"")</f>
        <v/>
      </c>
      <c r="BX79" s="124"/>
      <c r="BY79" s="11"/>
      <c r="BZ79"/>
      <c r="CB79" s="25"/>
      <c r="CD79" s="25"/>
      <c r="CK79"/>
      <c r="CL79"/>
      <c r="CO79" s="25"/>
      <c r="CZ79" s="25"/>
      <c r="DA79" s="25"/>
      <c r="DC79"/>
      <c r="DD79" s="50"/>
      <c r="DE79" s="50"/>
      <c r="DF79" s="50"/>
      <c r="DG79" s="50"/>
      <c r="DH79" s="50"/>
      <c r="DI79" s="50"/>
      <c r="DJ79" s="50"/>
      <c r="DK79" s="50"/>
      <c r="DL79" s="50"/>
      <c r="DM79" s="50"/>
      <c r="DN79" s="50"/>
      <c r="DO79" s="50"/>
      <c r="DP79" s="50"/>
      <c r="DV79"/>
      <c r="DW79"/>
      <c r="DX79"/>
      <c r="DY79" t="s">
        <v>209</v>
      </c>
      <c r="EA79" s="26">
        <v>43852</v>
      </c>
      <c r="EC79">
        <v>3</v>
      </c>
      <c r="ED79" s="25">
        <v>0.26960395737241599</v>
      </c>
      <c r="EE79" s="24">
        <v>2.2999968774326208E-6</v>
      </c>
      <c r="EF79" s="25">
        <v>0.28960505147680476</v>
      </c>
      <c r="EG79" s="96">
        <v>117219.27104238607</v>
      </c>
      <c r="EH79" s="19">
        <v>681.80877800845474</v>
      </c>
      <c r="EI79" s="12">
        <v>0.9309343532058354</v>
      </c>
      <c r="EJ79" s="98">
        <v>2.2999968774326208E-3</v>
      </c>
      <c r="EK79" s="26">
        <v>43910</v>
      </c>
      <c r="EL79" s="25" t="s">
        <v>1002</v>
      </c>
      <c r="EM79" s="25"/>
      <c r="EN79" s="98">
        <v>14366</v>
      </c>
      <c r="EO79" s="25" t="s">
        <v>1003</v>
      </c>
      <c r="EP79" s="26">
        <v>43909</v>
      </c>
      <c r="EQ79" s="25">
        <v>41</v>
      </c>
      <c r="ER79" s="25" t="s">
        <v>1004</v>
      </c>
      <c r="ET79" t="s">
        <v>1005</v>
      </c>
      <c r="EU79" t="s">
        <v>690</v>
      </c>
      <c r="EV79" t="s">
        <v>1006</v>
      </c>
      <c r="EW79">
        <v>436.35447420643584</v>
      </c>
      <c r="EX79" s="82">
        <v>43910</v>
      </c>
      <c r="EY79">
        <v>0</v>
      </c>
      <c r="EZ79" s="82">
        <v>43909</v>
      </c>
      <c r="FA79">
        <v>1</v>
      </c>
      <c r="FC79" s="25"/>
      <c r="FD79" s="25"/>
    </row>
    <row r="80" spans="2:194" x14ac:dyDescent="0.25">
      <c r="B80" s="1">
        <f t="shared" si="8"/>
        <v>43921</v>
      </c>
      <c r="D80" s="25"/>
      <c r="L80" s="12" t="str">
        <f>IF(ISNUMBER(tblData[[#This Row],[NSW]]),tblData[[#This Row],[New South Wales]]/$L$9,"")</f>
        <v/>
      </c>
      <c r="M80" s="25"/>
      <c r="N80" s="46" t="str">
        <f>IF(ISNUMBER(tblData[Italy]),tblData[Italy]/$N$9,"")</f>
        <v/>
      </c>
      <c r="O80" s="25"/>
      <c r="P80" s="124" t="str">
        <f>IF(ISNUMBER(tblData[US]),tblData[US]/$P$9,"")</f>
        <v/>
      </c>
      <c r="Q80" s="46"/>
      <c r="R80" s="19" t="str">
        <f>IF(ISNUMBER(tblData[SKorea]),tblData[SKorea]/$R$9,"")</f>
        <v/>
      </c>
      <c r="S80" s="46"/>
      <c r="T80" s="12" t="str">
        <f>IF(ISNUMBER(tblData[UK]),tblData[UK]/$T$9,"")</f>
        <v/>
      </c>
      <c r="U80" s="25"/>
      <c r="V80" s="20" t="str">
        <f>IF(ISNUMBER(tblData[China]),tblData[China]/$V$9,"")</f>
        <v/>
      </c>
      <c r="W80" s="20"/>
      <c r="X80" s="20" t="str">
        <f>IF(ISNUMBER(tblData[Singapore]),tblData[Singapore]/$X$9,"")</f>
        <v/>
      </c>
      <c r="Y80" s="20"/>
      <c r="Z80" s="20" t="str">
        <f>IF(AND(LEN(tblData[Generic])&gt;0,ISNUMBER(tblData[Generic])),tblData[Generic]/$Z$9,"")</f>
        <v/>
      </c>
      <c r="AA80" s="25">
        <f>IF(tblData[[#This Row],[Date]]&lt;ItalyStart,"",tblData[[#This Row],[Date]]-ItalyStart)</f>
        <v>61</v>
      </c>
      <c r="AB80" s="25">
        <f>IF(tblData[[#This Row],[Date]]&lt;USStart,"",tblData[[#This Row],[Date]]-USStart)</f>
        <v>69</v>
      </c>
      <c r="AC80" s="25">
        <f>IF(tblData[[#This Row],[Date]]&lt;ChinaStart,"",tblData[[#This Row],[Date]]-ChinaStart)</f>
        <v>69</v>
      </c>
      <c r="AD80" s="25">
        <f>IF(tblData[[#This Row],[Date]]&lt;StartDt2Korea,"",tblData[[#This Row],[Date]]-StartDt2Korea)</f>
        <v>41</v>
      </c>
      <c r="AE80" s="25">
        <f>IF(tblData[[#This Row],[Date]]&lt;UKStart,"",tblData[[#This Row],[Date]]-UKStart)</f>
        <v>61</v>
      </c>
      <c r="AF80" s="25">
        <f>IF(tblData[[#This Row],[Date]]&lt;SingaporeStart,"",tblData[[#This Row],[Date]]-SingaporeStart)</f>
        <v>68</v>
      </c>
      <c r="AG80" s="25">
        <f>IF(tblData[[#This Row],[Date]]&lt;GenStart,"",tblData[[#This Row],[Date]]-GenStart)</f>
        <v>69</v>
      </c>
      <c r="AH80">
        <f>IF(tblData[Date]&gt;=StartDt2Au,tblData[Date]-StartDt2Au,"")</f>
        <v>66</v>
      </c>
      <c r="AI80" s="25" t="str">
        <f>IF(tblData[New South Wales]&gt;0,SUM(tblData[[#This Row],[Australian Capital Territory]:[Western Australia]]),"")</f>
        <v/>
      </c>
      <c r="AJ80" s="12" t="str">
        <f>IF(ISNUMBER(tblData[Au]),tblData[Au]/$AE$9,"")</f>
        <v/>
      </c>
      <c r="AK80" s="19">
        <f>IF(ISNUMBER(tblData[[#This Row],[Day'# Aust]]),betaAu/(deltaAu+betaPodeltaAu*EXP(-betaAu*tblData[[#This Row],[Day'# Aust]])),"")</f>
        <v>4950.9063402788443</v>
      </c>
      <c r="AL80" s="66">
        <f>IF(ISNUMBER(tblData[Day'# Aust]),tblData[Au LogiP(t)]/$AJ$9,"")</f>
        <v>1951.9422568517759</v>
      </c>
      <c r="AM80" s="11" t="str">
        <f>IF(AND(tblData[Date]&gt;=StartDt2Au,ISNUMBER(tblData[NSW])),(tblData[[#This Row],[Au LogiP(t)]]-tblData[[#This Row],[Au]])^2,"")</f>
        <v/>
      </c>
      <c r="AN80">
        <f>IF(tblData[Date]&gt;StartDt2NSW,tblData[Date]-StartDt2NSW,"")</f>
        <v>66</v>
      </c>
      <c r="AO80" s="25" t="str">
        <f t="shared" si="7"/>
        <v/>
      </c>
      <c r="AP80" s="11">
        <f>IF(tblData[Date]&gt;StartDt2NSW,betaNSW/(deltaNSW+betaPodeltaNSW*EXP(-betaNSW*tblData[[#This Row],[Day '# NSW]])),"")</f>
        <v>2809.4044959697458</v>
      </c>
      <c r="AQ80" s="12" t="str">
        <f>IF(AND(ISNUMBER(tblData[NSW]),tblData[Date]&gt;StartDt2NSW),(tblData[[#This Row],[NSW LogiP(t)]]-tblData[[#This Row],[NSW]])^2,"")</f>
        <v/>
      </c>
      <c r="AR80" s="12">
        <f>IF(AND(tblData[Date]&gt;StartDt2NSW,ISNUMBER(tblData[Day'# Aust])),tblData[NSW LogiP(t)]/$AQ$9,"")</f>
        <v>3476.9857623387938</v>
      </c>
      <c r="AS80" s="11">
        <f>IF(AND(tblData[Date]&gt;StartDt2Italy,ISNUMBER(tblData[Days'# Italy])),betaItaly/(deltaItaly+betaPodeltaItaly*EXP(-betaItaly*tblData[Days'# Italy])),"")</f>
        <v>74139.714201982337</v>
      </c>
      <c r="AT80" s="11" t="str">
        <f>IF(AND(tblData[Date]&gt;StartDt2Italy,ISNUMBER(tblData[Italy])),(tblData[[#This Row],[Italy LogiP(t)]]-tblData[[#This Row],[Italy]])^2,"")</f>
        <v/>
      </c>
      <c r="AU80" s="41">
        <f>IF(AND(tblData[Date]&gt;StartDt2Italy,ISNUMBER(tblData[Days'# Italy])),tblData[[#This Row],[Italy LogiP(t)]]/$AT$9,"")</f>
        <v>12257.537274031965</v>
      </c>
      <c r="AV80" s="20">
        <f>IF(ISNUMBER(tblData[[#This Row],[Days'# US]]),betaUS/(deltaUS+betaPodeltaUS*EXP(-betaUS*tblData[Days'# US])),"")</f>
        <v>133521.36613710964</v>
      </c>
      <c r="AW80" s="11" t="str">
        <f>IF(AND(tblData[Date]&gt;=StartDt2US,ISNUMBER(tblData[US])),(tblData[[#This Row],[US LogiP(t)]]-tblData[US])^2,"")</f>
        <v/>
      </c>
      <c r="AX80" s="20">
        <f>IF(ISNUMBER(tblData[[#This Row],[Days'# US]]),tblData[[#This Row],[US LogiP(t)]]/$AW$9,"")</f>
        <v>4055.592754843623</v>
      </c>
      <c r="AY80" s="20">
        <f>IF(tblData[Date]&gt;=StartDt2Korea,betaSKorea/(deltaSKorea+betaPodeltaSKorea*EXP(-betaSKorea*(tblData[Date]-StartDt2Korea))),"")</f>
        <v>8606.070632928846</v>
      </c>
      <c r="AZ80" s="20" t="str">
        <f>IF(AND(tblData[Date]&gt;=StartDt2Korea,ISNUMBER(tblData[SKorea])),(tblData[[#This Row],[SKorea LogiP(t)]]-tblData[[#This Row],[SKorea]])^2,"")</f>
        <v/>
      </c>
      <c r="BA80" s="20">
        <f>IF(tblData[Date]&gt;=StartDt2Korea,tblData[[#This Row],[SKorea LogiP(t)]]/$AZ$9,"")</f>
        <v>1674.3328079628106</v>
      </c>
      <c r="BB80" s="11">
        <f>IF(ISNUMBER(tblData[Days'# UK]),betaUK/(deltaUK+betaPodeltaUK*EXP(-betaUK*tblData[Days'# UK])),"")</f>
        <v>16297.399562190702</v>
      </c>
      <c r="BC80" s="20" t="str">
        <f>IF(ISNUMBER(tblData[UK]),(tblData[[#This Row],[UK LogiP(t)]]-tblData[[#This Row],[UK]])^2,"")</f>
        <v/>
      </c>
      <c r="BD80" s="20">
        <f>IF(ISNUMBER(tblData[Days'# UK]),tblData[[#This Row],[UK LogiP(t)]]/$BC$9,"")</f>
        <v>2452.9499642069086</v>
      </c>
      <c r="BE80" s="11">
        <f>IF(ISNUMBER(tblData[Days'# China]),betaChina/(deltaChina+betaPodeltaChina*EXP(-betaChina*tblData[Days'# China])),"")</f>
        <v>81015.038304011003</v>
      </c>
      <c r="BF80" s="11" t="str">
        <f>IF(ISNUMBER(tblData[China]),(tblData[[#This Row],[China LogiP(t)]]-tblData[[#This Row],[China]])^2,"")</f>
        <v/>
      </c>
      <c r="BG80" s="11">
        <f>tblData[[#This Row],[China LogiP(t)]]/$BF$9</f>
        <v>562.86875583448295</v>
      </c>
      <c r="BH80" s="11">
        <f>IF(ISNUMBER(tblData[Day'# Singapore]),betaSingapore/(deltaSingapore+betaPodeltaSingapore*EXP(-betaSingapore*tblData[Day'# Singapore])),"")</f>
        <v>885.41093485710394</v>
      </c>
      <c r="BI80" s="11" t="str">
        <f>IF(AND(ISNUMBER(tblData[Singapore]),tblData[Date]&gt;=StartDt2Singapore),(tblData[[#This Row],[Singapore LogiP(t)]]-tblData[[#This Row],[Singapore]])^2,"")</f>
        <v/>
      </c>
      <c r="BJ80" s="11">
        <f>IF(ISNUMBER(tblData[Day'# Singapore]),tblData[Singapore LogiP(t)]/$BI$9,"")</f>
        <v>1513.5229655676992</v>
      </c>
      <c r="BK80" s="11">
        <f>IF(ISNUMBER(tblData[Day'# Generic]),betaGeneric/(deltaGeneric+betaPodeltaGeneric*EXP(-betaGeneric*tblData[Day'# Generic])),"")</f>
        <v>67308.350584890926</v>
      </c>
      <c r="BL80" s="11" t="str">
        <f>IF(AND(ISNUMBER(tblData[Generic]),tblData[Date]&gt;=StartDt2Generic),(tblData[Generic LogiP(t)]-tblData[[#This Row],[Generic]])^2,"")</f>
        <v/>
      </c>
      <c r="BM80" s="11">
        <f>IF(ISNUMBER(tblData[Day'# Generic]),tblData[Generic LogiP(t)]/$BL$9,"")</f>
        <v>11505.70095468221</v>
      </c>
      <c r="BN80" s="11"/>
      <c r="BO80" s="11"/>
      <c r="BP80" s="11" t="str">
        <f>IF(ISNUMBER(tblData[[#This Row],[Tests]]),tblData[[#This Row],[Tests]]-BP79,"")</f>
        <v/>
      </c>
      <c r="BQ80" s="11" t="str">
        <f>IF(ISNUMBER(tblData[[#This Row],[NSW Under Investigation'']]),tblData[[#This Row],[NSW Under Investigation'']]-BO79,"")</f>
        <v/>
      </c>
      <c r="BR80" s="11">
        <f>IF(tblData[[#This Row],[Date]]&gt;myData!TestsStart,tblData[[#This Row],[Date]]-myData!TestsStart,"")</f>
        <v>26</v>
      </c>
      <c r="BS80" s="11">
        <f>IF(AND(tblData[[#This Row],[NSW Test Day Number]]&gt;0,ISNUMBER(tblData[[#This Row],[NSW Test Day Number]])),betaTests/(deltaTests+betaPodeltaTests*EXP(-betaTests*tblData[[#This Row],[NSW Test Day Number]])),"")</f>
        <v>91523.759555536381</v>
      </c>
      <c r="BT80" s="11" t="str">
        <f>IF(tblData[Tests]&gt;0,(tblData[[#This Row],[Tests]]-tblData[[#This Row],[NSW Test Logi]])^2,"")</f>
        <v/>
      </c>
      <c r="BU80" s="11" t="str">
        <f>IF(ISNUMBER(tblData[Tests]),tblData[Tests]/$BS$9/100,"")</f>
        <v/>
      </c>
      <c r="BV80" s="124">
        <f ca="1">IF(AND(tblData[[#This Row],[NSW Test Day Number]]&gt;0,ISNUMBER(tblData[[#This Row],[NSW Test Day Number]])),TestsLogestB*TestsLogestM^tblData[[#This Row],[NSW Test Day Number]],"")</f>
        <v>169913.51734074345</v>
      </c>
      <c r="BW80" s="11" t="str">
        <f>IF(AND(tblData[[#This Row],[NSW Test Day Number]]&gt;0,ISNUMBER(tblData[Tests])),(tblData[Tests]-tblData[[#This Row],[NSW Test Per Capita]])^2,"")</f>
        <v/>
      </c>
      <c r="BX80" s="124"/>
      <c r="BY80" s="11"/>
      <c r="BZ80"/>
      <c r="CA80" s="50"/>
      <c r="CB80" s="50"/>
      <c r="CC80" s="50"/>
      <c r="CD80" s="50"/>
      <c r="CE80" s="50"/>
      <c r="CF80" s="50"/>
      <c r="CG80" s="50"/>
      <c r="CH80" s="50"/>
      <c r="CI80" s="50"/>
      <c r="CJ80" s="50"/>
      <c r="CK80" s="50"/>
      <c r="CL80" s="50"/>
      <c r="CM80" s="50"/>
      <c r="CN80" s="50"/>
      <c r="CO80" s="50"/>
      <c r="CP80" s="50"/>
      <c r="CQ80" s="50"/>
      <c r="CR80" s="50"/>
      <c r="CS80" s="50"/>
      <c r="CT80" s="50"/>
      <c r="CU80" s="50"/>
      <c r="CV80" s="50"/>
      <c r="CW80" s="50"/>
      <c r="CX80" s="50"/>
      <c r="CY80" s="50"/>
      <c r="CZ80" s="50"/>
      <c r="DA80" s="50"/>
      <c r="DB80" s="50"/>
      <c r="DC80" s="50"/>
      <c r="DD80"/>
      <c r="DG80" s="25"/>
      <c r="DH80" s="25"/>
      <c r="DV80"/>
      <c r="DW80"/>
      <c r="DX80"/>
      <c r="DY80" s="50" t="s">
        <v>209</v>
      </c>
      <c r="DZ80" s="76">
        <v>43912.326689814814</v>
      </c>
      <c r="EA80" s="26">
        <v>43852</v>
      </c>
      <c r="EB80" s="26">
        <v>43870</v>
      </c>
      <c r="EC80" s="50">
        <v>3</v>
      </c>
      <c r="ED80" s="50">
        <v>0.34769529183841918</v>
      </c>
      <c r="EE80" s="24">
        <v>9.0410268503126118E-7</v>
      </c>
      <c r="EF80" s="50">
        <v>1.7099861863491616E-2</v>
      </c>
      <c r="EG80" s="96">
        <v>384575.00192734954</v>
      </c>
      <c r="EH80" s="50">
        <v>373.46102354388694</v>
      </c>
      <c r="EI80" s="50">
        <v>20.333221353133922</v>
      </c>
      <c r="EJ80" s="98">
        <v>9.0410268503126115E-4</v>
      </c>
      <c r="EK80" s="26">
        <v>43911</v>
      </c>
      <c r="EL80" s="50" t="s">
        <v>1091</v>
      </c>
      <c r="EM80" s="50"/>
      <c r="EN80" s="98">
        <v>24148</v>
      </c>
      <c r="EO80" s="50" t="s">
        <v>1092</v>
      </c>
      <c r="EP80" s="26">
        <v>43911</v>
      </c>
      <c r="EQ80" s="25">
        <v>42</v>
      </c>
      <c r="ER80" s="50" t="s">
        <v>1093</v>
      </c>
      <c r="ES80" s="50"/>
      <c r="ET80" s="50" t="s">
        <v>1094</v>
      </c>
      <c r="EU80" s="50" t="s">
        <v>690</v>
      </c>
      <c r="EV80" s="50" t="s">
        <v>1095</v>
      </c>
      <c r="EW80" s="50">
        <v>733.47402499909595</v>
      </c>
      <c r="EX80" s="82">
        <v>43910</v>
      </c>
      <c r="EY80" s="50">
        <v>1</v>
      </c>
      <c r="EZ80" s="86">
        <v>43910</v>
      </c>
      <c r="FA80" s="50">
        <v>2</v>
      </c>
      <c r="FC80" s="25"/>
      <c r="FD80" s="25"/>
    </row>
    <row r="81" spans="2:195" x14ac:dyDescent="0.25">
      <c r="B81" s="26">
        <f t="shared" si="8"/>
        <v>43922</v>
      </c>
      <c r="D81" s="25"/>
      <c r="L81" s="12" t="str">
        <f>IF(ISNUMBER(tblData[[#This Row],[NSW]]),tblData[[#This Row],[New South Wales]]/$L$9,"")</f>
        <v/>
      </c>
      <c r="M81" s="25"/>
      <c r="N81" s="46" t="str">
        <f>IF(ISNUMBER(tblData[Italy]),tblData[Italy]/$N$9,"")</f>
        <v/>
      </c>
      <c r="O81" s="25"/>
      <c r="P81" s="124" t="str">
        <f>IF(ISNUMBER(tblData[US]),tblData[US]/$P$9,"")</f>
        <v/>
      </c>
      <c r="Q81" s="46"/>
      <c r="R81" s="19" t="str">
        <f>IF(ISNUMBER(tblData[SKorea]),tblData[SKorea]/$R$9,"")</f>
        <v/>
      </c>
      <c r="S81" s="46"/>
      <c r="T81" s="12" t="str">
        <f>IF(ISNUMBER(tblData[UK]),tblData[UK]/$T$9,"")</f>
        <v/>
      </c>
      <c r="U81" s="25"/>
      <c r="V81" s="20" t="str">
        <f>IF(ISNUMBER(tblData[China]),tblData[China]/$V$9,"")</f>
        <v/>
      </c>
      <c r="W81" s="20"/>
      <c r="X81" s="20" t="str">
        <f>IF(ISNUMBER(tblData[Singapore]),tblData[Singapore]/$X$9,"")</f>
        <v/>
      </c>
      <c r="Y81" s="20"/>
      <c r="Z81" s="20" t="str">
        <f>IF(AND(LEN(tblData[Generic])&gt;0,ISNUMBER(tblData[Generic])),tblData[Generic]/$Z$9,"")</f>
        <v/>
      </c>
      <c r="AA81" s="25">
        <f>IF(tblData[[#This Row],[Date]]&lt;ItalyStart,"",tblData[[#This Row],[Date]]-ItalyStart)</f>
        <v>62</v>
      </c>
      <c r="AB81" s="25">
        <f>IF(tblData[[#This Row],[Date]]&lt;USStart,"",tblData[[#This Row],[Date]]-USStart)</f>
        <v>70</v>
      </c>
      <c r="AC81" s="25">
        <f>IF(tblData[[#This Row],[Date]]&lt;ChinaStart,"",tblData[[#This Row],[Date]]-ChinaStart)</f>
        <v>70</v>
      </c>
      <c r="AD81" s="25">
        <f>IF(tblData[[#This Row],[Date]]&lt;StartDt2Korea,"",tblData[[#This Row],[Date]]-StartDt2Korea)</f>
        <v>42</v>
      </c>
      <c r="AE81" s="25">
        <f>IF(tblData[[#This Row],[Date]]&lt;UKStart,"",tblData[[#This Row],[Date]]-UKStart)</f>
        <v>62</v>
      </c>
      <c r="AF81" s="25">
        <f>IF(tblData[[#This Row],[Date]]&lt;SingaporeStart,"",tblData[[#This Row],[Date]]-SingaporeStart)</f>
        <v>69</v>
      </c>
      <c r="AG81" s="25">
        <f>IF(tblData[[#This Row],[Date]]&lt;GenStart,"",tblData[[#This Row],[Date]]-GenStart)</f>
        <v>70</v>
      </c>
      <c r="AH81">
        <f>IF(tblData[Date]&gt;=StartDt2Au,tblData[Date]-StartDt2Au,"")</f>
        <v>67</v>
      </c>
      <c r="AI81" s="25" t="str">
        <f>IF(tblData[New South Wales]&gt;0,SUM(tblData[[#This Row],[Australian Capital Territory]:[Western Australia]]),"")</f>
        <v/>
      </c>
      <c r="AJ81" s="12" t="str">
        <f>IF(ISNUMBER(tblData[Au]),tblData[Au]/$AE$9,"")</f>
        <v/>
      </c>
      <c r="AK81" s="19">
        <f>IF(ISNUMBER(tblData[[#This Row],[Day'# Aust]]),betaAu/(deltaAu+betaPodeltaAu*EXP(-betaAu*tblData[[#This Row],[Day'# Aust]])),"")</f>
        <v>5300.8639545457563</v>
      </c>
      <c r="AL81" s="66">
        <f>IF(ISNUMBER(tblData[Day'# Aust]),tblData[Au LogiP(t)]/$AJ$9,"")</f>
        <v>2089.9163990481611</v>
      </c>
      <c r="AM81" s="11" t="str">
        <f>IF(AND(tblData[Date]&gt;=StartDt2Au,ISNUMBER(tblData[NSW])),(tblData[[#This Row],[Au LogiP(t)]]-tblData[[#This Row],[Au]])^2,"")</f>
        <v/>
      </c>
      <c r="AN81">
        <f>IF(tblData[Date]&gt;StartDt2NSW,tblData[Date]-StartDt2NSW,"")</f>
        <v>67</v>
      </c>
      <c r="AO81" s="25" t="str">
        <f t="shared" si="7"/>
        <v/>
      </c>
      <c r="AP81" s="11">
        <f>IF(tblData[Date]&gt;StartDt2NSW,betaNSW/(deltaNSW+betaPodeltaNSW*EXP(-betaNSW*tblData[[#This Row],[Day '# NSW]])),"")</f>
        <v>3240.9501455819877</v>
      </c>
      <c r="AQ81" s="12" t="str">
        <f>IF(AND(ISNUMBER(tblData[NSW]),tblData[Date]&gt;StartDt2NSW),(tblData[[#This Row],[NSW LogiP(t)]]-tblData[[#This Row],[NSW]])^2,"")</f>
        <v/>
      </c>
      <c r="AR81" s="12">
        <f>IF(AND(tblData[Date]&gt;StartDt2NSW,ISNUMBER(tblData[Day'# Aust])),tblData[NSW LogiP(t)]/$AQ$9,"")</f>
        <v>4011.0769128489947</v>
      </c>
      <c r="AS81" s="11">
        <f>IF(AND(tblData[Date]&gt;StartDt2Italy,ISNUMBER(tblData[Days'# Italy])),betaItaly/(deltaItaly+betaPodeltaItaly*EXP(-betaItaly*tblData[Days'# Italy])),"")</f>
        <v>74566.788728345942</v>
      </c>
      <c r="AT81" s="11" t="str">
        <f>IF(AND(tblData[Date]&gt;StartDt2Italy,ISNUMBER(tblData[Italy])),(tblData[[#This Row],[Italy LogiP(t)]]-tblData[[#This Row],[Italy]])^2,"")</f>
        <v/>
      </c>
      <c r="AU81" s="41">
        <f>IF(AND(tblData[Date]&gt;StartDt2Italy,ISNUMBER(tblData[Days'# Italy])),tblData[[#This Row],[Italy LogiP(t)]]/$AT$9,"")</f>
        <v>12328.145611035123</v>
      </c>
      <c r="AV81" s="20">
        <f>IF(ISNUMBER(tblData[[#This Row],[Days'# US]]),betaUS/(deltaUS+betaPodeltaUS*EXP(-betaUS*tblData[Days'# US])),"")</f>
        <v>143510.40456202495</v>
      </c>
      <c r="AW81" s="11" t="str">
        <f>IF(AND(tblData[Date]&gt;=StartDt2US,ISNUMBER(tblData[US])),(tblData[[#This Row],[US LogiP(t)]]-tblData[US])^2,"")</f>
        <v/>
      </c>
      <c r="AX81" s="20">
        <f>IF(ISNUMBER(tblData[[#This Row],[Days'# US]]),tblData[[#This Row],[US LogiP(t)]]/$AW$9,"")</f>
        <v>4359.0009136722329</v>
      </c>
      <c r="AY81" s="20">
        <f>IF(tblData[Date]&gt;=StartDt2Korea,betaSKorea/(deltaSKorea+betaPodeltaSKorea*EXP(-betaSKorea*(tblData[Date]-StartDt2Korea))),"")</f>
        <v>8606.4558023859081</v>
      </c>
      <c r="AZ81" s="20" t="str">
        <f>IF(AND(tblData[Date]&gt;=StartDt2Korea,ISNUMBER(tblData[SKorea])),(tblData[[#This Row],[SKorea LogiP(t)]]-tblData[[#This Row],[SKorea]])^2,"")</f>
        <v/>
      </c>
      <c r="BA81" s="20">
        <f>IF(tblData[Date]&gt;=StartDt2Korea,tblData[[#This Row],[SKorea LogiP(t)]]/$AZ$9,"")</f>
        <v>1674.4077436548459</v>
      </c>
      <c r="BB81" s="11">
        <f>IF(ISNUMBER(tblData[Days'# UK]),betaUK/(deltaUK+betaPodeltaUK*EXP(-betaUK*tblData[Days'# UK])),"")</f>
        <v>17245.39248544678</v>
      </c>
      <c r="BC81" s="20" t="str">
        <f>IF(ISNUMBER(tblData[UK]),(tblData[[#This Row],[UK LogiP(t)]]-tblData[[#This Row],[UK]])^2,"")</f>
        <v/>
      </c>
      <c r="BD81" s="20">
        <f>IF(ISNUMBER(tblData[Days'# UK]),tblData[[#This Row],[UK LogiP(t)]]/$BC$9,"")</f>
        <v>2595.6340285139645</v>
      </c>
      <c r="BE81" s="11">
        <f>IF(ISNUMBER(tblData[Days'# China]),betaChina/(deltaChina+betaPodeltaChina*EXP(-betaChina*tblData[Days'# China])),"")</f>
        <v>81015.222140839353</v>
      </c>
      <c r="BF81" s="11" t="str">
        <f>IF(ISNUMBER(tblData[China]),(tblData[[#This Row],[China LogiP(t)]]-tblData[[#This Row],[China]])^2,"")</f>
        <v/>
      </c>
      <c r="BG81" s="11">
        <f>tblData[[#This Row],[China LogiP(t)]]/$BF$9</f>
        <v>562.87003307891825</v>
      </c>
      <c r="BH81" s="11">
        <f>IF(ISNUMBER(tblData[Day'# Singapore]),betaSingapore/(deltaSingapore+betaPodeltaSingapore*EXP(-betaSingapore*tblData[Day'# Singapore])),"")</f>
        <v>953.87183808335737</v>
      </c>
      <c r="BI81" s="11" t="str">
        <f>IF(AND(ISNUMBER(tblData[Singapore]),tblData[Date]&gt;=StartDt2Singapore),(tblData[[#This Row],[Singapore LogiP(t)]]-tblData[[#This Row],[Singapore]])^2,"")</f>
        <v/>
      </c>
      <c r="BJ81" s="11">
        <f>IF(ISNUMBER(tblData[Day'# Singapore]),tblData[Singapore LogiP(t)]/$BI$9,"")</f>
        <v>1630.5501505698417</v>
      </c>
      <c r="BK81" s="11">
        <f>IF(ISNUMBER(tblData[Day'# Generic]),betaGeneric/(deltaGeneric+betaPodeltaGeneric*EXP(-betaGeneric*tblData[Day'# Generic])),"")</f>
        <v>67308.498304030407</v>
      </c>
      <c r="BL81" s="11" t="str">
        <f>IF(AND(ISNUMBER(tblData[Generic]),tblData[Date]&gt;=StartDt2Generic),(tblData[Generic LogiP(t)]-tblData[[#This Row],[Generic]])^2,"")</f>
        <v/>
      </c>
      <c r="BM81" s="11">
        <f>IF(ISNUMBER(tblData[Day'# Generic]),tblData[Generic LogiP(t)]/$BL$9,"")</f>
        <v>11505.726205817164</v>
      </c>
      <c r="BN81" s="11"/>
      <c r="BO81" s="11"/>
      <c r="BP81" s="11" t="str">
        <f>IF(ISNUMBER(tblData[[#This Row],[Tests]]),tblData[[#This Row],[Tests]]-BP80,"")</f>
        <v/>
      </c>
      <c r="BQ81" s="11" t="str">
        <f>IF(ISNUMBER(tblData[[#This Row],[NSW Under Investigation'']]),tblData[[#This Row],[NSW Under Investigation'']]-BO80,"")</f>
        <v/>
      </c>
      <c r="BR81" s="11">
        <f>IF(tblData[[#This Row],[Date]]&gt;myData!TestsStart,tblData[[#This Row],[Date]]-myData!TestsStart,"")</f>
        <v>27</v>
      </c>
      <c r="BS81" s="11">
        <f>IF(AND(tblData[[#This Row],[NSW Test Day Number]]&gt;0,ISNUMBER(tblData[[#This Row],[NSW Test Day Number]])),betaTests/(deltaTests+betaPodeltaTests*EXP(-betaTests*tblData[[#This Row],[NSW Test Day Number]])),"")</f>
        <v>94091.852214468454</v>
      </c>
      <c r="BT81" s="11" t="str">
        <f>IF(tblData[Tests]&gt;0,(tblData[[#This Row],[Tests]]-tblData[[#This Row],[NSW Test Logi]])^2,"")</f>
        <v/>
      </c>
      <c r="BU81" s="11" t="str">
        <f>IF(ISNUMBER(tblData[Tests]),tblData[Tests]/$BS$9/100,"")</f>
        <v/>
      </c>
      <c r="BV81" s="124">
        <f ca="1">IF(AND(tblData[[#This Row],[NSW Test Day Number]]&gt;0,ISNUMBER(tblData[[#This Row],[NSW Test Day Number]])),TestsLogestB*TestsLogestM^tblData[[#This Row],[NSW Test Day Number]],"")</f>
        <v>194491.67222665684</v>
      </c>
      <c r="BW81" s="11" t="str">
        <f>IF(AND(tblData[[#This Row],[NSW Test Day Number]]&gt;0,ISNUMBER(tblData[Tests])),(tblData[Tests]-tblData[[#This Row],[NSW Test Per Capita]])^2,"")</f>
        <v/>
      </c>
      <c r="BX81" s="124"/>
      <c r="BY81" s="11"/>
      <c r="BZ81"/>
      <c r="CB81" s="25"/>
      <c r="CD81" s="25"/>
      <c r="CK81"/>
      <c r="CL81"/>
      <c r="CO81" s="25"/>
      <c r="CZ81" s="25"/>
      <c r="DA81" s="25"/>
      <c r="DC81"/>
      <c r="DD81"/>
      <c r="DG81" s="25"/>
      <c r="DH81" s="25"/>
      <c r="DV81"/>
      <c r="DW81"/>
      <c r="DX81"/>
      <c r="DY81" t="s">
        <v>209</v>
      </c>
      <c r="DZ81" s="76">
        <v>43912.588553240741</v>
      </c>
      <c r="EA81" s="26">
        <v>43852</v>
      </c>
      <c r="EB81" s="26">
        <v>43870</v>
      </c>
      <c r="EC81">
        <v>3</v>
      </c>
      <c r="ED81">
        <v>0.33723338075349552</v>
      </c>
      <c r="EE81" s="24">
        <v>1.0000000000011339E-10</v>
      </c>
      <c r="EF81">
        <v>2.5463658145862197E-2</v>
      </c>
      <c r="EG81" s="96">
        <v>3372333807.5311313</v>
      </c>
      <c r="EH81" s="25">
        <v>322.06292198936342</v>
      </c>
      <c r="EI81" s="25">
        <v>13.243713013236043</v>
      </c>
      <c r="EJ81" s="98">
        <v>1.0000000000011339E-7</v>
      </c>
      <c r="EK81" s="26">
        <v>43911</v>
      </c>
      <c r="EL81" t="s">
        <v>1121</v>
      </c>
      <c r="EM81" s="25"/>
      <c r="EN81" s="98">
        <v>25489</v>
      </c>
      <c r="EO81" t="s">
        <v>1122</v>
      </c>
      <c r="EP81" s="26">
        <v>43911</v>
      </c>
      <c r="EQ81" s="25">
        <v>42</v>
      </c>
      <c r="ER81" t="s">
        <v>1123</v>
      </c>
      <c r="ET81" t="s">
        <v>1124</v>
      </c>
      <c r="EU81" t="s">
        <v>690</v>
      </c>
      <c r="EV81" t="s">
        <v>1125</v>
      </c>
      <c r="EW81">
        <v>774.20570743755002</v>
      </c>
      <c r="EX81" s="82">
        <v>43911</v>
      </c>
      <c r="EY81">
        <v>1</v>
      </c>
      <c r="EZ81" s="82">
        <v>43910</v>
      </c>
      <c r="FA81">
        <v>2</v>
      </c>
      <c r="FC81" s="25"/>
    </row>
    <row r="82" spans="2:195" x14ac:dyDescent="0.25">
      <c r="B82" s="26">
        <f t="shared" si="8"/>
        <v>43923</v>
      </c>
      <c r="D82" s="25"/>
      <c r="L82" s="12" t="str">
        <f>IF(ISNUMBER(tblData[[#This Row],[NSW]]),tblData[[#This Row],[New South Wales]]/$L$9,"")</f>
        <v/>
      </c>
      <c r="M82" s="25"/>
      <c r="N82" s="46" t="str">
        <f>IF(ISNUMBER(tblData[Italy]),tblData[Italy]/$N$9,"")</f>
        <v/>
      </c>
      <c r="O82" s="25"/>
      <c r="P82" s="124" t="str">
        <f>IF(ISNUMBER(tblData[US]),tblData[US]/$P$9,"")</f>
        <v/>
      </c>
      <c r="Q82" s="46"/>
      <c r="R82" s="19" t="str">
        <f>IF(ISNUMBER(tblData[SKorea]),tblData[SKorea]/$R$9,"")</f>
        <v/>
      </c>
      <c r="S82" s="46"/>
      <c r="T82" s="12" t="str">
        <f>IF(ISNUMBER(tblData[UK]),tblData[UK]/$T$9,"")</f>
        <v/>
      </c>
      <c r="U82" s="25"/>
      <c r="V82" s="20" t="str">
        <f>IF(ISNUMBER(tblData[China]),tblData[China]/$V$9,"")</f>
        <v/>
      </c>
      <c r="W82" s="20"/>
      <c r="X82" s="20" t="str">
        <f>IF(ISNUMBER(tblData[Singapore]),tblData[Singapore]/$X$9,"")</f>
        <v/>
      </c>
      <c r="Y82" s="20"/>
      <c r="Z82" s="20" t="str">
        <f>IF(AND(LEN(tblData[Generic])&gt;0,ISNUMBER(tblData[Generic])),tblData[Generic]/$Z$9,"")</f>
        <v/>
      </c>
      <c r="AA82" s="25">
        <f>IF(tblData[[#This Row],[Date]]&lt;ItalyStart,"",tblData[[#This Row],[Date]]-ItalyStart)</f>
        <v>63</v>
      </c>
      <c r="AB82" s="25">
        <f>IF(tblData[[#This Row],[Date]]&lt;USStart,"",tblData[[#This Row],[Date]]-USStart)</f>
        <v>71</v>
      </c>
      <c r="AC82" s="25">
        <f>IF(tblData[[#This Row],[Date]]&lt;ChinaStart,"",tblData[[#This Row],[Date]]-ChinaStart)</f>
        <v>71</v>
      </c>
      <c r="AD82" s="25">
        <f>IF(tblData[[#This Row],[Date]]&lt;StartDt2Korea,"",tblData[[#This Row],[Date]]-StartDt2Korea)</f>
        <v>43</v>
      </c>
      <c r="AE82" s="25">
        <f>IF(tblData[[#This Row],[Date]]&lt;UKStart,"",tblData[[#This Row],[Date]]-UKStart)</f>
        <v>63</v>
      </c>
      <c r="AF82" s="25">
        <f>IF(tblData[[#This Row],[Date]]&lt;SingaporeStart,"",tblData[[#This Row],[Date]]-SingaporeStart)</f>
        <v>70</v>
      </c>
      <c r="AG82" s="25">
        <f>IF(tblData[[#This Row],[Date]]&lt;GenStart,"",tblData[[#This Row],[Date]]-GenStart)</f>
        <v>71</v>
      </c>
      <c r="AH82">
        <f>IF(tblData[Date]&gt;=StartDt2Au,tblData[Date]-StartDt2Au,"")</f>
        <v>68</v>
      </c>
      <c r="AI82" s="25" t="str">
        <f>IF(tblData[New South Wales]&gt;0,SUM(tblData[[#This Row],[Australian Capital Territory]:[Western Australia]]),"")</f>
        <v/>
      </c>
      <c r="AJ82" s="12" t="str">
        <f>IF(ISNUMBER(tblData[Au]),tblData[Au]/$AE$9,"")</f>
        <v/>
      </c>
      <c r="AK82" s="19">
        <f>IF(ISNUMBER(tblData[[#This Row],[Day'# Aust]]),betaAu/(deltaAu+betaPodeltaAu*EXP(-betaAu*tblData[[#This Row],[Day'# Aust]])),"")</f>
        <v>5609.0277292435912</v>
      </c>
      <c r="AL82" s="66">
        <f>IF(ISNUMBER(tblData[Day'# Aust]),tblData[Au LogiP(t)]/$AJ$9,"")</f>
        <v>2211.4129195882319</v>
      </c>
      <c r="AM82" s="11" t="str">
        <f>IF(AND(tblData[Date]&gt;=StartDt2Au,ISNUMBER(tblData[NSW])),(tblData[[#This Row],[Au LogiP(t)]]-tblData[[#This Row],[Au]])^2,"")</f>
        <v/>
      </c>
      <c r="AN82">
        <f>IF(tblData[Date]&gt;StartDt2NSW,tblData[Date]-StartDt2NSW,"")</f>
        <v>68</v>
      </c>
      <c r="AO82" s="25" t="str">
        <f t="shared" si="7"/>
        <v/>
      </c>
      <c r="AP82" s="11">
        <f>IF(tblData[Date]&gt;StartDt2NSW,betaNSW/(deltaNSW+betaPodeltaNSW*EXP(-betaNSW*tblData[[#This Row],[Day '# NSW]])),"")</f>
        <v>3702.6389598227588</v>
      </c>
      <c r="AQ82" s="12" t="str">
        <f>IF(AND(ISNUMBER(tblData[NSW]),tblData[Date]&gt;StartDt2NSW),(tblData[[#This Row],[NSW LogiP(t)]]-tblData[[#This Row],[NSW]])^2,"")</f>
        <v/>
      </c>
      <c r="AR82" s="12">
        <f>IF(AND(tblData[Date]&gt;StartDt2NSW,ISNUMBER(tblData[Day'# Aust])),tblData[NSW LogiP(t)]/$AQ$9,"")</f>
        <v>4582.4739601766814</v>
      </c>
      <c r="AS82" s="11">
        <f>IF(AND(tblData[Date]&gt;StartDt2Italy,ISNUMBER(tblData[Days'# Italy])),betaItaly/(deltaItaly+betaPodeltaItaly*EXP(-betaItaly*tblData[Days'# Italy])),"")</f>
        <v>74900.286809902493</v>
      </c>
      <c r="AT82" s="11" t="str">
        <f>IF(AND(tblData[Date]&gt;StartDt2Italy,ISNUMBER(tblData[Italy])),(tblData[[#This Row],[Italy LogiP(t)]]-tblData[[#This Row],[Italy]])^2,"")</f>
        <v/>
      </c>
      <c r="AU82" s="41">
        <f>IF(AND(tblData[Date]&gt;StartDt2Italy,ISNUMBER(tblData[Days'# Italy])),tblData[[#This Row],[Italy LogiP(t)]]/$AT$9,"")</f>
        <v>12383.282931289163</v>
      </c>
      <c r="AV82" s="20">
        <f>IF(ISNUMBER(tblData[[#This Row],[Days'# US]]),betaUS/(deltaUS+betaPodeltaUS*EXP(-betaUS*tblData[Days'# US])),"")</f>
        <v>152135.33978651397</v>
      </c>
      <c r="AW82" s="11" t="str">
        <f>IF(AND(tblData[Date]&gt;=StartDt2US,ISNUMBER(tblData[US])),(tblData[[#This Row],[US LogiP(t)]]-tblData[US])^2,"")</f>
        <v/>
      </c>
      <c r="AX82" s="20">
        <f>IF(ISNUMBER(tblData[[#This Row],[Days'# US]]),tblData[[#This Row],[US LogiP(t)]]/$AW$9,"")</f>
        <v>4620.9756508952923</v>
      </c>
      <c r="AY82" s="20">
        <f>IF(tblData[Date]&gt;=StartDt2Korea,betaSKorea/(deltaSKorea+betaPodeltaSKorea*EXP(-betaSKorea*(tblData[Date]-StartDt2Korea))),"")</f>
        <v>8606.7411089210109</v>
      </c>
      <c r="AZ82" s="20" t="str">
        <f>IF(AND(tblData[Date]&gt;=StartDt2Korea,ISNUMBER(tblData[SKorea])),(tblData[[#This Row],[SKorea LogiP(t)]]-tblData[[#This Row],[SKorea]])^2,"")</f>
        <v/>
      </c>
      <c r="BA82" s="20">
        <f>IF(tblData[Date]&gt;=StartDt2Korea,tblData[[#This Row],[SKorea LogiP(t)]]/$AZ$9,"")</f>
        <v>1674.4632507628428</v>
      </c>
      <c r="BB82" s="79">
        <f>IF(ISNUMBER(tblData[Days'# UK]),betaUK/(deltaUK+betaPodeltaUK*EXP(-betaUK*tblData[Days'# UK])),"")</f>
        <v>18074.614461664147</v>
      </c>
      <c r="BC82" s="79" t="str">
        <f>IF(ISNUMBER(tblData[UK]),(tblData[[#This Row],[UK LogiP(t)]]-tblData[[#This Row],[UK]])^2,"")</f>
        <v/>
      </c>
      <c r="BD82" s="79">
        <f>IF(ISNUMBER(tblData[Days'# UK]),tblData[[#This Row],[UK LogiP(t)]]/$BC$9,"")</f>
        <v>2720.4416709307866</v>
      </c>
      <c r="BE82" s="11">
        <f>IF(ISNUMBER(tblData[Days'# China]),betaChina/(deltaChina+betaPodeltaChina*EXP(-betaChina*tblData[Days'# China])),"")</f>
        <v>81015.369358128097</v>
      </c>
      <c r="BF82" s="11" t="str">
        <f>IF(ISNUMBER(tblData[China]),(tblData[[#This Row],[China LogiP(t)]]-tblData[[#This Row],[China]])^2,"")</f>
        <v/>
      </c>
      <c r="BG82" s="11">
        <f>tblData[[#This Row],[China LogiP(t)]]/$BF$9</f>
        <v>562.87105590151873</v>
      </c>
      <c r="BH82" s="11">
        <f>IF(ISNUMBER(tblData[Day'# Singapore]),betaSingapore/(deltaSingapore+betaPodeltaSingapore*EXP(-betaSingapore*tblData[Day'# Singapore])),"")</f>
        <v>1027.6262101627394</v>
      </c>
      <c r="BI82" s="11" t="str">
        <f>IF(AND(ISNUMBER(tblData[Singapore]),tblData[Date]&gt;=StartDt2Singapore),(tblData[[#This Row],[Singapore LogiP(t)]]-tblData[[#This Row],[Singapore]])^2,"")</f>
        <v/>
      </c>
      <c r="BJ82" s="11">
        <f>IF(ISNUMBER(tblData[Day'# Singapore]),tblData[Singapore LogiP(t)]/$BI$9,"")</f>
        <v>1756.6260002781871</v>
      </c>
      <c r="BK82" s="11">
        <f>IF(ISNUMBER(tblData[Day'# Generic]),betaGeneric/(deltaGeneric+betaPodeltaGeneric*EXP(-betaGeneric*tblData[Day'# Generic])),"")</f>
        <v>67308.616880606714</v>
      </c>
      <c r="BL82" s="11" t="str">
        <f>IF(AND(ISNUMBER(tblData[Generic]),tblData[Date]&gt;=StartDt2Generic),(tblData[Generic LogiP(t)]-tblData[[#This Row],[Generic]])^2,"")</f>
        <v/>
      </c>
      <c r="BM82" s="11">
        <f>IF(ISNUMBER(tblData[Day'# Generic]),tblData[Generic LogiP(t)]/$BL$9,"")</f>
        <v>11505.746475317388</v>
      </c>
      <c r="BN82" s="11"/>
      <c r="BO82" s="11"/>
      <c r="BP82" s="11" t="str">
        <f>IF(ISNUMBER(tblData[[#This Row],[Tests]]),tblData[[#This Row],[Tests]]-BP81,"")</f>
        <v/>
      </c>
      <c r="BQ82" s="11" t="str">
        <f>IF(ISNUMBER(tblData[[#This Row],[NSW Under Investigation'']]),tblData[[#This Row],[NSW Under Investigation'']]-BO81,"")</f>
        <v/>
      </c>
      <c r="BR82" s="11">
        <f>IF(tblData[[#This Row],[Date]]&gt;myData!TestsStart,tblData[[#This Row],[Date]]-myData!TestsStart,"")</f>
        <v>28</v>
      </c>
      <c r="BS82" s="11">
        <f>IF(AND(tblData[[#This Row],[NSW Test Day Number]]&gt;0,ISNUMBER(tblData[[#This Row],[NSW Test Day Number]])),betaTests/(deltaTests+betaPodeltaTests*EXP(-betaTests*tblData[[#This Row],[NSW Test Day Number]])),"")</f>
        <v>96298.826267159937</v>
      </c>
      <c r="BT82" s="11" t="str">
        <f>IF(tblData[Tests]&gt;0,(tblData[[#This Row],[Tests]]-tblData[[#This Row],[NSW Test Logi]])^2,"")</f>
        <v/>
      </c>
      <c r="BU82" s="11" t="str">
        <f>IF(ISNUMBER(tblData[Tests]),tblData[Tests]/$BS$9/100,"")</f>
        <v/>
      </c>
      <c r="BV82" s="124">
        <f ca="1">IF(AND(tblData[[#This Row],[NSW Test Day Number]]&gt;0,ISNUMBER(tblData[[#This Row],[NSW Test Day Number]])),TestsLogestB*TestsLogestM^tblData[[#This Row],[NSW Test Day Number]],"")</f>
        <v>222625.08102673953</v>
      </c>
      <c r="BW82" s="11" t="str">
        <f>IF(AND(tblData[[#This Row],[NSW Test Day Number]]&gt;0,ISNUMBER(tblData[Tests])),(tblData[Tests]-tblData[[#This Row],[NSW Test Per Capita]])^2,"")</f>
        <v/>
      </c>
      <c r="BX82" s="124"/>
      <c r="BY82" s="11"/>
      <c r="BZ82"/>
      <c r="CB82" s="25"/>
      <c r="CD82" s="25"/>
      <c r="CK82"/>
      <c r="CL82"/>
      <c r="CO82" s="25"/>
      <c r="CZ82" s="25"/>
      <c r="DA82" s="25"/>
      <c r="DC82"/>
      <c r="DD82"/>
      <c r="DG82" s="25"/>
      <c r="DH82" s="25"/>
      <c r="DV82"/>
      <c r="DW82"/>
      <c r="DX82"/>
      <c r="DY82" t="s">
        <v>209</v>
      </c>
      <c r="DZ82" s="76">
        <v>43912.873854166668</v>
      </c>
      <c r="EA82" s="26">
        <v>43852</v>
      </c>
      <c r="EB82" s="26">
        <v>43870</v>
      </c>
      <c r="EC82">
        <v>3</v>
      </c>
      <c r="ED82">
        <v>0.33723338069623404</v>
      </c>
      <c r="EE82" s="24">
        <v>9.9999999999795755E-11</v>
      </c>
      <c r="EF82">
        <v>2.5463658145686113E-2</v>
      </c>
      <c r="EG82" s="96">
        <v>3372333806.9692283</v>
      </c>
      <c r="EH82" s="25">
        <v>322.06292198158718</v>
      </c>
      <c r="EI82" s="25">
        <v>13.243713011078873</v>
      </c>
      <c r="EJ82" s="98">
        <v>9.9999999999795755E-8</v>
      </c>
      <c r="EK82" s="26">
        <v>43911</v>
      </c>
      <c r="EL82" t="s">
        <v>1121</v>
      </c>
      <c r="EM82" s="25">
        <v>3372333806.9692283</v>
      </c>
      <c r="EN82" s="98">
        <v>25489</v>
      </c>
      <c r="EO82" t="s">
        <v>1122</v>
      </c>
      <c r="EP82" s="26">
        <v>43911</v>
      </c>
      <c r="EQ82" s="25">
        <v>42</v>
      </c>
      <c r="ER82" t="s">
        <v>1141</v>
      </c>
      <c r="ET82" t="s">
        <v>1124</v>
      </c>
      <c r="EV82" t="s">
        <v>1142</v>
      </c>
      <c r="EW82">
        <v>774.20570743755002</v>
      </c>
      <c r="EX82" s="82">
        <v>43911</v>
      </c>
      <c r="EY82" s="25">
        <v>1</v>
      </c>
      <c r="EZ82" s="82">
        <v>43910</v>
      </c>
      <c r="FA82">
        <v>2</v>
      </c>
      <c r="FC82" s="25"/>
    </row>
    <row r="83" spans="2:195" x14ac:dyDescent="0.25">
      <c r="B83" s="26">
        <f t="shared" ref="B83:B117" si="9">B82+7</f>
        <v>43930</v>
      </c>
      <c r="D83" s="25"/>
      <c r="L83" s="12" t="str">
        <f>IF(ISNUMBER(tblData[[#This Row],[NSW]]),tblData[[#This Row],[New South Wales]]/$L$9,"")</f>
        <v/>
      </c>
      <c r="M83" s="25"/>
      <c r="N83" s="46" t="str">
        <f>IF(ISNUMBER(tblData[Italy]),tblData[Italy]/$N$9,"")</f>
        <v/>
      </c>
      <c r="O83" s="25"/>
      <c r="P83" s="124" t="str">
        <f>IF(ISNUMBER(tblData[US]),tblData[US]/$P$9,"")</f>
        <v/>
      </c>
      <c r="Q83" s="46"/>
      <c r="R83" s="19" t="str">
        <f>IF(ISNUMBER(tblData[SKorea]),tblData[SKorea]/$R$9,"")</f>
        <v/>
      </c>
      <c r="S83" s="46"/>
      <c r="T83" s="12" t="str">
        <f>IF(ISNUMBER(tblData[UK]),tblData[UK]/$T$9,"")</f>
        <v/>
      </c>
      <c r="U83" s="25"/>
      <c r="V83" s="20" t="str">
        <f>IF(ISNUMBER(tblData[China]),tblData[China]/$V$9,"")</f>
        <v/>
      </c>
      <c r="W83" s="20"/>
      <c r="X83" s="20" t="str">
        <f>IF(ISNUMBER(tblData[Singapore]),tblData[Singapore]/$X$9,"")</f>
        <v/>
      </c>
      <c r="Y83" s="20"/>
      <c r="Z83" s="20" t="str">
        <f>IF(AND(LEN(tblData[Generic])&gt;0,ISNUMBER(tblData[Generic])),tblData[Generic]/$Z$9,"")</f>
        <v/>
      </c>
      <c r="AA83" s="25">
        <f>IF(tblData[[#This Row],[Date]]&lt;ItalyStart,"",tblData[[#This Row],[Date]]-ItalyStart)</f>
        <v>70</v>
      </c>
      <c r="AB83" s="25">
        <f>IF(tblData[[#This Row],[Date]]&lt;USStart,"",tblData[[#This Row],[Date]]-USStart)</f>
        <v>78</v>
      </c>
      <c r="AC83" s="25">
        <f>IF(tblData[[#This Row],[Date]]&lt;ChinaStart,"",tblData[[#This Row],[Date]]-ChinaStart)</f>
        <v>78</v>
      </c>
      <c r="AD83" s="25">
        <f>IF(tblData[[#This Row],[Date]]&lt;StartDt2Korea,"",tblData[[#This Row],[Date]]-StartDt2Korea)</f>
        <v>50</v>
      </c>
      <c r="AE83" s="25">
        <f>IF(tblData[[#This Row],[Date]]&lt;UKStart,"",tblData[[#This Row],[Date]]-UKStart)</f>
        <v>70</v>
      </c>
      <c r="AF83" s="25">
        <f>IF(tblData[[#This Row],[Date]]&lt;SingaporeStart,"",tblData[[#This Row],[Date]]-SingaporeStart)</f>
        <v>77</v>
      </c>
      <c r="AG83" s="25">
        <f>IF(tblData[[#This Row],[Date]]&lt;GenStart,"",tblData[[#This Row],[Date]]-GenStart)</f>
        <v>78</v>
      </c>
      <c r="AH83">
        <f>IF(tblData[Date]&gt;=StartDt2Au,tblData[Date]-StartDt2Au,"")</f>
        <v>75</v>
      </c>
      <c r="AI83" s="25" t="str">
        <f>IF(tblData[New South Wales]&gt;0,SUM(tblData[[#This Row],[Australian Capital Territory]:[Western Australia]]),"")</f>
        <v/>
      </c>
      <c r="AJ83" s="12" t="str">
        <f>IF(ISNUMBER(tblData[Au]),tblData[Au]/$AE$9,"")</f>
        <v/>
      </c>
      <c r="AK83" s="19">
        <f>IF(ISNUMBER(tblData[[#This Row],[Day'# Aust]]),betaAu/(deltaAu+betaPodeltaAu*EXP(-betaAu*tblData[[#This Row],[Day'# Aust]])),"")</f>
        <v>6742.3693474927459</v>
      </c>
      <c r="AL83" s="66">
        <f>IF(ISNUMBER(tblData[Day'# Aust]),tblData[Au LogiP(t)]/$AJ$9,"")</f>
        <v>2658.243710571182</v>
      </c>
      <c r="AM83" s="11" t="str">
        <f>IF(AND(tblData[Date]&gt;=StartDt2Au,ISNUMBER(tblData[NSW])),(tblData[[#This Row],[Au LogiP(t)]]-tblData[[#This Row],[Au]])^2,"")</f>
        <v/>
      </c>
      <c r="AN83">
        <f>IF(tblData[Date]&gt;StartDt2NSW,tblData[Date]-StartDt2NSW,"")</f>
        <v>75</v>
      </c>
      <c r="AO83" s="25" t="str">
        <f t="shared" si="7"/>
        <v/>
      </c>
      <c r="AP83" s="11">
        <f>IF(tblData[Date]&gt;StartDt2NSW,betaNSW/(deltaNSW+betaPodeltaNSW*EXP(-betaNSW*tblData[[#This Row],[Day '# NSW]])),"")</f>
        <v>7007.5607423296269</v>
      </c>
      <c r="AQ83" s="12" t="str">
        <f>IF(AND(ISNUMBER(tblData[NSW]),tblData[Date]&gt;StartDt2NSW),(tblData[[#This Row],[NSW LogiP(t)]]-tblData[[#This Row],[NSW]])^2,"")</f>
        <v/>
      </c>
      <c r="AR83" s="12">
        <f>IF(AND(tblData[Date]&gt;StartDt2NSW,ISNUMBER(tblData[Day'# Aust])),tblData[NSW LogiP(t)]/$AQ$9,"")</f>
        <v>8672.7236910020129</v>
      </c>
      <c r="AS83" s="11">
        <f>IF(AND(tblData[Date]&gt;StartDt2Italy,ISNUMBER(tblData[Days'# Italy])),betaItaly/(deltaItaly+betaPodeltaItaly*EXP(-betaItaly*tblData[Days'# Italy])),"")</f>
        <v>75865.019123851685</v>
      </c>
      <c r="AT83" s="11" t="str">
        <f>IF(AND(tblData[Date]&gt;StartDt2Italy,ISNUMBER(tblData[Italy])),(tblData[[#This Row],[Italy LogiP(t)]]-tblData[[#This Row],[Italy]])^2,"")</f>
        <v/>
      </c>
      <c r="AU83" s="41">
        <f>IF(AND(tblData[Date]&gt;StartDt2Italy,ISNUMBER(tblData[Days'# Italy])),tblData[[#This Row],[Italy LogiP(t)]]/$AT$9,"")</f>
        <v>12542.782363206032</v>
      </c>
      <c r="AV83" s="20">
        <f>IF(ISNUMBER(tblData[[#This Row],[Days'# US]]),betaUS/(deltaUS+betaPodeltaUS*EXP(-betaUS*tblData[Days'# US])),"")</f>
        <v>181340.91257799949</v>
      </c>
      <c r="AW83" s="11" t="str">
        <f>IF(AND(tblData[Date]&gt;=StartDt2US,ISNUMBER(tblData[US])),(tblData[[#This Row],[US LogiP(t)]]-tblData[US])^2,"")</f>
        <v/>
      </c>
      <c r="AX83" s="20">
        <f>IF(ISNUMBER(tblData[[#This Row],[Days'# US]]),tblData[[#This Row],[US LogiP(t)]]/$AW$9,"")</f>
        <v>5508.0689516976345</v>
      </c>
      <c r="AY83" s="20">
        <f>IF(tblData[Date]&gt;=StartDt2Korea,betaSKorea/(deltaSKorea+betaPodeltaSKorea*EXP(-betaSKorea*(tblData[Date]-StartDt2Korea))),"")</f>
        <v>8607.4564141964402</v>
      </c>
      <c r="AZ83" s="20" t="str">
        <f>IF(AND(tblData[Date]&gt;=StartDt2Korea,ISNUMBER(tblData[SKorea])),(tblData[[#This Row],[SKorea LogiP(t)]]-tblData[[#This Row],[SKorea]])^2,"")</f>
        <v/>
      </c>
      <c r="BA83" s="20">
        <f>IF(tblData[Date]&gt;=StartDt2Korea,tblData[[#This Row],[SKorea LogiP(t)]]/$AZ$9,"")</f>
        <v>1674.6024152133152</v>
      </c>
      <c r="BB83" s="79">
        <f>IF(ISNUMBER(tblData[Days'# UK]),betaUK/(deltaUK+betaPodeltaUK*EXP(-betaUK*tblData[Days'# UK])),"")</f>
        <v>21150.020740456825</v>
      </c>
      <c r="BC83" s="79" t="str">
        <f>IF(ISNUMBER(tblData[UK]),(tblData[[#This Row],[UK LogiP(t)]]-tblData[[#This Row],[UK]])^2,"")</f>
        <v/>
      </c>
      <c r="BD83" s="79">
        <f>IF(ISNUMBER(tblData[Days'# UK]),tblData[[#This Row],[UK LogiP(t)]]/$BC$9,"")</f>
        <v>3183.326420899582</v>
      </c>
      <c r="BE83" s="11">
        <f>IF(ISNUMBER(tblData[Days'# China]),betaChina/(deltaChina+betaPodeltaChina*EXP(-betaChina*tblData[Days'# China])),"")</f>
        <v>81015.836202357968</v>
      </c>
      <c r="BF83" s="11" t="str">
        <f>IF(ISNUMBER(tblData[China]),(tblData[[#This Row],[China LogiP(t)]]-tblData[[#This Row],[China]])^2,"")</f>
        <v/>
      </c>
      <c r="BG83" s="11">
        <f>tblData[[#This Row],[China LogiP(t)]]/$BF$9</f>
        <v>562.87429939848346</v>
      </c>
      <c r="BH83" s="11">
        <f>IF(ISNUMBER(tblData[Day'# Singapore]),betaSingapore/(deltaSingapore+betaPodeltaSingapore*EXP(-betaSingapore*tblData[Day'# Singapore])),"")</f>
        <v>1730.8171564919264</v>
      </c>
      <c r="BI83" s="11" t="str">
        <f>IF(AND(ISNUMBER(tblData[Singapore]),tblData[Date]&gt;=StartDt2Singapore),(tblData[[#This Row],[Singapore LogiP(t)]]-tblData[[#This Row],[Singapore]])^2,"")</f>
        <v/>
      </c>
      <c r="BJ83" s="11">
        <f>IF(ISNUMBER(tblData[Day'# Singapore]),tblData[Singapore LogiP(t)]/$BI$9,"")</f>
        <v>2958.661805969105</v>
      </c>
      <c r="BK83" s="11">
        <f>IF(ISNUMBER(tblData[Day'# Generic]),betaGeneric/(deltaGeneric+betaPodeltaGeneric*EXP(-betaGeneric*tblData[Day'# Generic])),"")</f>
        <v>67308.995737602789</v>
      </c>
      <c r="BL83" s="11" t="str">
        <f>IF(AND(ISNUMBER(tblData[Generic]),tblData[Date]&gt;=StartDt2Generic),(tblData[Generic LogiP(t)]-tblData[[#This Row],[Generic]])^2,"")</f>
        <v/>
      </c>
      <c r="BM83" s="11">
        <f>IF(ISNUMBER(tblData[Day'# Generic]),tblData[Generic LogiP(t)]/$BL$9,"")</f>
        <v>11505.811237197058</v>
      </c>
      <c r="BN83" s="11"/>
      <c r="BO83" s="11"/>
      <c r="BP83" s="11" t="str">
        <f>IF(ISNUMBER(tblData[[#This Row],[Tests]]),tblData[[#This Row],[Tests]]-BP82,"")</f>
        <v/>
      </c>
      <c r="BQ83" s="11" t="str">
        <f>IF(ISNUMBER(tblData[[#This Row],[NSW Under Investigation'']]),tblData[[#This Row],[NSW Under Investigation'']]-BO82,"")</f>
        <v/>
      </c>
      <c r="BR83" s="11">
        <f>IF(tblData[[#This Row],[Date]]&gt;myData!TestsStart,tblData[[#This Row],[Date]]-myData!TestsStart,"")</f>
        <v>35</v>
      </c>
      <c r="BS83" s="11">
        <f>IF(AND(tblData[[#This Row],[NSW Test Day Number]]&gt;0,ISNUMBER(tblData[[#This Row],[NSW Test Day Number]])),betaTests/(deltaTests+betaPodeltaTests*EXP(-betaTests*tblData[[#This Row],[NSW Test Day Number]])),"")</f>
        <v>104581.8807571199</v>
      </c>
      <c r="BT83" s="11" t="str">
        <f>IF(tblData[Tests]&gt;0,(tblData[[#This Row],[Tests]]-tblData[[#This Row],[NSW Test Logi]])^2,"")</f>
        <v/>
      </c>
      <c r="BU83" s="11" t="str">
        <f>IF(ISNUMBER(tblData[Tests]),tblData[Tests]/$BS$9/100,"")</f>
        <v/>
      </c>
      <c r="BV83" s="124">
        <f ca="1">IF(AND(tblData[[#This Row],[NSW Test Day Number]]&gt;0,ISNUMBER(tblData[[#This Row],[NSW Test Day Number]])),TestsLogestB*TestsLogestM^tblData[[#This Row],[NSW Test Day Number]],"")</f>
        <v>573172.90422914887</v>
      </c>
      <c r="BW83" s="11" t="str">
        <f>IF(AND(tblData[[#This Row],[NSW Test Day Number]]&gt;0,ISNUMBER(tblData[Tests])),(tblData[Tests]-tblData[[#This Row],[NSW Test Per Capita]])^2,"")</f>
        <v/>
      </c>
      <c r="BX83" s="124"/>
      <c r="BY83" s="11"/>
      <c r="BZ83"/>
      <c r="CB83" s="25"/>
      <c r="CD83" s="25"/>
      <c r="CK83"/>
      <c r="CL83"/>
      <c r="CO83" s="25"/>
      <c r="CZ83" s="25"/>
      <c r="DA83" s="25"/>
      <c r="DC83"/>
      <c r="DD83"/>
      <c r="DG83" s="25"/>
      <c r="DH83" s="25"/>
      <c r="DV83"/>
      <c r="DW83"/>
      <c r="DX83"/>
      <c r="DY83" s="25" t="s">
        <v>209</v>
      </c>
      <c r="DZ83" s="76">
        <v>43913.581689814811</v>
      </c>
      <c r="EA83" s="26">
        <v>43852</v>
      </c>
      <c r="EB83" s="26">
        <v>43870</v>
      </c>
      <c r="EC83">
        <v>3</v>
      </c>
      <c r="ED83">
        <v>0.33723338069623404</v>
      </c>
      <c r="EE83" s="95">
        <v>9.9999999999795755E-11</v>
      </c>
      <c r="EF83">
        <v>2.5463658145686113E-2</v>
      </c>
      <c r="EG83" s="96">
        <v>3372333806.9692283</v>
      </c>
      <c r="EH83">
        <v>322.06292198158718</v>
      </c>
      <c r="EI83">
        <v>13.243713011078873</v>
      </c>
      <c r="EJ83" s="98">
        <v>9.9999999999795755E-8</v>
      </c>
      <c r="EK83" s="26">
        <v>43911</v>
      </c>
      <c r="EL83" s="25" t="s">
        <v>1121</v>
      </c>
      <c r="EM83">
        <v>3372333806.9692283</v>
      </c>
      <c r="EN83" s="99">
        <v>25489</v>
      </c>
      <c r="EO83" s="25" t="s">
        <v>1122</v>
      </c>
      <c r="EP83" s="26">
        <v>43911</v>
      </c>
      <c r="EQ83" s="25">
        <v>42</v>
      </c>
      <c r="ER83" t="s">
        <v>1141</v>
      </c>
      <c r="ET83" t="s">
        <v>1124</v>
      </c>
      <c r="EV83" t="s">
        <v>1142</v>
      </c>
      <c r="EW83" s="25">
        <v>774.20570743755002</v>
      </c>
      <c r="EX83" s="82">
        <v>43913</v>
      </c>
      <c r="EY83" s="25">
        <v>0</v>
      </c>
      <c r="EZ83" s="82">
        <v>43911</v>
      </c>
      <c r="FA83" s="25">
        <v>1</v>
      </c>
      <c r="FC83" s="25"/>
    </row>
    <row r="84" spans="2:195" x14ac:dyDescent="0.25">
      <c r="B84" s="26">
        <f t="shared" si="9"/>
        <v>43937</v>
      </c>
      <c r="D84" s="25"/>
      <c r="L84" s="12" t="str">
        <f>IF(ISNUMBER(tblData[[#This Row],[NSW]]),tblData[[#This Row],[New South Wales]]/$L$9,"")</f>
        <v/>
      </c>
      <c r="M84" s="25"/>
      <c r="N84" s="46" t="str">
        <f>IF(ISNUMBER(tblData[Italy]),tblData[Italy]/$N$9,"")</f>
        <v/>
      </c>
      <c r="O84" s="25"/>
      <c r="P84" s="124" t="str">
        <f>IF(ISNUMBER(tblData[US]),tblData[US]/$P$9,"")</f>
        <v/>
      </c>
      <c r="Q84" s="46"/>
      <c r="R84" s="19" t="str">
        <f>IF(ISNUMBER(tblData[SKorea]),tblData[SKorea]/$R$9,"")</f>
        <v/>
      </c>
      <c r="S84" s="46"/>
      <c r="T84" s="12" t="str">
        <f>IF(ISNUMBER(tblData[UK]),tblData[UK]/$T$9,"")</f>
        <v/>
      </c>
      <c r="U84" s="25"/>
      <c r="V84" s="20" t="str">
        <f>IF(ISNUMBER(tblData[China]),tblData[China]/$V$9,"")</f>
        <v/>
      </c>
      <c r="W84" s="20"/>
      <c r="X84" s="20" t="str">
        <f>IF(ISNUMBER(tblData[Singapore]),tblData[Singapore]/$X$9,"")</f>
        <v/>
      </c>
      <c r="Y84" s="20"/>
      <c r="Z84" s="20" t="str">
        <f>IF(AND(LEN(tblData[Generic])&gt;0,ISNUMBER(tblData[Generic])),tblData[Generic]/$Z$9,"")</f>
        <v/>
      </c>
      <c r="AA84" s="25">
        <f>IF(tblData[[#This Row],[Date]]&lt;ItalyStart,"",tblData[[#This Row],[Date]]-ItalyStart)</f>
        <v>77</v>
      </c>
      <c r="AB84" s="25">
        <f>IF(tblData[[#This Row],[Date]]&lt;USStart,"",tblData[[#This Row],[Date]]-USStart)</f>
        <v>85</v>
      </c>
      <c r="AC84" s="25">
        <f>IF(tblData[[#This Row],[Date]]&lt;ChinaStart,"",tblData[[#This Row],[Date]]-ChinaStart)</f>
        <v>85</v>
      </c>
      <c r="AD84" s="25">
        <f>IF(tblData[[#This Row],[Date]]&lt;StartDt2Korea,"",tblData[[#This Row],[Date]]-StartDt2Korea)</f>
        <v>57</v>
      </c>
      <c r="AE84" s="25">
        <f>IF(tblData[[#This Row],[Date]]&lt;UKStart,"",tblData[[#This Row],[Date]]-UKStart)</f>
        <v>77</v>
      </c>
      <c r="AF84" s="25">
        <f>IF(tblData[[#This Row],[Date]]&lt;SingaporeStart,"",tblData[[#This Row],[Date]]-SingaporeStart)</f>
        <v>84</v>
      </c>
      <c r="AG84" s="25">
        <f>IF(tblData[[#This Row],[Date]]&lt;GenStart,"",tblData[[#This Row],[Date]]-GenStart)</f>
        <v>85</v>
      </c>
      <c r="AH84">
        <f>IF(tblData[Date]&gt;=StartDt2Au,tblData[Date]-StartDt2Au,"")</f>
        <v>82</v>
      </c>
      <c r="AI84" s="25" t="str">
        <f>IF(tblData[New South Wales]&gt;0,SUM(tblData[[#This Row],[Australian Capital Territory]:[Western Australia]]),"")</f>
        <v/>
      </c>
      <c r="AJ84" s="12" t="str">
        <f>IF(ISNUMBER(tblData[Au]),tblData[Au]/$AE$9,"")</f>
        <v/>
      </c>
      <c r="AK84" s="41">
        <f>IF(ISNUMBER(tblData[[#This Row],[Day'# Aust]]),betaAu/(deltaAu+betaPodeltaAu*EXP(-betaAu*tblData[[#This Row],[Day'# Aust]])),"")</f>
        <v>6984.2123441046488</v>
      </c>
      <c r="AL84" s="67">
        <f>IF(ISNUMBER(tblData[Day'# Aust]),tblData[Au LogiP(t)]/$AJ$9,"")</f>
        <v>2753.5926289641416</v>
      </c>
      <c r="AM84" s="11" t="str">
        <f>IF(AND(tblData[Date]&gt;=StartDt2Au,ISNUMBER(tblData[NSW])),(tblData[[#This Row],[Au LogiP(t)]]-tblData[[#This Row],[Au]])^2,"")</f>
        <v/>
      </c>
      <c r="AN84">
        <f>IF(tblData[Date]&gt;StartDt2NSW,tblData[Date]-StartDt2NSW,"")</f>
        <v>82</v>
      </c>
      <c r="AO84" s="25" t="str">
        <f t="shared" si="7"/>
        <v/>
      </c>
      <c r="AP84" s="11">
        <f>IF(tblData[Date]&gt;StartDt2NSW,betaNSW/(deltaNSW+betaPodeltaNSW*EXP(-betaNSW*tblData[[#This Row],[Day '# NSW]])),"")</f>
        <v>8840.2720707504577</v>
      </c>
      <c r="AQ84" s="12" t="str">
        <f>IF(AND(ISNUMBER(tblData[NSW]),tblData[Date]&gt;StartDt2NSW),(tblData[[#This Row],[NSW LogiP(t)]]-tblData[[#This Row],[NSW]])^2,"")</f>
        <v/>
      </c>
      <c r="AR84" s="41">
        <f>IF(AND(tblData[Date]&gt;StartDt2NSW,ISNUMBER(tblData[Day'# Aust])),tblData[NSW LogiP(t)]/$AQ$9,"")</f>
        <v>10940.930780631754</v>
      </c>
      <c r="AS84" s="11">
        <f>IF(AND(tblData[Date]&gt;StartDt2Italy,ISNUMBER(tblData[Days'# Italy])),betaItaly/(deltaItaly+betaPodeltaItaly*EXP(-betaItaly*tblData[Days'# Italy])),"")</f>
        <v>76026.450426613126</v>
      </c>
      <c r="AT84" s="11" t="str">
        <f>IF(AND(tblData[Date]&gt;StartDt2Italy,ISNUMBER(tblData[Italy])),(tblData[[#This Row],[Italy LogiP(t)]]-tblData[[#This Row],[Italy]])^2,"")</f>
        <v/>
      </c>
      <c r="AU84" s="41">
        <f>IF(AND(tblData[Date]&gt;StartDt2Italy,ISNUMBER(tblData[Days'# Italy])),tblData[[#This Row],[Italy LogiP(t)]]/$AT$9,"")</f>
        <v>12569.471840392351</v>
      </c>
      <c r="AV84" s="20">
        <f>IF(ISNUMBER(tblData[[#This Row],[Days'# US]]),betaUS/(deltaUS+betaPodeltaUS*EXP(-betaUS*tblData[Days'# US])),"")</f>
        <v>186478.1944153721</v>
      </c>
      <c r="AW84" s="11" t="str">
        <f>IF(AND(tblData[Date]&gt;=StartDt2US,ISNUMBER(tblData[US])),(tblData[[#This Row],[US LogiP(t)]]-tblData[US])^2,"")</f>
        <v/>
      </c>
      <c r="AX84" s="20">
        <f>IF(ISNUMBER(tblData[[#This Row],[Days'# US]]),tblData[[#This Row],[US LogiP(t)]]/$AW$9,"")</f>
        <v>5664.1093188838377</v>
      </c>
      <c r="AY84" s="20">
        <f>IF(tblData[Date]&gt;=StartDt2Korea,betaSKorea/(deltaSKorea+betaPodeltaSKorea*EXP(-betaSKorea*(tblData[Date]-StartDt2Korea))),"")</f>
        <v>8607.5438952989298</v>
      </c>
      <c r="AZ84" s="20" t="str">
        <f>IF(AND(tblData[Date]&gt;=StartDt2Korea,ISNUMBER(tblData[SKorea])),(tblData[[#This Row],[SKorea LogiP(t)]]-tblData[[#This Row],[SKorea]])^2,"")</f>
        <v/>
      </c>
      <c r="BA84" s="20">
        <f>IF(tblData[Date]&gt;=StartDt2Korea,tblData[[#This Row],[SKorea LogiP(t)]]/$AZ$9,"")</f>
        <v>1674.6194348830604</v>
      </c>
      <c r="BB84" s="79">
        <f>IF(ISNUMBER(tblData[Days'# UK]),betaUK/(deltaUK+betaPodeltaUK*EXP(-betaUK*tblData[Days'# UK])),"")</f>
        <v>21856.028634618462</v>
      </c>
      <c r="BC84" s="79" t="str">
        <f>IF(ISNUMBER(tblData[UK]),(tblData[[#This Row],[UK LogiP(t)]]-tblData[[#This Row],[UK]])^2,"")</f>
        <v/>
      </c>
      <c r="BD84" s="79">
        <f>IF(ISNUMBER(tblData[Days'# UK]),tblData[[#This Row],[UK LogiP(t)]]/$BC$9,"")</f>
        <v>3289.5888974440791</v>
      </c>
      <c r="BE84" s="11">
        <f>IF(ISNUMBER(tblData[Days'# China]),betaChina/(deltaChina+betaPodeltaChina*EXP(-betaChina*tblData[Days'# China])),"")</f>
        <v>81015.934795493638</v>
      </c>
      <c r="BF84" s="11" t="str">
        <f>IF(ISNUMBER(tblData[China]),(tblData[[#This Row],[China LogiP(t)]]-tblData[[#This Row],[China]])^2,"")</f>
        <v/>
      </c>
      <c r="BG84" s="11">
        <f>tblData[[#This Row],[China LogiP(t)]]/$BF$9</f>
        <v>562.87498439471096</v>
      </c>
      <c r="BH84" s="11">
        <f>IF(ISNUMBER(tblData[Day'# Singapore]),betaSingapore/(deltaSingapore+betaPodeltaSingapore*EXP(-betaSingapore*tblData[Day'# Singapore])),"")</f>
        <v>2915.1922948496726</v>
      </c>
      <c r="BI84" s="11" t="str">
        <f>IF(AND(ISNUMBER(tblData[Singapore]),tblData[Date]&gt;=StartDt2Singapore),(tblData[[#This Row],[Singapore LogiP(t)]]-tblData[[#This Row],[Singapore]])^2,"")</f>
        <v/>
      </c>
      <c r="BJ84" s="11">
        <f>IF(ISNUMBER(tblData[Day'# Singapore]),tblData[Singapore LogiP(t)]/$BI$9,"")</f>
        <v>4983.2346920507225</v>
      </c>
      <c r="BK84" s="11">
        <f>IF(ISNUMBER(tblData[Day'# Generic]),betaGeneric/(deltaGeneric+betaPodeltaGeneric*EXP(-betaGeneric*tblData[Day'# Generic])),"")</f>
        <v>67309.077095781249</v>
      </c>
      <c r="BL84" s="11" t="str">
        <f>IF(AND(ISNUMBER(tblData[Generic]),tblData[Date]&gt;=StartDt2Generic),(tblData[Generic LogiP(t)]-tblData[[#This Row],[Generic]])^2,"")</f>
        <v/>
      </c>
      <c r="BM84" s="11">
        <f>IF(ISNUMBER(tblData[Day'# Generic]),tblData[Generic LogiP(t)]/$BL$9,"")</f>
        <v>11505.825144577992</v>
      </c>
      <c r="BN84" s="11"/>
      <c r="BO84" s="11"/>
      <c r="BP84" s="11" t="str">
        <f>IF(ISNUMBER(tblData[[#This Row],[Tests]]),tblData[[#This Row],[Tests]]-BP83,"")</f>
        <v/>
      </c>
      <c r="BQ84" s="11" t="str">
        <f>IF(ISNUMBER(tblData[[#This Row],[NSW Under Investigation'']]),tblData[[#This Row],[NSW Under Investigation'']]-BO83,"")</f>
        <v/>
      </c>
      <c r="BR84" s="11">
        <f>IF(tblData[[#This Row],[Date]]&gt;myData!TestsStart,tblData[[#This Row],[Date]]-myData!TestsStart,"")</f>
        <v>42</v>
      </c>
      <c r="BS84" s="11">
        <f>IF(AND(tblData[[#This Row],[NSW Test Day Number]]&gt;0,ISNUMBER(tblData[[#This Row],[NSW Test Day Number]])),betaTests/(deltaTests+betaPodeltaTests*EXP(-betaTests*tblData[[#This Row],[NSW Test Day Number]])),"")</f>
        <v>106809.67924141571</v>
      </c>
      <c r="BT84" s="11" t="str">
        <f>IF(tblData[Tests]&gt;0,(tblData[[#This Row],[Tests]]-tblData[[#This Row],[NSW Test Logi]])^2,"")</f>
        <v/>
      </c>
      <c r="BU84" s="11" t="str">
        <f>IF(ISNUMBER(tblData[Tests]),tblData[Tests]/$BS$9/100,"")</f>
        <v/>
      </c>
      <c r="BV84" s="124">
        <f ca="1">IF(AND(tblData[[#This Row],[NSW Test Day Number]]&gt;0,ISNUMBER(tblData[[#This Row],[NSW Test Day Number]])),TestsLogestB*TestsLogestM^tblData[[#This Row],[NSW Test Day Number]],"")</f>
        <v>1475697.0626459543</v>
      </c>
      <c r="BW84" s="11" t="str">
        <f>IF(AND(tblData[[#This Row],[NSW Test Day Number]]&gt;0,ISNUMBER(tblData[Tests])),(tblData[Tests]-tblData[[#This Row],[NSW Test Per Capita]])^2,"")</f>
        <v/>
      </c>
      <c r="BX84" s="124"/>
      <c r="BY84" s="11"/>
      <c r="BZ84"/>
      <c r="CB84" s="25"/>
      <c r="CD84" s="25"/>
      <c r="CK84"/>
      <c r="CL84"/>
      <c r="CO84" s="25"/>
      <c r="CZ84" s="25"/>
      <c r="DA84" s="25"/>
      <c r="DC84"/>
      <c r="DD84"/>
      <c r="DG84" s="25"/>
      <c r="DH84" s="25"/>
      <c r="DV84"/>
      <c r="DW84"/>
      <c r="DX84"/>
      <c r="DY84" t="s">
        <v>209</v>
      </c>
      <c r="DZ84" s="76">
        <v>43912.787546296298</v>
      </c>
      <c r="EA84" s="26">
        <v>43852</v>
      </c>
      <c r="EB84" s="26">
        <v>43870</v>
      </c>
      <c r="EC84">
        <v>3</v>
      </c>
      <c r="ED84">
        <v>0.33723338054496799</v>
      </c>
      <c r="EE84" s="24">
        <v>2.0602986212095161E-6</v>
      </c>
      <c r="EF84">
        <v>2.5463658144854667E-2</v>
      </c>
      <c r="EG84" s="96">
        <v>163681.79693630635</v>
      </c>
      <c r="EH84" s="25">
        <v>828.39707151439563</v>
      </c>
      <c r="EI84" s="25">
        <v>13.24371094537222</v>
      </c>
      <c r="EJ84" s="98">
        <v>2.060298621209516E-3</v>
      </c>
      <c r="EK84" s="26">
        <v>43912</v>
      </c>
      <c r="EL84" t="s">
        <v>1143</v>
      </c>
      <c r="EM84" s="25">
        <v>163681.79693630635</v>
      </c>
      <c r="EN84" s="98">
        <v>26747</v>
      </c>
      <c r="EO84" t="s">
        <v>1144</v>
      </c>
      <c r="EP84" s="26">
        <v>43911</v>
      </c>
      <c r="EQ84" s="25">
        <v>43</v>
      </c>
      <c r="ER84" t="s">
        <v>1145</v>
      </c>
      <c r="ET84" t="s">
        <v>1146</v>
      </c>
      <c r="EV84" t="s">
        <v>1147</v>
      </c>
      <c r="EW84">
        <v>812.41633868853819</v>
      </c>
      <c r="EX84" s="82">
        <v>43911</v>
      </c>
      <c r="EY84" s="25">
        <v>1</v>
      </c>
      <c r="EZ84" s="82">
        <v>43910</v>
      </c>
      <c r="FA84">
        <v>2</v>
      </c>
      <c r="FC84" s="25"/>
    </row>
    <row r="85" spans="2:195" x14ac:dyDescent="0.25">
      <c r="B85" s="26">
        <f t="shared" si="9"/>
        <v>43944</v>
      </c>
      <c r="D85" s="25"/>
      <c r="L85" s="12" t="str">
        <f>IF(ISNUMBER(tblData[[#This Row],[NSW]]),tblData[[#This Row],[New South Wales]]/$L$9,"")</f>
        <v/>
      </c>
      <c r="M85" s="25"/>
      <c r="N85" s="46" t="str">
        <f>IF(ISNUMBER(tblData[Italy]),tblData[Italy]/$N$9,"")</f>
        <v/>
      </c>
      <c r="O85" s="25"/>
      <c r="P85" s="124" t="str">
        <f>IF(ISNUMBER(tblData[US]),tblData[US]/$P$9,"")</f>
        <v/>
      </c>
      <c r="Q85" s="46"/>
      <c r="R85" s="19" t="str">
        <f>IF(ISNUMBER(tblData[SKorea]),tblData[SKorea]/$R$9,"")</f>
        <v/>
      </c>
      <c r="S85" s="46"/>
      <c r="T85" s="12" t="str">
        <f>IF(ISNUMBER(tblData[UK]),tblData[UK]/$T$9,"")</f>
        <v/>
      </c>
      <c r="U85" s="25"/>
      <c r="V85" s="20" t="str">
        <f>IF(ISNUMBER(tblData[China]),tblData[China]/$V$9,"")</f>
        <v/>
      </c>
      <c r="W85" s="20"/>
      <c r="X85" s="20" t="str">
        <f>IF(ISNUMBER(tblData[Singapore]),tblData[Singapore]/$X$9,"")</f>
        <v/>
      </c>
      <c r="Y85" s="20"/>
      <c r="Z85" s="20" t="str">
        <f>IF(AND(LEN(tblData[Generic])&gt;0,ISNUMBER(tblData[Generic])),tblData[Generic]/$Z$9,"")</f>
        <v/>
      </c>
      <c r="AA85" s="25">
        <f>IF(tblData[[#This Row],[Date]]&lt;ItalyStart,"",tblData[[#This Row],[Date]]-ItalyStart)</f>
        <v>84</v>
      </c>
      <c r="AB85" s="25">
        <f>IF(tblData[[#This Row],[Date]]&lt;USStart,"",tblData[[#This Row],[Date]]-USStart)</f>
        <v>92</v>
      </c>
      <c r="AC85" s="25">
        <f>IF(tblData[[#This Row],[Date]]&lt;ChinaStart,"",tblData[[#This Row],[Date]]-ChinaStart)</f>
        <v>92</v>
      </c>
      <c r="AD85" s="25">
        <f>IF(tblData[[#This Row],[Date]]&lt;StartDt2Korea,"",tblData[[#This Row],[Date]]-StartDt2Korea)</f>
        <v>64</v>
      </c>
      <c r="AE85" s="25">
        <f>IF(tblData[[#This Row],[Date]]&lt;UKStart,"",tblData[[#This Row],[Date]]-UKStart)</f>
        <v>84</v>
      </c>
      <c r="AF85" s="25">
        <f>IF(tblData[[#This Row],[Date]]&lt;SingaporeStart,"",tblData[[#This Row],[Date]]-SingaporeStart)</f>
        <v>91</v>
      </c>
      <c r="AG85" s="25">
        <f>IF(tblData[[#This Row],[Date]]&lt;GenStart,"",tblData[[#This Row],[Date]]-GenStart)</f>
        <v>92</v>
      </c>
      <c r="AH85">
        <f>IF(tblData[Date]&gt;=StartDt2Au,tblData[Date]-StartDt2Au,"")</f>
        <v>89</v>
      </c>
      <c r="AI85" s="25" t="str">
        <f>IF(tblData[New South Wales]&gt;0,SUM(tblData[[#This Row],[Australian Capital Territory]:[Western Australia]]),"")</f>
        <v/>
      </c>
      <c r="AJ85" s="12" t="str">
        <f>IF(ISNUMBER(tblData[Au]),tblData[Au]/$AE$9,"")</f>
        <v/>
      </c>
      <c r="AK85" s="41">
        <f>IF(ISNUMBER(tblData[[#This Row],[Day'# Aust]]),betaAu/(deltaAu+betaPodeltaAu*EXP(-betaAu*tblData[[#This Row],[Day'# Aust]])),"")</f>
        <v>7027.4098917123647</v>
      </c>
      <c r="AL85" s="67">
        <f>IF(ISNUMBER(tblData[Day'# Aust]),tblData[Au LogiP(t)]/$AJ$9,"")</f>
        <v>2770.6236759629255</v>
      </c>
      <c r="AM85" s="11" t="str">
        <f>IF(AND(tblData[Date]&gt;=StartDt2Au,ISNUMBER(tblData[NSW])),(tblData[[#This Row],[Au LogiP(t)]]-tblData[[#This Row],[Au]])^2,"")</f>
        <v/>
      </c>
      <c r="AN85">
        <f>IF(tblData[Date]&gt;StartDt2NSW,tblData[Date]-StartDt2NSW,"")</f>
        <v>89</v>
      </c>
      <c r="AO85" s="25" t="str">
        <f t="shared" si="7"/>
        <v/>
      </c>
      <c r="AP85" s="11">
        <f>IF(tblData[Date]&gt;StartDt2NSW,betaNSW/(deltaNSW+betaPodeltaNSW*EXP(-betaNSW*tblData[[#This Row],[Day '# NSW]])),"")</f>
        <v>9411.9976422284508</v>
      </c>
      <c r="AQ85" s="12" t="str">
        <f>IF(AND(ISNUMBER(tblData[NSW]),tblData[Date]&gt;StartDt2NSW),(tblData[[#This Row],[NSW LogiP(t)]]-tblData[[#This Row],[NSW]])^2,"")</f>
        <v/>
      </c>
      <c r="AR85" s="41">
        <f>IF(AND(tblData[Date]&gt;StartDt2NSW,ISNUMBER(tblData[Day'# Aust])),tblData[NSW LogiP(t)]/$AQ$9,"")</f>
        <v>11648.511933451053</v>
      </c>
      <c r="AS85" s="11">
        <f>IF(AND(tblData[Date]&gt;StartDt2Italy,ISNUMBER(tblData[Days'# Italy])),betaItaly/(deltaItaly+betaPodeltaItaly*EXP(-betaItaly*tblData[Days'# Italy])),"")</f>
        <v>76053.129021912566</v>
      </c>
      <c r="AT85" s="11" t="str">
        <f>IF(AND(tblData[Date]&gt;StartDt2Italy,ISNUMBER(tblData[Italy])),(tblData[[#This Row],[Italy LogiP(t)]]-tblData[[#This Row],[Italy]])^2,"")</f>
        <v/>
      </c>
      <c r="AU85" s="41">
        <f>IF(AND(tblData[Date]&gt;StartDt2Italy,ISNUMBER(tblData[Days'# Italy])),tblData[[#This Row],[Italy LogiP(t)]]/$AT$9,"")</f>
        <v>12573.88261914732</v>
      </c>
      <c r="AV85" s="20">
        <f>IF(ISNUMBER(tblData[[#This Row],[Days'# US]]),betaUS/(deltaUS+betaPodeltaUS*EXP(-betaUS*tblData[Days'# US])),"")</f>
        <v>187239.4045540904</v>
      </c>
      <c r="AW85" s="11" t="str">
        <f>IF(AND(tblData[Date]&gt;=StartDt2US,ISNUMBER(tblData[US])),(tblData[[#This Row],[US LogiP(t)]]-tblData[US])^2,"")</f>
        <v/>
      </c>
      <c r="AX85" s="20">
        <f>IF(ISNUMBER(tblData[[#This Row],[Days'# US]]),tblData[[#This Row],[US LogiP(t)]]/$AW$9,"")</f>
        <v>5687.2303998974139</v>
      </c>
      <c r="AY85" s="20">
        <f>IF(tblData[Date]&gt;=StartDt2Korea,betaSKorea/(deltaSKorea+betaPodeltaSKorea*EXP(-betaSKorea*(tblData[Date]-StartDt2Korea))),"")</f>
        <v>8607.5545932723471</v>
      </c>
      <c r="AZ85" s="20" t="str">
        <f>IF(AND(tblData[Date]&gt;=StartDt2Korea,ISNUMBER(tblData[SKorea])),(tblData[[#This Row],[SKorea LogiP(t)]]-tblData[[#This Row],[SKorea]])^2,"")</f>
        <v/>
      </c>
      <c r="BA85" s="20">
        <f>IF(tblData[Date]&gt;=StartDt2Korea,tblData[[#This Row],[SKorea LogiP(t)]]/$AZ$9,"")</f>
        <v>1674.6215162008459</v>
      </c>
      <c r="BB85" s="79">
        <f>IF(ISNUMBER(tblData[Days'# UK]),betaUK/(deltaUK+betaPodeltaUK*EXP(-betaUK*tblData[Days'# UK])),"")</f>
        <v>21995.41999947072</v>
      </c>
      <c r="BC85" s="79" t="str">
        <f>IF(ISNUMBER(tblData[UK]),(tblData[[#This Row],[UK LogiP(t)]]-tblData[[#This Row],[UK]])^2,"")</f>
        <v/>
      </c>
      <c r="BD85" s="79">
        <f>IF(ISNUMBER(tblData[Days'# UK]),tblData[[#This Row],[UK LogiP(t)]]/$BC$9,"")</f>
        <v>3310.5689342972182</v>
      </c>
      <c r="BE85" s="11">
        <f>IF(ISNUMBER(tblData[Days'# China]),betaChina/(deltaChina+betaPodeltaChina*EXP(-betaChina*tblData[Days'# China])),"")</f>
        <v>81015.955617327258</v>
      </c>
      <c r="BF85" s="11" t="str">
        <f>IF(ISNUMBER(tblData[China]),(tblData[[#This Row],[China LogiP(t)]]-tblData[[#This Row],[China]])^2,"")</f>
        <v/>
      </c>
      <c r="BG85" s="11">
        <f>tblData[[#This Row],[China LogiP(t)]]/$BF$9</f>
        <v>562.87512905871199</v>
      </c>
      <c r="BH85" s="11">
        <f>IF(ISNUMBER(tblData[Day'# Singapore]),betaSingapore/(deltaSingapore+betaPodeltaSingapore*EXP(-betaSingapore*tblData[Day'# Singapore])),"")</f>
        <v>4910.0195197382445</v>
      </c>
      <c r="BI85" s="11" t="str">
        <f>IF(AND(ISNUMBER(tblData[Singapore]),tblData[Date]&gt;=StartDt2Singapore),(tblData[[#This Row],[Singapore LogiP(t)]]-tblData[[#This Row],[Singapore]])^2,"")</f>
        <v/>
      </c>
      <c r="BJ85" s="11">
        <f>IF(ISNUMBER(tblData[Day'# Singapore]),tblData[Singapore LogiP(t)]/$BI$9,"")</f>
        <v>8393.1957602363163</v>
      </c>
      <c r="BK85" s="11">
        <f>IF(ISNUMBER(tblData[Day'# Generic]),betaGeneric/(deltaGeneric+betaPodeltaGeneric*EXP(-betaGeneric*tblData[Day'# Generic])),"")</f>
        <v>67309.09456706389</v>
      </c>
      <c r="BL85" s="11" t="str">
        <f>IF(AND(ISNUMBER(tblData[Generic]),tblData[Date]&gt;=StartDt2Generic),(tblData[Generic LogiP(t)]-tblData[[#This Row],[Generic]])^2,"")</f>
        <v/>
      </c>
      <c r="BM85" s="11">
        <f>IF(ISNUMBER(tblData[Day'# Generic]),tblData[Generic LogiP(t)]/$BL$9,"")</f>
        <v>11505.828131122033</v>
      </c>
      <c r="BN85" s="11"/>
      <c r="BO85" s="11"/>
      <c r="BP85" s="11" t="str">
        <f>IF(ISNUMBER(tblData[[#This Row],[Tests]]),tblData[[#This Row],[Tests]]-BP84,"")</f>
        <v/>
      </c>
      <c r="BQ85" s="11" t="str">
        <f>IF(ISNUMBER(tblData[[#This Row],[NSW Under Investigation'']]),tblData[[#This Row],[NSW Under Investigation'']]-BO84,"")</f>
        <v/>
      </c>
      <c r="BR85" s="11">
        <f>IF(tblData[[#This Row],[Date]]&gt;myData!TestsStart,tblData[[#This Row],[Date]]-myData!TestsStart,"")</f>
        <v>49</v>
      </c>
      <c r="BS85" s="11">
        <f>IF(AND(tblData[[#This Row],[NSW Test Day Number]]&gt;0,ISNUMBER(tblData[[#This Row],[NSW Test Day Number]])),betaTests/(deltaTests+betaPodeltaTests*EXP(-betaTests*tblData[[#This Row],[NSW Test Day Number]])),"")</f>
        <v>107364.27304504</v>
      </c>
      <c r="BT85" s="11" t="str">
        <f>IF(tblData[Tests]&gt;0,(tblData[[#This Row],[Tests]]-tblData[[#This Row],[NSW Test Logi]])^2,"")</f>
        <v/>
      </c>
      <c r="BU85" s="11" t="str">
        <f>IF(ISNUMBER(tblData[Tests]),tblData[Tests]/$BS$9/100,"")</f>
        <v/>
      </c>
      <c r="BV85" s="124">
        <f ca="1">IF(AND(tblData[[#This Row],[NSW Test Day Number]]&gt;0,ISNUMBER(tblData[[#This Row],[NSW Test Day Number]])),TestsLogestB*TestsLogestM^tblData[[#This Row],[NSW Test Day Number]],"")</f>
        <v>3799345.3714121864</v>
      </c>
      <c r="BW85" s="11" t="str">
        <f>IF(AND(tblData[[#This Row],[NSW Test Day Number]]&gt;0,ISNUMBER(tblData[Tests])),(tblData[Tests]-tblData[[#This Row],[NSW Test Per Capita]])^2,"")</f>
        <v/>
      </c>
      <c r="BX85" s="124"/>
      <c r="BY85" s="11"/>
      <c r="BZ85"/>
      <c r="CB85" s="25"/>
      <c r="CD85" s="25"/>
      <c r="CK85"/>
      <c r="CL85"/>
      <c r="CO85" s="25"/>
      <c r="CZ85" s="25"/>
      <c r="DA85" s="25"/>
      <c r="DC85"/>
      <c r="DD85"/>
      <c r="DG85" s="25"/>
      <c r="DH85" s="25"/>
      <c r="DV85"/>
      <c r="DW85"/>
      <c r="DX85"/>
      <c r="DY85" t="s">
        <v>209</v>
      </c>
      <c r="DZ85" s="76">
        <v>43913.686736111114</v>
      </c>
      <c r="EA85" s="26">
        <v>43852</v>
      </c>
      <c r="EB85" s="26">
        <v>43870</v>
      </c>
      <c r="EC85">
        <v>3</v>
      </c>
      <c r="ED85">
        <v>0.33723338048188056</v>
      </c>
      <c r="EE85" s="95">
        <v>5.5706351680568401E-7</v>
      </c>
      <c r="EF85">
        <v>2.5463658144544234E-2</v>
      </c>
      <c r="EG85" s="96">
        <v>605376.89205648517</v>
      </c>
      <c r="EH85" s="25">
        <v>389.60916165331662</v>
      </c>
      <c r="EI85" s="25">
        <v>13.243712446291234</v>
      </c>
      <c r="EJ85" s="98">
        <v>5.5706351680568397E-4</v>
      </c>
      <c r="EK85" s="26">
        <v>43912</v>
      </c>
      <c r="EL85" t="s">
        <v>1351</v>
      </c>
      <c r="EM85" s="25">
        <v>605376.89205648517</v>
      </c>
      <c r="EN85" s="99">
        <v>33272</v>
      </c>
      <c r="EO85" t="s">
        <v>1352</v>
      </c>
      <c r="EP85" s="26">
        <v>43912</v>
      </c>
      <c r="EQ85" s="25">
        <v>43</v>
      </c>
      <c r="ER85" t="s">
        <v>1353</v>
      </c>
      <c r="ET85" t="s">
        <v>1354</v>
      </c>
      <c r="EV85" t="s">
        <v>1355</v>
      </c>
      <c r="EW85">
        <v>1010.6074109561836</v>
      </c>
      <c r="EX85" s="82">
        <v>43912</v>
      </c>
      <c r="EY85" s="25">
        <v>1</v>
      </c>
      <c r="EZ85" s="82">
        <v>43911</v>
      </c>
      <c r="FA85">
        <v>2</v>
      </c>
      <c r="FB85" t="s">
        <v>1350</v>
      </c>
      <c r="FC85" s="25"/>
    </row>
    <row r="86" spans="2:195" x14ac:dyDescent="0.25">
      <c r="B86" s="26">
        <f t="shared" si="9"/>
        <v>43951</v>
      </c>
      <c r="D86" s="25"/>
      <c r="L86" s="12" t="str">
        <f>IF(ISNUMBER(tblData[[#This Row],[NSW]]),tblData[[#This Row],[New South Wales]]/$L$9,"")</f>
        <v/>
      </c>
      <c r="M86" s="25"/>
      <c r="N86" s="46" t="str">
        <f>IF(ISNUMBER(tblData[Italy]),tblData[Italy]/$N$9,"")</f>
        <v/>
      </c>
      <c r="O86" s="25"/>
      <c r="P86" s="124" t="str">
        <f>IF(ISNUMBER(tblData[US]),tblData[US]/$P$9,"")</f>
        <v/>
      </c>
      <c r="Q86" s="46"/>
      <c r="R86" s="19" t="str">
        <f>IF(ISNUMBER(tblData[SKorea]),tblData[SKorea]/$R$9,"")</f>
        <v/>
      </c>
      <c r="S86" s="46"/>
      <c r="T86" s="12" t="str">
        <f>IF(ISNUMBER(tblData[UK]),tblData[UK]/$T$9,"")</f>
        <v/>
      </c>
      <c r="U86" s="25"/>
      <c r="V86" s="20" t="str">
        <f>IF(ISNUMBER(tblData[China]),tblData[China]/$V$9,"")</f>
        <v/>
      </c>
      <c r="W86" s="20"/>
      <c r="X86" s="20" t="str">
        <f>IF(ISNUMBER(tblData[Singapore]),tblData[Singapore]/$X$9,"")</f>
        <v/>
      </c>
      <c r="Y86" s="20"/>
      <c r="Z86" s="20" t="str">
        <f>IF(AND(LEN(tblData[Generic])&gt;0,ISNUMBER(tblData[Generic])),tblData[Generic]/$Z$9,"")</f>
        <v/>
      </c>
      <c r="AA86" s="25">
        <f>IF(tblData[[#This Row],[Date]]&lt;ItalyStart,"",tblData[[#This Row],[Date]]-ItalyStart)</f>
        <v>91</v>
      </c>
      <c r="AB86" s="25">
        <f>IF(tblData[[#This Row],[Date]]&lt;USStart,"",tblData[[#This Row],[Date]]-USStart)</f>
        <v>99</v>
      </c>
      <c r="AC86" s="25">
        <f>IF(tblData[[#This Row],[Date]]&lt;ChinaStart,"",tblData[[#This Row],[Date]]-ChinaStart)</f>
        <v>99</v>
      </c>
      <c r="AD86" s="25">
        <f>IF(tblData[[#This Row],[Date]]&lt;StartDt2Korea,"",tblData[[#This Row],[Date]]-StartDt2Korea)</f>
        <v>71</v>
      </c>
      <c r="AE86" s="25">
        <f>IF(tblData[[#This Row],[Date]]&lt;UKStart,"",tblData[[#This Row],[Date]]-UKStart)</f>
        <v>91</v>
      </c>
      <c r="AF86" s="25">
        <f>IF(tblData[[#This Row],[Date]]&lt;SingaporeStart,"",tblData[[#This Row],[Date]]-SingaporeStart)</f>
        <v>98</v>
      </c>
      <c r="AG86" s="25">
        <f>IF(tblData[[#This Row],[Date]]&lt;GenStart,"",tblData[[#This Row],[Date]]-GenStart)</f>
        <v>99</v>
      </c>
      <c r="AH86">
        <f>IF(tblData[Date]&gt;=StartDt2Au,tblData[Date]-StartDt2Au,"")</f>
        <v>96</v>
      </c>
      <c r="AI86" s="25" t="str">
        <f>IF(tblData[New South Wales]&gt;0,SUM(tblData[[#This Row],[Australian Capital Territory]:[Western Australia]]),"")</f>
        <v/>
      </c>
      <c r="AJ86" s="12" t="str">
        <f>IF(ISNUMBER(tblData[Au]),tblData[Au]/$AE$9,"")</f>
        <v/>
      </c>
      <c r="AK86" s="41">
        <f>IF(ISNUMBER(tblData[[#This Row],[Day'# Aust]]),betaAu/(deltaAu+betaPodeltaAu*EXP(-betaAu*tblData[[#This Row],[Day'# Aust]])),"")</f>
        <v>7034.8664831296546</v>
      </c>
      <c r="AL86" s="67">
        <f>IF(ISNUMBER(tblData[Day'# Aust]),tblData[Au LogiP(t)]/$AJ$9,"")</f>
        <v>2773.5635085671247</v>
      </c>
      <c r="AM86" s="11" t="str">
        <f>IF(AND(tblData[Date]&gt;=StartDt2Au,ISNUMBER(tblData[NSW])),(tblData[[#This Row],[Au LogiP(t)]]-tblData[[#This Row],[Au]])^2,"")</f>
        <v/>
      </c>
      <c r="AN86">
        <f>IF(tblData[Date]&gt;StartDt2NSW,tblData[Date]-StartDt2NSW,"")</f>
        <v>96</v>
      </c>
      <c r="AO86" s="25" t="str">
        <f t="shared" si="7"/>
        <v/>
      </c>
      <c r="AP86" s="11">
        <f>IF(tblData[Date]&gt;StartDt2NSW,betaNSW/(deltaNSW+betaPodeltaNSW*EXP(-betaNSW*tblData[[#This Row],[Day '# NSW]])),"")</f>
        <v>9555.5318661324382</v>
      </c>
      <c r="AQ86" s="12" t="str">
        <f>IF(AND(ISNUMBER(tblData[NSW]),tblData[Date]&gt;StartDt2NSW),(tblData[[#This Row],[NSW LogiP(t)]]-tblData[[#This Row],[NSW]])^2,"")</f>
        <v/>
      </c>
      <c r="AR86" s="41">
        <f>IF(AND(tblData[Date]&gt;StartDt2NSW,ISNUMBER(tblData[Day'# Aust])),tblData[NSW LogiP(t)]/$AQ$9,"")</f>
        <v>11826.153299668858</v>
      </c>
      <c r="AS86" s="11">
        <f>IF(AND(tblData[Date]&gt;StartDt2Italy,ISNUMBER(tblData[Days'# Italy])),betaItaly/(deltaItaly+betaPodeltaItaly*EXP(-betaItaly*tblData[Days'# Italy])),"")</f>
        <v>76057.528894985735</v>
      </c>
      <c r="AT86" s="11" t="str">
        <f>IF(AND(tblData[Date]&gt;StartDt2Italy,ISNUMBER(tblData[Italy])),(tblData[[#This Row],[Italy LogiP(t)]]-tblData[[#This Row],[Italy]])^2,"")</f>
        <v/>
      </c>
      <c r="AU86" s="41">
        <f>IF(AND(tblData[Date]&gt;StartDt2Italy,ISNUMBER(tblData[Days'# Italy])),tblData[[#This Row],[Italy LogiP(t)]]/$AT$9,"")</f>
        <v>12574.610051250018</v>
      </c>
      <c r="AV86" s="20">
        <f>IF(ISNUMBER(tblData[[#This Row],[Days'# US]]),betaUS/(deltaUS+betaPodeltaUS*EXP(-betaUS*tblData[Days'# US])),"")</f>
        <v>187349.1528940392</v>
      </c>
      <c r="AW86" s="11" t="str">
        <f>IF(AND(tblData[Date]&gt;=StartDt2US,ISNUMBER(tblData[US])),(tblData[[#This Row],[US LogiP(t)]]-tblData[US])^2,"")</f>
        <v/>
      </c>
      <c r="AX86" s="20">
        <f>IF(ISNUMBER(tblData[[#This Row],[Days'# US]]),tblData[[#This Row],[US LogiP(t)]]/$AW$9,"")</f>
        <v>5690.5639081233212</v>
      </c>
      <c r="AY86" s="20">
        <f>IF(tblData[Date]&gt;=StartDt2Korea,betaSKorea/(deltaSKorea+betaPodeltaSKorea*EXP(-betaSKorea*(tblData[Date]-StartDt2Korea))),"")</f>
        <v>8607.5559015033377</v>
      </c>
      <c r="AZ86" s="20" t="str">
        <f>IF(AND(tblData[Date]&gt;=StartDt2Korea,ISNUMBER(tblData[SKorea])),(tblData[[#This Row],[SKorea LogiP(t)]]-tblData[[#This Row],[SKorea]])^2,"")</f>
        <v/>
      </c>
      <c r="BA86" s="20">
        <f>IF(tblData[Date]&gt;=StartDt2Korea,tblData[[#This Row],[SKorea LogiP(t)]]/$AZ$9,"")</f>
        <v>1674.6217707204937</v>
      </c>
      <c r="BB86" s="79">
        <f>IF(ISNUMBER(tblData[Days'# UK]),betaUK/(deltaUK+betaPodeltaUK*EXP(-betaUK*tblData[Days'# UK])),"")</f>
        <v>22022.084158405392</v>
      </c>
      <c r="BC86" s="79" t="str">
        <f>IF(ISNUMBER(tblData[UK]),(tblData[[#This Row],[UK LogiP(t)]]-tblData[[#This Row],[UK]])^2,"")</f>
        <v/>
      </c>
      <c r="BD86" s="79">
        <f>IF(ISNUMBER(tblData[Days'# UK]),tblData[[#This Row],[UK LogiP(t)]]/$BC$9,"")</f>
        <v>3314.5822032518649</v>
      </c>
      <c r="BE86" s="11">
        <f>IF(ISNUMBER(tblData[Days'# China]),betaChina/(deltaChina+betaPodeltaChina*EXP(-betaChina*tblData[Days'# China])),"")</f>
        <v>81015.960014674492</v>
      </c>
      <c r="BF86" s="11" t="str">
        <f>IF(ISNUMBER(tblData[China]),(tblData[[#This Row],[China LogiP(t)]]-tblData[[#This Row],[China]])^2,"")</f>
        <v/>
      </c>
      <c r="BG86" s="11">
        <f>tblData[[#This Row],[China LogiP(t)]]/$BF$9</f>
        <v>562.87515961019244</v>
      </c>
      <c r="BH86" s="11">
        <f>IF(ISNUMBER(tblData[Day'# Singapore]),betaSingapore/(deltaSingapore+betaPodeltaSingapore*EXP(-betaSingapore*tblData[Day'# Singapore])),"")</f>
        <v>8269.8802699715015</v>
      </c>
      <c r="BI86" s="11" t="str">
        <f>IF(AND(ISNUMBER(tblData[Singapore]),tblData[Date]&gt;=StartDt2Singapore),(tblData[[#This Row],[Singapore LogiP(t)]]-tblData[[#This Row],[Singapore]])^2,"")</f>
        <v/>
      </c>
      <c r="BJ86" s="11">
        <f>IF(ISNUMBER(tblData[Day'# Singapore]),tblData[Singapore LogiP(t)]/$BI$9,"")</f>
        <v>14136.547470036756</v>
      </c>
      <c r="BK86" s="11">
        <f>IF(ISNUMBER(tblData[Day'# Generic]),betaGeneric/(deltaGeneric+betaPodeltaGeneric*EXP(-betaGeneric*tblData[Day'# Generic])),"")</f>
        <v>67309.098318934586</v>
      </c>
      <c r="BL86" s="11" t="str">
        <f>IF(AND(ISNUMBER(tblData[Generic]),tblData[Date]&gt;=StartDt2Generic),(tblData[Generic LogiP(t)]-tblData[[#This Row],[Generic]])^2,"")</f>
        <v/>
      </c>
      <c r="BM86" s="11">
        <f>IF(ISNUMBER(tblData[Day'# Generic]),tblData[Generic LogiP(t)]/$BL$9,"")</f>
        <v>11505.828772467452</v>
      </c>
      <c r="BN86" s="11"/>
      <c r="BO86" s="11"/>
      <c r="BP86" s="11" t="str">
        <f>IF(ISNUMBER(tblData[[#This Row],[Tests]]),tblData[[#This Row],[Tests]]-BP85,"")</f>
        <v/>
      </c>
      <c r="BQ86" s="11" t="str">
        <f>IF(ISNUMBER(tblData[[#This Row],[NSW Under Investigation'']]),tblData[[#This Row],[NSW Under Investigation'']]-BO85,"")</f>
        <v/>
      </c>
      <c r="BR86" s="11">
        <f>IF(tblData[[#This Row],[Date]]&gt;myData!TestsStart,tblData[[#This Row],[Date]]-myData!TestsStart,"")</f>
        <v>56</v>
      </c>
      <c r="BS86" s="11">
        <f>IF(AND(tblData[[#This Row],[NSW Test Day Number]]&gt;0,ISNUMBER(tblData[[#This Row],[NSW Test Day Number]])),betaTests/(deltaTests+betaPodeltaTests*EXP(-betaTests*tblData[[#This Row],[NSW Test Day Number]])),"")</f>
        <v>107499.62580734566</v>
      </c>
      <c r="BT86" s="11" t="str">
        <f>IF(tblData[Tests]&gt;0,(tblData[[#This Row],[Tests]]-tblData[[#This Row],[NSW Test Logi]])^2,"")</f>
        <v/>
      </c>
      <c r="BU86" s="11" t="str">
        <f>IF(ISNUMBER(tblData[Tests]),tblData[Tests]/$BS$9/100,"")</f>
        <v/>
      </c>
      <c r="BV86" s="124">
        <f ca="1">IF(AND(tblData[[#This Row],[NSW Test Day Number]]&gt;0,ISNUMBER(tblData[[#This Row],[NSW Test Day Number]])),TestsLogestB*TestsLogestM^tblData[[#This Row],[NSW Test Day Number]],"")</f>
        <v>9781835.0504736528</v>
      </c>
      <c r="BW86" s="11" t="str">
        <f>IF(AND(tblData[[#This Row],[NSW Test Day Number]]&gt;0,ISNUMBER(tblData[Tests])),(tblData[Tests]-tblData[[#This Row],[NSW Test Per Capita]])^2,"")</f>
        <v/>
      </c>
      <c r="BX86" s="124"/>
      <c r="BY86" s="11"/>
      <c r="BZ86"/>
      <c r="CB86" s="25"/>
      <c r="CD86" s="25"/>
      <c r="CK86"/>
      <c r="CL86"/>
      <c r="CO86" s="25"/>
      <c r="CZ86" s="25"/>
      <c r="DA86" s="25"/>
      <c r="DC86"/>
      <c r="DD86"/>
      <c r="DG86" s="25"/>
      <c r="DH86" s="25"/>
      <c r="DV86"/>
      <c r="DW86"/>
      <c r="DX86"/>
      <c r="DY86" t="s">
        <v>209</v>
      </c>
      <c r="DZ86" s="76">
        <v>43914.307881944442</v>
      </c>
      <c r="EA86" s="26">
        <v>43852</v>
      </c>
      <c r="EB86" s="26">
        <v>43870</v>
      </c>
      <c r="EC86">
        <v>3</v>
      </c>
      <c r="ED86">
        <v>0.33723338032075978</v>
      </c>
      <c r="EE86" s="25">
        <v>5.5704542546099318E-7</v>
      </c>
      <c r="EF86">
        <v>2.5463658143704725E-2</v>
      </c>
      <c r="EG86" s="95">
        <v>605396.5527886278</v>
      </c>
      <c r="EH86" s="25">
        <v>389.60916095152731</v>
      </c>
      <c r="EI86" s="25">
        <v>13.243712440418475</v>
      </c>
      <c r="EJ86" s="97">
        <v>5.570454254609932E-4</v>
      </c>
      <c r="EK86" s="26">
        <v>43912</v>
      </c>
      <c r="EL86" t="s">
        <v>1351</v>
      </c>
      <c r="EM86" s="25">
        <v>605396.5527886278</v>
      </c>
      <c r="EN86" s="98">
        <v>33272</v>
      </c>
      <c r="EO86" t="s">
        <v>1352</v>
      </c>
      <c r="EP86" s="26">
        <v>43912</v>
      </c>
      <c r="EQ86" s="25">
        <v>43</v>
      </c>
      <c r="ER86" t="s">
        <v>1353</v>
      </c>
      <c r="ET86" t="s">
        <v>1354</v>
      </c>
      <c r="EV86" t="s">
        <v>1355</v>
      </c>
      <c r="EW86">
        <v>1010.6074109561836</v>
      </c>
      <c r="EX86" s="82">
        <v>43912</v>
      </c>
      <c r="EY86" s="25">
        <v>1</v>
      </c>
      <c r="EZ86" s="82">
        <v>43911</v>
      </c>
      <c r="FA86">
        <v>2</v>
      </c>
      <c r="FB86" t="s">
        <v>1384</v>
      </c>
      <c r="FC86" s="25"/>
    </row>
    <row r="87" spans="2:195" x14ac:dyDescent="0.25">
      <c r="B87" s="26">
        <f t="shared" si="9"/>
        <v>43958</v>
      </c>
      <c r="D87" s="25"/>
      <c r="L87" s="12" t="str">
        <f>IF(ISNUMBER(tblData[[#This Row],[NSW]]),tblData[[#This Row],[New South Wales]]/$L$9,"")</f>
        <v/>
      </c>
      <c r="M87" s="25"/>
      <c r="N87" s="46" t="str">
        <f>IF(ISNUMBER(tblData[Italy]),tblData[Italy]/$N$9,"")</f>
        <v/>
      </c>
      <c r="O87" s="25"/>
      <c r="P87" s="124" t="str">
        <f>IF(ISNUMBER(tblData[US]),tblData[US]/$P$9,"")</f>
        <v/>
      </c>
      <c r="Q87" s="46"/>
      <c r="R87" s="19" t="str">
        <f>IF(ISNUMBER(tblData[SKorea]),tblData[SKorea]/$R$9,"")</f>
        <v/>
      </c>
      <c r="S87" s="46"/>
      <c r="T87" s="12" t="str">
        <f>IF(ISNUMBER(tblData[UK]),tblData[UK]/$T$9,"")</f>
        <v/>
      </c>
      <c r="U87" s="25"/>
      <c r="V87" s="20" t="str">
        <f>IF(ISNUMBER(tblData[China]),tblData[China]/$V$9,"")</f>
        <v/>
      </c>
      <c r="W87" s="20"/>
      <c r="X87" s="20" t="str">
        <f>IF(ISNUMBER(tblData[Singapore]),tblData[Singapore]/$X$9,"")</f>
        <v/>
      </c>
      <c r="Y87" s="20"/>
      <c r="Z87" s="20" t="str">
        <f>IF(AND(LEN(tblData[Generic])&gt;0,ISNUMBER(tblData[Generic])),tblData[Generic]/$Z$9,"")</f>
        <v/>
      </c>
      <c r="AA87" s="25">
        <f>IF(tblData[[#This Row],[Date]]&lt;ItalyStart,"",tblData[[#This Row],[Date]]-ItalyStart)</f>
        <v>98</v>
      </c>
      <c r="AB87" s="25">
        <f>IF(tblData[[#This Row],[Date]]&lt;USStart,"",tblData[[#This Row],[Date]]-USStart)</f>
        <v>106</v>
      </c>
      <c r="AC87" s="25">
        <f>IF(tblData[[#This Row],[Date]]&lt;ChinaStart,"",tblData[[#This Row],[Date]]-ChinaStart)</f>
        <v>106</v>
      </c>
      <c r="AD87" s="25">
        <f>IF(tblData[[#This Row],[Date]]&lt;StartDt2Korea,"",tblData[[#This Row],[Date]]-StartDt2Korea)</f>
        <v>78</v>
      </c>
      <c r="AE87" s="25">
        <f>IF(tblData[[#This Row],[Date]]&lt;UKStart,"",tblData[[#This Row],[Date]]-UKStart)</f>
        <v>98</v>
      </c>
      <c r="AF87" s="25">
        <f>IF(tblData[[#This Row],[Date]]&lt;SingaporeStart,"",tblData[[#This Row],[Date]]-SingaporeStart)</f>
        <v>105</v>
      </c>
      <c r="AG87" s="25">
        <f>IF(tblData[[#This Row],[Date]]&lt;GenStart,"",tblData[[#This Row],[Date]]-GenStart)</f>
        <v>106</v>
      </c>
      <c r="AH87">
        <f>IF(tblData[Date]&gt;=StartDt2Au,tblData[Date]-StartDt2Au,"")</f>
        <v>103</v>
      </c>
      <c r="AI87" s="25" t="str">
        <f>IF(tblData[New South Wales]&gt;0,SUM(tblData[[#This Row],[Australian Capital Territory]:[Western Australia]]),"")</f>
        <v/>
      </c>
      <c r="AJ87" s="12" t="str">
        <f>IF(ISNUMBER(tblData[Au]),tblData[Au]/$AE$9,"")</f>
        <v/>
      </c>
      <c r="AK87" s="41">
        <f>IF(ISNUMBER(tblData[[#This Row],[Day'# Aust]]),betaAu/(deltaAu+betaPodeltaAu*EXP(-betaAu*tblData[[#This Row],[Day'# Aust]])),"")</f>
        <v>7036.1459313946234</v>
      </c>
      <c r="AL87" s="67">
        <f>IF(ISNUMBER(tblData[Day'# Aust]),tblData[Au LogiP(t)]/$AJ$9,"")</f>
        <v>2774.0679433033524</v>
      </c>
      <c r="AM87" s="11" t="str">
        <f>IF(AND(tblData[Date]&gt;=StartDt2Au,ISNUMBER(tblData[NSW])),(tblData[[#This Row],[Au LogiP(t)]]-tblData[[#This Row],[Au]])^2,"")</f>
        <v/>
      </c>
      <c r="AN87">
        <f>IF(tblData[Date]&gt;StartDt2NSW,tblData[Date]-StartDt2NSW,"")</f>
        <v>103</v>
      </c>
      <c r="AO87" s="25" t="str">
        <f t="shared" si="7"/>
        <v/>
      </c>
      <c r="AP87" s="11">
        <f>IF(tblData[Date]&gt;StartDt2NSW,betaNSW/(deltaNSW+betaPodeltaNSW*EXP(-betaNSW*tblData[[#This Row],[Day '# NSW]])),"")</f>
        <v>9589.4981590062653</v>
      </c>
      <c r="AQ87" s="12" t="str">
        <f>IF(AND(ISNUMBER(tblData[NSW]),tblData[Date]&gt;StartDt2NSW),(tblData[[#This Row],[NSW LogiP(t)]]-tblData[[#This Row],[NSW]])^2,"")</f>
        <v/>
      </c>
      <c r="AR87" s="41">
        <f>IF(AND(tblData[Date]&gt;StartDt2NSW,ISNUMBER(tblData[Day'# Aust])),tblData[NSW LogiP(t)]/$AQ$9,"")</f>
        <v>11868.190790849338</v>
      </c>
      <c r="AS87" s="11">
        <f>IF(AND(tblData[Date]&gt;StartDt2Italy,ISNUMBER(tblData[Days'# Italy])),betaItaly/(deltaItaly+betaPodeltaItaly*EXP(-betaItaly*tblData[Days'# Italy])),"")</f>
        <v>76058.254280881374</v>
      </c>
      <c r="AT87" s="11" t="str">
        <f>IF(AND(tblData[Date]&gt;StartDt2Italy,ISNUMBER(tblData[Italy])),(tblData[[#This Row],[Italy LogiP(t)]]-tblData[[#This Row],[Italy]])^2,"")</f>
        <v/>
      </c>
      <c r="AU87" s="41">
        <f>IF(AND(tblData[Date]&gt;StartDt2Italy,ISNUMBER(tblData[Days'# Italy])),tblData[[#This Row],[Italy LogiP(t)]]/$AT$9,"")</f>
        <v>12574.729979479438</v>
      </c>
      <c r="AV87" s="20">
        <f>IF(ISNUMBER(tblData[[#This Row],[Days'# US]]),betaUS/(deltaUS+betaPodeltaUS*EXP(-betaUS*tblData[Days'# US])),"")</f>
        <v>187364.91298398015</v>
      </c>
      <c r="AW87" s="11" t="str">
        <f>IF(AND(tblData[Date]&gt;=StartDt2US,ISNUMBER(tblData[US])),(tblData[[#This Row],[US LogiP(t)]]-tblData[US])^2,"")</f>
        <v/>
      </c>
      <c r="AX87" s="20">
        <f>IF(ISNUMBER(tblData[[#This Row],[Days'# US]]),tblData[[#This Row],[US LogiP(t)]]/$AW$9,"")</f>
        <v>5691.0426068397092</v>
      </c>
      <c r="AY87" s="20">
        <f>IF(tblData[Date]&gt;=StartDt2Korea,betaSKorea/(deltaSKorea+betaPodeltaSKorea*EXP(-betaSKorea*(tblData[Date]-StartDt2Korea))),"")</f>
        <v>8607.5560614837523</v>
      </c>
      <c r="AZ87" s="20" t="str">
        <f>IF(AND(tblData[Date]&gt;=StartDt2Korea,ISNUMBER(tblData[SKorea])),(tblData[[#This Row],[SKorea LogiP(t)]]-tblData[[#This Row],[SKorea]])^2,"")</f>
        <v/>
      </c>
      <c r="BA87" s="20">
        <f>IF(tblData[Date]&gt;=StartDt2Korea,tblData[[#This Row],[SKorea LogiP(t)]]/$AZ$9,"")</f>
        <v>1674.6218018450882</v>
      </c>
      <c r="BB87" s="79">
        <f>IF(ISNUMBER(tblData[Days'# UK]),betaUK/(deltaUK+betaPodeltaUK*EXP(-betaUK*tblData[Days'# UK])),"")</f>
        <v>22027.153585269123</v>
      </c>
      <c r="BC87" s="79" t="str">
        <f>IF(ISNUMBER(tblData[UK]),(tblData[[#This Row],[UK LogiP(t)]]-tblData[[#This Row],[UK]])^2,"")</f>
        <v/>
      </c>
      <c r="BD87" s="79">
        <f>IF(ISNUMBER(tblData[Days'# UK]),tblData[[#This Row],[UK LogiP(t)]]/$BC$9,"")</f>
        <v>3315.3452115095006</v>
      </c>
      <c r="BE87" s="11">
        <f>IF(ISNUMBER(tblData[Days'# China]),betaChina/(deltaChina+betaPodeltaChina*EXP(-betaChina*tblData[Days'# China])),"")</f>
        <v>81015.960943346669</v>
      </c>
      <c r="BF87" s="11" t="str">
        <f>IF(ISNUMBER(tblData[China]),(tblData[[#This Row],[China LogiP(t)]]-tblData[[#This Row],[China]])^2,"")</f>
        <v/>
      </c>
      <c r="BG87" s="11">
        <f>tblData[[#This Row],[China LogiP(t)]]/$BF$9</f>
        <v>562.87516606233476</v>
      </c>
      <c r="BH87" s="11">
        <f>IF(ISNUMBER(tblData[Day'# Singapore]),betaSingapore/(deltaSingapore+betaPodeltaSingapore*EXP(-betaSingapore*tblData[Day'# Singapore])),"")</f>
        <v>13928.848407529827</v>
      </c>
      <c r="BI87" s="11" t="str">
        <f>IF(AND(ISNUMBER(tblData[Singapore]),tblData[Date]&gt;=StartDt2Singapore),(tblData[[#This Row],[Singapore LogiP(t)]]-tblData[[#This Row],[Singapore]])^2,"")</f>
        <v/>
      </c>
      <c r="BJ87" s="11">
        <f>IF(ISNUMBER(tblData[Day'# Singapore]),tblData[Singapore LogiP(t)]/$BI$9,"")</f>
        <v>23809.997277828767</v>
      </c>
      <c r="BK87" s="11">
        <f>IF(ISNUMBER(tblData[Day'# Generic]),betaGeneric/(deltaGeneric+betaPodeltaGeneric*EXP(-betaGeneric*tblData[Day'# Generic])),"")</f>
        <v>67309.09912462988</v>
      </c>
      <c r="BL87" s="11" t="str">
        <f>IF(AND(ISNUMBER(tblData[Generic]),tblData[Date]&gt;=StartDt2Generic),(tblData[Generic LogiP(t)]-tblData[[#This Row],[Generic]])^2,"")</f>
        <v/>
      </c>
      <c r="BM87" s="11">
        <f>IF(ISNUMBER(tblData[Day'# Generic]),tblData[Generic LogiP(t)]/$BL$9,"")</f>
        <v>11505.828910193142</v>
      </c>
      <c r="BN87" s="11"/>
      <c r="BO87" s="11"/>
      <c r="BP87" s="11" t="str">
        <f>IF(ISNUMBER(tblData[[#This Row],[Tests]]),tblData[[#This Row],[Tests]]-BP86,"")</f>
        <v/>
      </c>
      <c r="BQ87" s="11" t="str">
        <f>IF(ISNUMBER(tblData[[#This Row],[NSW Under Investigation'']]),tblData[[#This Row],[NSW Under Investigation'']]-BO86,"")</f>
        <v/>
      </c>
      <c r="BR87" s="11">
        <f>IF(tblData[[#This Row],[Date]]&gt;myData!TestsStart,tblData[[#This Row],[Date]]-myData!TestsStart,"")</f>
        <v>63</v>
      </c>
      <c r="BS87" s="11">
        <f>IF(AND(tblData[[#This Row],[NSW Test Day Number]]&gt;0,ISNUMBER(tblData[[#This Row],[NSW Test Day Number]])),betaTests/(deltaTests+betaPodeltaTests*EXP(-betaTests*tblData[[#This Row],[NSW Test Day Number]])),"")</f>
        <v>107532.49907253287</v>
      </c>
      <c r="BT87" s="11" t="str">
        <f>IF(tblData[Tests]&gt;0,(tblData[[#This Row],[Tests]]-tblData[[#This Row],[NSW Test Logi]])^2,"")</f>
        <v/>
      </c>
      <c r="BU87" s="11" t="str">
        <f>IF(ISNUMBER(tblData[Tests]),tblData[Tests]/$BS$9/100,"")</f>
        <v/>
      </c>
      <c r="BV87" s="124">
        <f ca="1">IF(AND(tblData[[#This Row],[NSW Test Day Number]]&gt;0,ISNUMBER(tblData[[#This Row],[NSW Test Day Number]])),TestsLogestB*TestsLogestM^tblData[[#This Row],[NSW Test Day Number]],"")</f>
        <v>25184416.682579655</v>
      </c>
      <c r="BW87" s="11" t="str">
        <f>IF(AND(tblData[[#This Row],[NSW Test Day Number]]&gt;0,ISNUMBER(tblData[Tests])),(tblData[Tests]-tblData[[#This Row],[NSW Test Per Capita]])^2,"")</f>
        <v/>
      </c>
      <c r="BX87" s="124"/>
      <c r="BY87" s="11"/>
      <c r="BZ87"/>
      <c r="CB87" s="25"/>
      <c r="CD87" s="25"/>
      <c r="CK87"/>
      <c r="CL87"/>
      <c r="CO87" s="25"/>
      <c r="CZ87" s="25"/>
      <c r="DA87" s="25"/>
      <c r="DC87"/>
      <c r="DD87"/>
      <c r="DG87" s="25"/>
      <c r="DH87" s="25"/>
      <c r="DV87"/>
      <c r="DW87"/>
      <c r="DX87"/>
      <c r="DY87" s="26" t="s">
        <v>209</v>
      </c>
      <c r="DZ87" s="76">
        <v>43914.462731481479</v>
      </c>
      <c r="EA87" s="26">
        <v>43852</v>
      </c>
      <c r="EB87" s="26">
        <v>43870</v>
      </c>
      <c r="EC87">
        <v>3</v>
      </c>
      <c r="ED87">
        <v>0.33723338032076405</v>
      </c>
      <c r="EE87" s="25">
        <v>5.5671059648604149E-7</v>
      </c>
      <c r="EF87">
        <v>2.546365814370475E-2</v>
      </c>
      <c r="EG87" s="95">
        <v>605760.66352855845</v>
      </c>
      <c r="EH87">
        <v>389.60910580191603</v>
      </c>
      <c r="EI87">
        <v>13.243712440753461</v>
      </c>
      <c r="EJ87" s="97">
        <v>5.5671059648604152E-4</v>
      </c>
      <c r="EK87" s="26">
        <v>43912</v>
      </c>
      <c r="EL87" t="s">
        <v>1421</v>
      </c>
      <c r="EM87" s="25">
        <v>605760.66352855845</v>
      </c>
      <c r="EN87" s="25">
        <v>33272</v>
      </c>
      <c r="EO87" s="98" t="s">
        <v>1352</v>
      </c>
      <c r="EP87" s="26">
        <v>43912</v>
      </c>
      <c r="EQ87" s="25">
        <v>43</v>
      </c>
      <c r="ER87" t="s">
        <v>1422</v>
      </c>
      <c r="ET87" t="s">
        <v>1354</v>
      </c>
      <c r="EV87" t="s">
        <v>1423</v>
      </c>
      <c r="EW87" s="82">
        <v>1010.6074109561836</v>
      </c>
      <c r="EX87" s="82">
        <v>43914</v>
      </c>
      <c r="EY87" s="25">
        <v>0</v>
      </c>
      <c r="EZ87" s="25">
        <v>43911</v>
      </c>
      <c r="FA87">
        <v>2</v>
      </c>
      <c r="FB87" t="s">
        <v>1420</v>
      </c>
      <c r="FC87" s="25"/>
    </row>
    <row r="88" spans="2:195" x14ac:dyDescent="0.25">
      <c r="B88" s="26">
        <f t="shared" si="9"/>
        <v>43965</v>
      </c>
      <c r="D88" s="25"/>
      <c r="L88" s="12" t="str">
        <f>IF(ISNUMBER(tblData[[#This Row],[NSW]]),tblData[[#This Row],[New South Wales]]/$L$9,"")</f>
        <v/>
      </c>
      <c r="M88" s="25"/>
      <c r="N88" s="46" t="str">
        <f>IF(ISNUMBER(tblData[Italy]),tblData[Italy]/$N$9,"")</f>
        <v/>
      </c>
      <c r="O88" s="25"/>
      <c r="P88" s="124" t="str">
        <f>IF(ISNUMBER(tblData[US]),tblData[US]/$P$9,"")</f>
        <v/>
      </c>
      <c r="Q88" s="46"/>
      <c r="R88" s="19" t="str">
        <f>IF(ISNUMBER(tblData[SKorea]),tblData[SKorea]/$R$9,"")</f>
        <v/>
      </c>
      <c r="S88" s="46"/>
      <c r="T88" s="12" t="str">
        <f>IF(ISNUMBER(tblData[UK]),tblData[UK]/$T$9,"")</f>
        <v/>
      </c>
      <c r="U88" s="25"/>
      <c r="V88" s="20" t="str">
        <f>IF(ISNUMBER(tblData[China]),tblData[China]/$V$9,"")</f>
        <v/>
      </c>
      <c r="W88" s="20"/>
      <c r="X88" s="20" t="str">
        <f>IF(ISNUMBER(tblData[Singapore]),tblData[Singapore]/$X$9,"")</f>
        <v/>
      </c>
      <c r="Y88" s="20"/>
      <c r="Z88" s="20" t="str">
        <f>IF(AND(LEN(tblData[Generic])&gt;0,ISNUMBER(tblData[Generic])),tblData[Generic]/$Z$9,"")</f>
        <v/>
      </c>
      <c r="AA88" s="25">
        <f>IF(tblData[[#This Row],[Date]]&lt;ItalyStart,"",tblData[[#This Row],[Date]]-ItalyStart)</f>
        <v>105</v>
      </c>
      <c r="AB88" s="25">
        <f>IF(tblData[[#This Row],[Date]]&lt;USStart,"",tblData[[#This Row],[Date]]-USStart)</f>
        <v>113</v>
      </c>
      <c r="AC88" s="25">
        <f>IF(tblData[[#This Row],[Date]]&lt;ChinaStart,"",tblData[[#This Row],[Date]]-ChinaStart)</f>
        <v>113</v>
      </c>
      <c r="AD88" s="25">
        <f>IF(tblData[[#This Row],[Date]]&lt;StartDt2Korea,"",tblData[[#This Row],[Date]]-StartDt2Korea)</f>
        <v>85</v>
      </c>
      <c r="AE88" s="25">
        <f>IF(tblData[[#This Row],[Date]]&lt;UKStart,"",tblData[[#This Row],[Date]]-UKStart)</f>
        <v>105</v>
      </c>
      <c r="AF88" s="25">
        <f>IF(tblData[[#This Row],[Date]]&lt;SingaporeStart,"",tblData[[#This Row],[Date]]-SingaporeStart)</f>
        <v>112</v>
      </c>
      <c r="AG88" s="25">
        <f>IF(tblData[[#This Row],[Date]]&lt;GenStart,"",tblData[[#This Row],[Date]]-GenStart)</f>
        <v>113</v>
      </c>
      <c r="AH88">
        <f>IF(tblData[Date]&gt;=StartDt2Au,tblData[Date]-StartDt2Au,"")</f>
        <v>110</v>
      </c>
      <c r="AI88" s="25" t="str">
        <f>IF(tblData[New South Wales]&gt;0,SUM(tblData[[#This Row],[Australian Capital Territory]:[Western Australia]]),"")</f>
        <v/>
      </c>
      <c r="AJ88" s="12" t="str">
        <f>IF(ISNUMBER(tblData[Au]),tblData[Au]/$AE$9,"")</f>
        <v/>
      </c>
      <c r="AK88" s="41">
        <f>IF(ISNUMBER(tblData[[#This Row],[Day'# Aust]]),betaAu/(deltaAu+betaPodeltaAu*EXP(-betaAu*tblData[[#This Row],[Day'# Aust]])),"")</f>
        <v>7036.3652412131096</v>
      </c>
      <c r="AL88" s="67">
        <f>IF(ISNUMBER(tblData[Day'# Aust]),tblData[Au LogiP(t)]/$AJ$9,"")</f>
        <v>2774.1544083003901</v>
      </c>
      <c r="AM88" s="11" t="str">
        <f>IF(AND(tblData[Date]&gt;=StartDt2Au,ISNUMBER(tblData[NSW])),(tblData[[#This Row],[Au LogiP(t)]]-tblData[[#This Row],[Au]])^2,"")</f>
        <v/>
      </c>
      <c r="AN88">
        <f>IF(tblData[Date]&gt;StartDt2NSW,tblData[Date]-StartDt2NSW,"")</f>
        <v>110</v>
      </c>
      <c r="AO88" s="25" t="str">
        <f t="shared" si="7"/>
        <v/>
      </c>
      <c r="AP88" s="11">
        <f>IF(tblData[Date]&gt;StartDt2NSW,betaNSW/(deltaNSW+betaPodeltaNSW*EXP(-betaNSW*tblData[[#This Row],[Day '# NSW]])),"")</f>
        <v>9597.4218308776944</v>
      </c>
      <c r="AQ88" s="12" t="str">
        <f>IF(AND(ISNUMBER(tblData[NSW]),tblData[Date]&gt;StartDt2NSW),(tblData[[#This Row],[NSW LogiP(t)]]-tblData[[#This Row],[NSW]])^2,"")</f>
        <v/>
      </c>
      <c r="AR88" s="41">
        <f>IF(AND(tblData[Date]&gt;StartDt2NSW,ISNUMBER(tblData[Day'# Aust])),tblData[NSW LogiP(t)]/$AQ$9,"")</f>
        <v>11877.99731544269</v>
      </c>
      <c r="AS88" s="11">
        <f>IF(AND(tblData[Date]&gt;StartDt2Italy,ISNUMBER(tblData[Days'# Italy])),betaItaly/(deltaItaly+betaPodeltaItaly*EXP(-betaItaly*tblData[Days'# Italy])),"")</f>
        <v>76058.373865032248</v>
      </c>
      <c r="AT88" s="11" t="str">
        <f>IF(AND(tblData[Date]&gt;StartDt2Italy,ISNUMBER(tblData[Italy])),(tblData[[#This Row],[Italy LogiP(t)]]-tblData[[#This Row],[Italy]])^2,"")</f>
        <v/>
      </c>
      <c r="AU88" s="41">
        <f>IF(AND(tblData[Date]&gt;StartDt2Italy,ISNUMBER(tblData[Days'# Italy])),tblData[[#This Row],[Italy LogiP(t)]]/$AT$9,"")</f>
        <v>12574.749750356659</v>
      </c>
      <c r="AV88" s="20">
        <f>IF(ISNUMBER(tblData[[#This Row],[Days'# US]]),betaUS/(deltaUS+betaPodeltaUS*EXP(-betaUS*tblData[Days'# US])),"")</f>
        <v>187367.17486722657</v>
      </c>
      <c r="AW88" s="11" t="str">
        <f>IF(AND(tblData[Date]&gt;=StartDt2US,ISNUMBER(tblData[US])),(tblData[[#This Row],[US LogiP(t)]]-tblData[US])^2,"")</f>
        <v/>
      </c>
      <c r="AX88" s="20">
        <f>IF(ISNUMBER(tblData[[#This Row],[Days'# US]]),tblData[[#This Row],[US LogiP(t)]]/$AW$9,"")</f>
        <v>5691.1113095318096</v>
      </c>
      <c r="AY88" s="20">
        <f>IF(tblData[Date]&gt;=StartDt2Korea,betaSKorea/(deltaSKorea+betaPodeltaSKorea*EXP(-betaSKorea*(tblData[Date]-StartDt2Korea))),"")</f>
        <v>8607.5560810473708</v>
      </c>
      <c r="AZ88" s="20" t="str">
        <f>IF(AND(tblData[Date]&gt;=StartDt2Korea,ISNUMBER(tblData[SKorea])),(tblData[[#This Row],[SKorea LogiP(t)]]-tblData[[#This Row],[SKorea]])^2,"")</f>
        <v/>
      </c>
      <c r="BA88" s="20">
        <f>IF(tblData[Date]&gt;=StartDt2Korea,tblData[[#This Row],[SKorea LogiP(t)]]/$AZ$9,"")</f>
        <v>1674.6218056512396</v>
      </c>
      <c r="BB88" s="79">
        <f>IF(ISNUMBER(tblData[Days'# UK]),betaUK/(deltaUK+betaPodeltaUK*EXP(-betaUK*tblData[Days'# UK])),"")</f>
        <v>22028.116266835219</v>
      </c>
      <c r="BC88" s="79" t="str">
        <f>IF(ISNUMBER(tblData[UK]),(tblData[[#This Row],[UK LogiP(t)]]-tblData[[#This Row],[UK]])^2,"")</f>
        <v/>
      </c>
      <c r="BD88" s="79">
        <f>IF(ISNUMBER(tblData[Days'# UK]),tblData[[#This Row],[UK LogiP(t)]]/$BC$9,"")</f>
        <v>3315.4901063869984</v>
      </c>
      <c r="BE88" s="11">
        <f>IF(ISNUMBER(tblData[Days'# China]),betaChina/(deltaChina+betaPodeltaChina*EXP(-betaChina*tblData[Days'# China])),"")</f>
        <v>81015.961139472201</v>
      </c>
      <c r="BF88" s="11" t="str">
        <f>IF(ISNUMBER(tblData[China]),(tblData[[#This Row],[China LogiP(t)]]-tblData[[#This Row],[China]])^2,"")</f>
        <v/>
      </c>
      <c r="BG88" s="11">
        <f>tblData[[#This Row],[China LogiP(t)]]/$BF$9</f>
        <v>562.87516742495757</v>
      </c>
      <c r="BH88" s="11">
        <f>IF(ISNUMBER(tblData[Day'# Singapore]),betaSingapore/(deltaSingapore+betaPodeltaSingapore*EXP(-betaSingapore*tblData[Day'# Singapore])),"")</f>
        <v>23460.171313118117</v>
      </c>
      <c r="BI88" s="11" t="str">
        <f>IF(AND(ISNUMBER(tblData[Singapore]),tblData[Date]&gt;=StartDt2Singapore),(tblData[[#This Row],[Singapore LogiP(t)]]-tblData[[#This Row],[Singapore]])^2,"")</f>
        <v/>
      </c>
      <c r="BJ88" s="11">
        <f>IF(ISNUMBER(tblData[Day'# Singapore]),tblData[Singapore LogiP(t)]/$BI$9,"")</f>
        <v>40102.856945501058</v>
      </c>
      <c r="BK88" s="11">
        <f>IF(ISNUMBER(tblData[Day'# Generic]),betaGeneric/(deltaGeneric+betaPodeltaGeneric*EXP(-betaGeneric*tblData[Day'# Generic])),"")</f>
        <v>67309.099297648878</v>
      </c>
      <c r="BL88" s="11" t="str">
        <f>IF(AND(ISNUMBER(tblData[Generic]),tblData[Date]&gt;=StartDt2Generic),(tblData[Generic LogiP(t)]-tblData[[#This Row],[Generic]])^2,"")</f>
        <v/>
      </c>
      <c r="BM88" s="11">
        <f>IF(ISNUMBER(tblData[Day'# Generic]),tblData[Generic LogiP(t)]/$BL$9,"")</f>
        <v>11505.828939769041</v>
      </c>
      <c r="BN88" s="11"/>
      <c r="BO88" s="11"/>
      <c r="BP88" s="11" t="str">
        <f>IF(ISNUMBER(tblData[[#This Row],[Tests]]),tblData[[#This Row],[Tests]]-BP87,"")</f>
        <v/>
      </c>
      <c r="BQ88" s="11" t="str">
        <f>IF(ISNUMBER(tblData[[#This Row],[NSW Under Investigation'']]),tblData[[#This Row],[NSW Under Investigation'']]-BO87,"")</f>
        <v/>
      </c>
      <c r="BR88" s="11">
        <f>IF(tblData[[#This Row],[Date]]&gt;myData!TestsStart,tblData[[#This Row],[Date]]-myData!TestsStart,"")</f>
        <v>70</v>
      </c>
      <c r="BS88" s="11">
        <f>IF(AND(tblData[[#This Row],[NSW Test Day Number]]&gt;0,ISNUMBER(tblData[[#This Row],[NSW Test Day Number]])),betaTests/(deltaTests+betaPodeltaTests*EXP(-betaTests*tblData[[#This Row],[NSW Test Day Number]])),"")</f>
        <v>107540.47357513332</v>
      </c>
      <c r="BT88" s="11" t="str">
        <f>IF(tblData[Tests]&gt;0,(tblData[[#This Row],[Tests]]-tblData[[#This Row],[NSW Test Logi]])^2,"")</f>
        <v/>
      </c>
      <c r="BU88" s="11" t="str">
        <f>IF(ISNUMBER(tblData[Tests]),tblData[Tests]/$BS$9/100,"")</f>
        <v/>
      </c>
      <c r="BV88" s="124">
        <f ca="1">IF(AND(tblData[[#This Row],[NSW Test Day Number]]&gt;0,ISNUMBER(tblData[[#This Row],[NSW Test Day Number]])),TestsLogestB*TestsLogestM^tblData[[#This Row],[NSW Test Day Number]],"")</f>
        <v>64840067.366611831</v>
      </c>
      <c r="BW88" s="11" t="str">
        <f>IF(AND(tblData[[#This Row],[NSW Test Day Number]]&gt;0,ISNUMBER(tblData[Tests])),(tblData[Tests]-tblData[[#This Row],[NSW Test Per Capita]])^2,"")</f>
        <v/>
      </c>
      <c r="BX88" s="124"/>
      <c r="BY88" s="11"/>
      <c r="BZ88"/>
      <c r="CB88" s="25"/>
      <c r="CD88" s="25"/>
      <c r="CK88"/>
      <c r="CL88"/>
      <c r="CO88" s="25"/>
      <c r="CZ88" s="25"/>
      <c r="DA88" s="25"/>
      <c r="DC88"/>
      <c r="DD88"/>
      <c r="DG88" s="25"/>
      <c r="DH88" s="25"/>
      <c r="DV88"/>
      <c r="DW88"/>
      <c r="DX88"/>
      <c r="DY88" t="s">
        <v>209</v>
      </c>
      <c r="DZ88" s="76">
        <v>43913.916192129633</v>
      </c>
      <c r="EA88" s="26">
        <v>43852</v>
      </c>
      <c r="EB88" s="26">
        <v>43870</v>
      </c>
      <c r="EC88">
        <v>3</v>
      </c>
      <c r="ED88">
        <v>0.33723338041194412</v>
      </c>
      <c r="EE88" s="25">
        <v>2.0829424230556546E-6</v>
      </c>
      <c r="EF88">
        <v>2.5463658144183617E-2</v>
      </c>
      <c r="EG88" s="95">
        <v>161902.4014678362</v>
      </c>
      <c r="EH88">
        <v>1033.5727100803306</v>
      </c>
      <c r="EI88">
        <v>13.243710917853365</v>
      </c>
      <c r="EJ88" s="97">
        <v>2.0829424230556547E-3</v>
      </c>
      <c r="EK88" s="26">
        <v>43913</v>
      </c>
      <c r="EL88" t="s">
        <v>1385</v>
      </c>
      <c r="EM88" s="25">
        <v>161902.4014678362</v>
      </c>
      <c r="EN88" s="98">
        <v>35224</v>
      </c>
      <c r="EO88" t="s">
        <v>1386</v>
      </c>
      <c r="EP88" s="26">
        <v>43912</v>
      </c>
      <c r="EQ88" s="25">
        <v>44</v>
      </c>
      <c r="ER88" t="s">
        <v>1387</v>
      </c>
      <c r="ET88" t="s">
        <v>1388</v>
      </c>
      <c r="EV88" t="s">
        <v>1389</v>
      </c>
      <c r="EW88">
        <v>1069.8976750276693</v>
      </c>
      <c r="EX88" s="82">
        <v>43912</v>
      </c>
      <c r="EY88" s="25">
        <v>1</v>
      </c>
      <c r="EZ88" s="82">
        <v>43911</v>
      </c>
      <c r="FA88">
        <v>2</v>
      </c>
      <c r="FB88" t="s">
        <v>1384</v>
      </c>
      <c r="FC88" s="25"/>
    </row>
    <row r="89" spans="2:195" x14ac:dyDescent="0.25">
      <c r="B89" s="26">
        <f t="shared" si="9"/>
        <v>43972</v>
      </c>
      <c r="D89" s="25"/>
      <c r="L89" s="12" t="str">
        <f>IF(ISNUMBER(tblData[[#This Row],[NSW]]),tblData[[#This Row],[New South Wales]]/$L$9,"")</f>
        <v/>
      </c>
      <c r="M89" s="25"/>
      <c r="N89" s="46" t="str">
        <f>IF(ISNUMBER(tblData[Italy]),tblData[Italy]/$N$9,"")</f>
        <v/>
      </c>
      <c r="O89" s="25"/>
      <c r="P89" s="124" t="str">
        <f>IF(ISNUMBER(tblData[US]),tblData[US]/$P$9,"")</f>
        <v/>
      </c>
      <c r="Q89" s="46"/>
      <c r="R89" s="19" t="str">
        <f>IF(ISNUMBER(tblData[SKorea]),tblData[SKorea]/$R$9,"")</f>
        <v/>
      </c>
      <c r="S89" s="46"/>
      <c r="T89" s="12" t="str">
        <f>IF(ISNUMBER(tblData[UK]),tblData[UK]/$T$9,"")</f>
        <v/>
      </c>
      <c r="U89" s="25"/>
      <c r="V89" s="20" t="str">
        <f>IF(ISNUMBER(tblData[China]),tblData[China]/$V$9,"")</f>
        <v/>
      </c>
      <c r="W89" s="20"/>
      <c r="X89" s="20" t="str">
        <f>IF(ISNUMBER(tblData[Singapore]),tblData[Singapore]/$X$9,"")</f>
        <v/>
      </c>
      <c r="Y89" s="20"/>
      <c r="Z89" s="20" t="str">
        <f>IF(AND(LEN(tblData[Generic])&gt;0,ISNUMBER(tblData[Generic])),tblData[Generic]/$Z$9,"")</f>
        <v/>
      </c>
      <c r="AA89" s="25">
        <f>IF(tblData[[#This Row],[Date]]&lt;ItalyStart,"",tblData[[#This Row],[Date]]-ItalyStart)</f>
        <v>112</v>
      </c>
      <c r="AB89" s="25">
        <f>IF(tblData[[#This Row],[Date]]&lt;USStart,"",tblData[[#This Row],[Date]]-USStart)</f>
        <v>120</v>
      </c>
      <c r="AC89" s="25">
        <f>IF(tblData[[#This Row],[Date]]&lt;ChinaStart,"",tblData[[#This Row],[Date]]-ChinaStart)</f>
        <v>120</v>
      </c>
      <c r="AD89" s="25">
        <f>IF(tblData[[#This Row],[Date]]&lt;StartDt2Korea,"",tblData[[#This Row],[Date]]-StartDt2Korea)</f>
        <v>92</v>
      </c>
      <c r="AE89" s="25">
        <f>IF(tblData[[#This Row],[Date]]&lt;UKStart,"",tblData[[#This Row],[Date]]-UKStart)</f>
        <v>112</v>
      </c>
      <c r="AF89" s="25">
        <f>IF(tblData[[#This Row],[Date]]&lt;SingaporeStart,"",tblData[[#This Row],[Date]]-SingaporeStart)</f>
        <v>119</v>
      </c>
      <c r="AG89" s="25">
        <f>IF(tblData[[#This Row],[Date]]&lt;GenStart,"",tblData[[#This Row],[Date]]-GenStart)</f>
        <v>120</v>
      </c>
      <c r="AH89">
        <f>IF(tblData[Date]&gt;=StartDt2Au,tblData[Date]-StartDt2Au,"")</f>
        <v>117</v>
      </c>
      <c r="AI89" s="25" t="str">
        <f>IF(tblData[New South Wales]&gt;0,SUM(tblData[[#This Row],[Australian Capital Territory]:[Western Australia]]),"")</f>
        <v/>
      </c>
      <c r="AJ89" s="12" t="str">
        <f>IF(ISNUMBER(tblData[Au]),tblData[Au]/$AE$9,"")</f>
        <v/>
      </c>
      <c r="AK89" s="41">
        <f>IF(ISNUMBER(tblData[[#This Row],[Day'# Aust]]),betaAu/(deltaAu+betaPodeltaAu*EXP(-betaAu*tblData[[#This Row],[Day'# Aust]])),"")</f>
        <v>7036.4028264041453</v>
      </c>
      <c r="AL89" s="67">
        <f>IF(ISNUMBER(tblData[Day'# Aust]),tblData[Au LogiP(t)]/$AJ$9,"")</f>
        <v>2774.1692266220412</v>
      </c>
      <c r="AM89" s="11" t="str">
        <f>IF(AND(tblData[Date]&gt;=StartDt2Au,ISNUMBER(tblData[NSW])),(tblData[[#This Row],[Au LogiP(t)]]-tblData[[#This Row],[Au]])^2,"")</f>
        <v/>
      </c>
      <c r="AN89">
        <f>IF(tblData[Date]&gt;StartDt2NSW,tblData[Date]-StartDt2NSW,"")</f>
        <v>117</v>
      </c>
      <c r="AO89" s="25" t="str">
        <f t="shared" si="7"/>
        <v/>
      </c>
      <c r="AP89" s="11">
        <f>IF(tblData[Date]&gt;StartDt2NSW,betaNSW/(deltaNSW+betaPodeltaNSW*EXP(-betaNSW*tblData[[#This Row],[Day '# NSW]])),"")</f>
        <v>9599.2640748995891</v>
      </c>
      <c r="AQ89" s="12" t="str">
        <f>IF(AND(ISNUMBER(tblData[NSW]),tblData[Date]&gt;StartDt2NSW),(tblData[[#This Row],[NSW LogiP(t)]]-tblData[[#This Row],[NSW]])^2,"")</f>
        <v/>
      </c>
      <c r="AR89" s="41">
        <f>IF(AND(tblData[Date]&gt;StartDt2NSW,ISNUMBER(tblData[Day'# Aust])),tblData[NSW LogiP(t)]/$AQ$9,"")</f>
        <v>11880.277320420282</v>
      </c>
      <c r="AS89" s="11">
        <f>IF(AND(tblData[Date]&gt;StartDt2Italy,ISNUMBER(tblData[Days'# Italy])),betaItaly/(deltaItaly+betaPodeltaItaly*EXP(-betaItaly*tblData[Days'# Italy])),"")</f>
        <v>76058.393579003183</v>
      </c>
      <c r="AT89" s="11" t="str">
        <f>IF(AND(tblData[Date]&gt;StartDt2Italy,ISNUMBER(tblData[Italy])),(tblData[[#This Row],[Italy LogiP(t)]]-tblData[[#This Row],[Italy]])^2,"")</f>
        <v/>
      </c>
      <c r="AU89" s="41">
        <f>IF(AND(tblData[Date]&gt;StartDt2Italy,ISNUMBER(tblData[Days'# Italy])),tblData[[#This Row],[Italy LogiP(t)]]/$AT$9,"")</f>
        <v>12574.753009672346</v>
      </c>
      <c r="AV89" s="20">
        <f>IF(ISNUMBER(tblData[[#This Row],[Days'# US]]),betaUS/(deltaUS+betaPodeltaUS*EXP(-betaUS*tblData[Days'# US])),"")</f>
        <v>187367.49946526901</v>
      </c>
      <c r="AW89" s="11" t="str">
        <f>IF(AND(tblData[Date]&gt;=StartDt2US,ISNUMBER(tblData[US])),(tblData[[#This Row],[US LogiP(t)]]-tblData[US])^2,"")</f>
        <v/>
      </c>
      <c r="AX89" s="20">
        <f>IF(ISNUMBER(tblData[[#This Row],[Days'# US]]),tblData[[#This Row],[US LogiP(t)]]/$AW$9,"")</f>
        <v>5691.1211689086804</v>
      </c>
      <c r="AY89" s="20">
        <f>IF(tblData[Date]&gt;=StartDt2Korea,betaSKorea/(deltaSKorea+betaPodeltaSKorea*EXP(-betaSKorea*(tblData[Date]-StartDt2Korea))),"")</f>
        <v>8607.5560834397565</v>
      </c>
      <c r="AZ89" s="20" t="str">
        <f>IF(AND(tblData[Date]&gt;=StartDt2Korea,ISNUMBER(tblData[SKorea])),(tblData[[#This Row],[SKorea LogiP(t)]]-tblData[[#This Row],[SKorea]])^2,"")</f>
        <v/>
      </c>
      <c r="BA89" s="20">
        <f>IF(tblData[Date]&gt;=StartDt2Korea,tblData[[#This Row],[SKorea LogiP(t)]]/$AZ$9,"")</f>
        <v>1674.6218061166842</v>
      </c>
      <c r="BB89" s="79">
        <f>IF(ISNUMBER(tblData[Days'# UK]),betaUK/(deltaUK+betaPodeltaUK*EXP(-betaUK*tblData[Days'# UK])),"")</f>
        <v>22028.299039014924</v>
      </c>
      <c r="BC89" s="79" t="str">
        <f>IF(ISNUMBER(tblData[UK]),(tblData[[#This Row],[UK LogiP(t)]]-tblData[[#This Row],[UK]])^2,"")</f>
        <v/>
      </c>
      <c r="BD89" s="79">
        <f>IF(ISNUMBER(tblData[Days'# UK]),tblData[[#This Row],[UK LogiP(t)]]/$BC$9,"")</f>
        <v>3315.517615745774</v>
      </c>
      <c r="BE89" s="11">
        <f>IF(ISNUMBER(tblData[Days'# China]),betaChina/(deltaChina+betaPodeltaChina*EXP(-betaChina*tblData[Days'# China])),"")</f>
        <v>81015.961180891769</v>
      </c>
      <c r="BF89" s="11" t="str">
        <f>IF(ISNUMBER(tblData[China]),(tblData[[#This Row],[China LogiP(t)]]-tblData[[#This Row],[China]])^2,"")</f>
        <v/>
      </c>
      <c r="BG89" s="11">
        <f>tblData[[#This Row],[China LogiP(t)]]/$BF$9</f>
        <v>562.87516771272851</v>
      </c>
      <c r="BH89" s="11">
        <f>IF(ISNUMBER(tblData[Day'# Singapore]),betaSingapore/(deltaSingapore+betaPodeltaSingapore*EXP(-betaSingapore*tblData[Day'# Singapore])),"")</f>
        <v>39513.646335999314</v>
      </c>
      <c r="BI89" s="11" t="str">
        <f>IF(AND(ISNUMBER(tblData[Singapore]),tblData[Date]&gt;=StartDt2Singapore),(tblData[[#This Row],[Singapore LogiP(t)]]-tblData[[#This Row],[Singapore]])^2,"")</f>
        <v/>
      </c>
      <c r="BJ89" s="11">
        <f>IF(ISNUMBER(tblData[Day'# Singapore]),tblData[Singapore LogiP(t)]/$BI$9,"")</f>
        <v>67544.694591451829</v>
      </c>
      <c r="BK89" s="11">
        <f>IF(ISNUMBER(tblData[Day'# Generic]),betaGeneric/(deltaGeneric+betaPodeltaGeneric*EXP(-betaGeneric*tblData[Day'# Generic])),"")</f>
        <v>67309.099334803832</v>
      </c>
      <c r="BL89" s="11" t="str">
        <f>IF(AND(ISNUMBER(tblData[Generic]),tblData[Date]&gt;=StartDt2Generic),(tblData[Generic LogiP(t)]-tblData[[#This Row],[Generic]])^2,"")</f>
        <v/>
      </c>
      <c r="BM89" s="11">
        <f>IF(ISNUMBER(tblData[Day'# Generic]),tblData[Generic LogiP(t)]/$BL$9,"")</f>
        <v>11505.828946120313</v>
      </c>
      <c r="BN89" s="11"/>
      <c r="BO89" s="11"/>
      <c r="BP89" s="11" t="str">
        <f>IF(ISNUMBER(tblData[[#This Row],[Tests]]),tblData[[#This Row],[Tests]]-BP88,"")</f>
        <v/>
      </c>
      <c r="BQ89" s="11" t="str">
        <f>IF(ISNUMBER(tblData[[#This Row],[NSW Under Investigation'']]),tblData[[#This Row],[NSW Under Investigation'']]-BO88,"")</f>
        <v/>
      </c>
      <c r="BR89" s="11">
        <f>IF(tblData[[#This Row],[Date]]&gt;myData!TestsStart,tblData[[#This Row],[Date]]-myData!TestsStart,"")</f>
        <v>77</v>
      </c>
      <c r="BS89" s="11">
        <f>IF(AND(tblData[[#This Row],[NSW Test Day Number]]&gt;0,ISNUMBER(tblData[[#This Row],[NSW Test Day Number]])),betaTests/(deltaTests+betaPodeltaTests*EXP(-betaTests*tblData[[#This Row],[NSW Test Day Number]])),"")</f>
        <v>107542.40749906773</v>
      </c>
      <c r="BT89" s="11" t="str">
        <f>IF(tblData[Tests]&gt;0,(tblData[[#This Row],[Tests]]-tblData[[#This Row],[NSW Test Logi]])^2,"")</f>
        <v/>
      </c>
      <c r="BU89" s="11" t="str">
        <f>IF(ISNUMBER(tblData[Tests]),tblData[Tests]/$BS$9/100,"")</f>
        <v/>
      </c>
      <c r="BV89" s="124">
        <f ca="1">IF(AND(tblData[[#This Row],[NSW Test Day Number]]&gt;0,ISNUMBER(tblData[[#This Row],[NSW Test Day Number]])),TestsLogestB*TestsLogestM^tblData[[#This Row],[NSW Test Day Number]],"")</f>
        <v>166937927.88994303</v>
      </c>
      <c r="BW89" s="11" t="str">
        <f>IF(AND(tblData[[#This Row],[NSW Test Day Number]]&gt;0,ISNUMBER(tblData[Tests])),(tblData[Tests]-tblData[[#This Row],[NSW Test Per Capita]])^2,"")</f>
        <v/>
      </c>
      <c r="BX89" s="124"/>
      <c r="BY89" s="11"/>
      <c r="BZ89"/>
      <c r="CB89" s="25"/>
      <c r="CD89" s="25"/>
      <c r="CK89"/>
      <c r="CL89"/>
      <c r="CO89" s="25"/>
      <c r="CZ89" s="25"/>
      <c r="DA89" s="25"/>
      <c r="DC89"/>
      <c r="DD89"/>
      <c r="DG89" s="25"/>
      <c r="DH89" s="25"/>
      <c r="DV89"/>
      <c r="DW89"/>
      <c r="DX89"/>
      <c r="DY89" s="26" t="s">
        <v>209</v>
      </c>
      <c r="DZ89" s="76">
        <v>43915.92359953704</v>
      </c>
      <c r="EA89" s="26">
        <v>43852</v>
      </c>
      <c r="EB89" s="26">
        <v>43870</v>
      </c>
      <c r="EC89">
        <v>3</v>
      </c>
      <c r="ED89">
        <v>0.27733988858891551</v>
      </c>
      <c r="EE89" s="25">
        <v>1.4801916494471641E-6</v>
      </c>
      <c r="EF89">
        <v>2.2710910481900958E-3</v>
      </c>
      <c r="EG89" s="95">
        <v>187367.55385189413</v>
      </c>
      <c r="EH89">
        <v>1271.9851373331508</v>
      </c>
      <c r="EI89">
        <v>122.11746660191646</v>
      </c>
      <c r="EJ89" s="97">
        <v>1.4801916494471641E-3</v>
      </c>
      <c r="EK89" s="26">
        <v>43915</v>
      </c>
      <c r="EL89" t="s">
        <v>1830</v>
      </c>
      <c r="EM89" s="25">
        <v>187367.55385189413</v>
      </c>
      <c r="EN89" s="98">
        <v>54916</v>
      </c>
      <c r="EO89" t="s">
        <v>1831</v>
      </c>
      <c r="EP89" s="26">
        <v>43914</v>
      </c>
      <c r="EQ89" s="25">
        <v>64</v>
      </c>
      <c r="ER89" t="s">
        <v>1832</v>
      </c>
      <c r="ET89" t="s">
        <v>1833</v>
      </c>
      <c r="EV89" s="82" t="s">
        <v>1834</v>
      </c>
      <c r="EW89">
        <v>1668.0246627816116</v>
      </c>
      <c r="EX89" s="82">
        <v>43913</v>
      </c>
      <c r="EY89" s="25">
        <v>2</v>
      </c>
      <c r="EZ89" s="25">
        <v>43912</v>
      </c>
      <c r="FA89">
        <v>3</v>
      </c>
      <c r="FB89" t="s">
        <v>1829</v>
      </c>
      <c r="FC89" s="25"/>
    </row>
    <row r="90" spans="2:195" x14ac:dyDescent="0.25">
      <c r="B90" s="26">
        <f t="shared" si="9"/>
        <v>43979</v>
      </c>
      <c r="D90" s="25"/>
      <c r="L90" s="12" t="str">
        <f>IF(ISNUMBER(tblData[[#This Row],[NSW]]),tblData[[#This Row],[New South Wales]]/$L$9,"")</f>
        <v/>
      </c>
      <c r="M90" s="25"/>
      <c r="N90" s="46" t="str">
        <f>IF(ISNUMBER(tblData[Italy]),tblData[Italy]/$N$9,"")</f>
        <v/>
      </c>
      <c r="O90" s="25"/>
      <c r="P90" s="124" t="str">
        <f>IF(ISNUMBER(tblData[US]),tblData[US]/$P$9,"")</f>
        <v/>
      </c>
      <c r="Q90" s="46"/>
      <c r="R90" s="19" t="str">
        <f>IF(ISNUMBER(tblData[SKorea]),tblData[SKorea]/$R$9,"")</f>
        <v/>
      </c>
      <c r="S90" s="46"/>
      <c r="T90" s="12" t="str">
        <f>IF(ISNUMBER(tblData[UK]),tblData[UK]/$T$9,"")</f>
        <v/>
      </c>
      <c r="U90" s="25"/>
      <c r="V90" s="20" t="str">
        <f>IF(ISNUMBER(tblData[China]),tblData[China]/$V$9,"")</f>
        <v/>
      </c>
      <c r="W90" s="20"/>
      <c r="X90" s="20" t="str">
        <f>IF(ISNUMBER(tblData[Singapore]),tblData[Singapore]/$X$9,"")</f>
        <v/>
      </c>
      <c r="Y90" s="20"/>
      <c r="Z90" s="20" t="str">
        <f>IF(AND(LEN(tblData[Generic])&gt;0,ISNUMBER(tblData[Generic])),tblData[Generic]/$Z$9,"")</f>
        <v/>
      </c>
      <c r="AA90" s="25">
        <f>IF(tblData[[#This Row],[Date]]&lt;ItalyStart,"",tblData[[#This Row],[Date]]-ItalyStart)</f>
        <v>119</v>
      </c>
      <c r="AB90" s="25">
        <f>IF(tblData[[#This Row],[Date]]&lt;USStart,"",tblData[[#This Row],[Date]]-USStart)</f>
        <v>127</v>
      </c>
      <c r="AC90" s="25">
        <f>IF(tblData[[#This Row],[Date]]&lt;ChinaStart,"",tblData[[#This Row],[Date]]-ChinaStart)</f>
        <v>127</v>
      </c>
      <c r="AD90" s="25">
        <f>IF(tblData[[#This Row],[Date]]&lt;StartDt2Korea,"",tblData[[#This Row],[Date]]-StartDt2Korea)</f>
        <v>99</v>
      </c>
      <c r="AE90" s="25">
        <f>IF(tblData[[#This Row],[Date]]&lt;UKStart,"",tblData[[#This Row],[Date]]-UKStart)</f>
        <v>119</v>
      </c>
      <c r="AF90" s="25">
        <f>IF(tblData[[#This Row],[Date]]&lt;SingaporeStart,"",tblData[[#This Row],[Date]]-SingaporeStart)</f>
        <v>126</v>
      </c>
      <c r="AG90" s="25">
        <f>IF(tblData[[#This Row],[Date]]&lt;GenStart,"",tblData[[#This Row],[Date]]-GenStart)</f>
        <v>127</v>
      </c>
      <c r="AH90">
        <f>IF(tblData[Date]&gt;=StartDt2Au,tblData[Date]-StartDt2Au,"")</f>
        <v>124</v>
      </c>
      <c r="AI90" s="25" t="str">
        <f>IF(tblData[New South Wales]&gt;0,SUM(tblData[[#This Row],[Australian Capital Territory]:[Western Australia]]),"")</f>
        <v/>
      </c>
      <c r="AJ90" s="12" t="str">
        <f>IF(ISNUMBER(tblData[Au]),tblData[Au]/$AE$9,"")</f>
        <v/>
      </c>
      <c r="AK90" s="41">
        <f>IF(ISNUMBER(tblData[[#This Row],[Day'# Aust]]),betaAu/(deltaAu+betaPodeltaAu*EXP(-betaAu*tblData[[#This Row],[Day'# Aust]])),"")</f>
        <v>7036.4092675377833</v>
      </c>
      <c r="AL90" s="67">
        <f>IF(ISNUMBER(tblData[Day'# Aust]),tblData[Au LogiP(t)]/$AJ$9,"")</f>
        <v>2774.1717661006874</v>
      </c>
      <c r="AM90" s="11" t="str">
        <f>IF(AND(tblData[Date]&gt;=StartDt2Au,ISNUMBER(tblData[NSW])),(tblData[[#This Row],[Au LogiP(t)]]-tblData[[#This Row],[Au]])^2,"")</f>
        <v/>
      </c>
      <c r="AN90">
        <f>IF(tblData[Date]&gt;StartDt2NSW,tblData[Date]-StartDt2NSW,"")</f>
        <v>124</v>
      </c>
      <c r="AO90" s="25" t="str">
        <f t="shared" si="7"/>
        <v/>
      </c>
      <c r="AP90" s="11">
        <f>IF(tblData[Date]&gt;StartDt2NSW,betaNSW/(deltaNSW+betaPodeltaNSW*EXP(-betaNSW*tblData[[#This Row],[Day '# NSW]])),"")</f>
        <v>9599.6920598407487</v>
      </c>
      <c r="AQ90" s="12" t="str">
        <f>IF(AND(ISNUMBER(tblData[NSW]),tblData[Date]&gt;StartDt2NSW),(tblData[[#This Row],[NSW LogiP(t)]]-tblData[[#This Row],[NSW]])^2,"")</f>
        <v/>
      </c>
      <c r="AR90" s="41">
        <f>IF(AND(tblData[Date]&gt;StartDt2NSW,ISNUMBER(tblData[Day'# Aust])),tblData[NSW LogiP(t)]/$AQ$9,"")</f>
        <v>11880.807004753402</v>
      </c>
      <c r="AS90" s="11">
        <f>IF(AND(tblData[Date]&gt;StartDt2Italy,ISNUMBER(tblData[Days'# Italy])),betaItaly/(deltaItaly+betaPodeltaItaly*EXP(-betaItaly*tblData[Days'# Italy])),"")</f>
        <v>76058.396828932644</v>
      </c>
      <c r="AT90" s="11" t="str">
        <f>IF(AND(tblData[Date]&gt;StartDt2Italy,ISNUMBER(tblData[Italy])),(tblData[[#This Row],[Italy LogiP(t)]]-tblData[[#This Row],[Italy]])^2,"")</f>
        <v/>
      </c>
      <c r="AU90" s="41">
        <f>IF(AND(tblData[Date]&gt;StartDt2Italy,ISNUMBER(tblData[Days'# Italy])),tblData[[#This Row],[Italy LogiP(t)]]/$AT$9,"")</f>
        <v>12574.753546983988</v>
      </c>
      <c r="AV90" s="20">
        <f>IF(ISNUMBER(tblData[[#This Row],[Days'# US]]),betaUS/(deltaUS+betaPodeltaUS*EXP(-betaUS*tblData[Days'# US])),"")</f>
        <v>187367.54604709131</v>
      </c>
      <c r="AW90" s="11" t="str">
        <f>IF(AND(tblData[Date]&gt;=StartDt2US,ISNUMBER(tblData[US])),(tblData[[#This Row],[US LogiP(t)]]-tblData[US])^2,"")</f>
        <v/>
      </c>
      <c r="AX90" s="20">
        <f>IF(ISNUMBER(tblData[[#This Row],[Days'# US]]),tblData[[#This Row],[US LogiP(t)]]/$AW$9,"")</f>
        <v>5691.1225837901075</v>
      </c>
      <c r="AY90" s="20">
        <f>IF(tblData[Date]&gt;=StartDt2Korea,betaSKorea/(deltaSKorea+betaPodeltaSKorea*EXP(-betaSKorea*(tblData[Date]-StartDt2Korea))),"")</f>
        <v>8607.5560837323155</v>
      </c>
      <c r="AZ90" s="20" t="str">
        <f>IF(AND(tblData[Date]&gt;=StartDt2Korea,ISNUMBER(tblData[SKorea])),(tblData[[#This Row],[SKorea LogiP(t)]]-tblData[[#This Row],[SKorea]])^2,"")</f>
        <v/>
      </c>
      <c r="BA90" s="20">
        <f>IF(tblData[Date]&gt;=StartDt2Korea,tblData[[#This Row],[SKorea LogiP(t)]]/$AZ$9,"")</f>
        <v>1674.6218061736024</v>
      </c>
      <c r="BB90" s="79">
        <f>IF(ISNUMBER(tblData[Days'# UK]),betaUK/(deltaUK+betaPodeltaUK*EXP(-betaUK*tblData[Days'# UK])),"")</f>
        <v>22028.333738196419</v>
      </c>
      <c r="BC90" s="79" t="str">
        <f>IF(ISNUMBER(tblData[UK]),(tblData[[#This Row],[UK LogiP(t)]]-tblData[[#This Row],[UK]])^2,"")</f>
        <v/>
      </c>
      <c r="BD90" s="79">
        <f>IF(ISNUMBER(tblData[Days'# UK]),tblData[[#This Row],[UK LogiP(t)]]/$BC$9,"")</f>
        <v>3315.5228383799545</v>
      </c>
      <c r="BE90" s="11">
        <f>IF(ISNUMBER(tblData[Days'# China]),betaChina/(deltaChina+betaPodeltaChina*EXP(-betaChina*tblData[Days'# China])),"")</f>
        <v>81015.961189639158</v>
      </c>
      <c r="BF90" s="11" t="str">
        <f>IF(ISNUMBER(tblData[China]),(tblData[[#This Row],[China LogiP(t)]]-tblData[[#This Row],[China]])^2,"")</f>
        <v/>
      </c>
      <c r="BG90" s="11">
        <f>tblData[[#This Row],[China LogiP(t)]]/$BF$9</f>
        <v>562.87516777350288</v>
      </c>
      <c r="BH90" s="11">
        <f>IF(ISNUMBER(tblData[Day'# Singapore]),betaSingapore/(deltaSingapore+betaPodeltaSingapore*EXP(-betaSingapore*tblData[Day'# Singapore])),"")</f>
        <v>66552.285387732089</v>
      </c>
      <c r="BI90" s="11" t="str">
        <f>IF(AND(ISNUMBER(tblData[Singapore]),tblData[Date]&gt;=StartDt2Singapore),(tblData[[#This Row],[Singapore LogiP(t)]]-tblData[[#This Row],[Singapore]])^2,"")</f>
        <v/>
      </c>
      <c r="BJ90" s="11">
        <f>IF(ISNUMBER(tblData[Day'# Singapore]),tblData[Singapore LogiP(t)]/$BI$9,"")</f>
        <v>113764.59040637965</v>
      </c>
      <c r="BK90" s="11">
        <f>IF(ISNUMBER(tblData[Day'# Generic]),betaGeneric/(deltaGeneric+betaPodeltaGeneric*EXP(-betaGeneric*tblData[Day'# Generic])),"")</f>
        <v>67309.099342782662</v>
      </c>
      <c r="BL90" s="11" t="str">
        <f>IF(AND(ISNUMBER(tblData[Generic]),tblData[Date]&gt;=StartDt2Generic),(tblData[Generic LogiP(t)]-tblData[[#This Row],[Generic]])^2,"")</f>
        <v/>
      </c>
      <c r="BM90" s="11">
        <f>IF(ISNUMBER(tblData[Day'# Generic]),tblData[Generic LogiP(t)]/$BL$9,"")</f>
        <v>11505.828947484217</v>
      </c>
      <c r="BN90" s="11"/>
      <c r="BO90" s="11"/>
      <c r="BP90" s="11" t="str">
        <f>IF(ISNUMBER(tblData[[#This Row],[Tests]]),tblData[[#This Row],[Tests]]-BP89,"")</f>
        <v/>
      </c>
      <c r="BQ90" s="11" t="str">
        <f>IF(ISNUMBER(tblData[[#This Row],[NSW Under Investigation'']]),tblData[[#This Row],[NSW Under Investigation'']]-BO89,"")</f>
        <v/>
      </c>
      <c r="BR90" s="11">
        <f>IF(tblData[[#This Row],[Date]]&gt;myData!TestsStart,tblData[[#This Row],[Date]]-myData!TestsStart,"")</f>
        <v>84</v>
      </c>
      <c r="BS90" s="11">
        <f>IF(AND(tblData[[#This Row],[NSW Test Day Number]]&gt;0,ISNUMBER(tblData[[#This Row],[NSW Test Day Number]])),betaTests/(deltaTests+betaPodeltaTests*EXP(-betaTests*tblData[[#This Row],[NSW Test Day Number]])),"")</f>
        <v>107542.87646885069</v>
      </c>
      <c r="BT90" s="11" t="str">
        <f>IF(tblData[Tests]&gt;0,(tblData[[#This Row],[Tests]]-tblData[[#This Row],[NSW Test Logi]])^2,"")</f>
        <v/>
      </c>
      <c r="BU90" s="11" t="str">
        <f>IF(ISNUMBER(tblData[Tests]),tblData[Tests]/$BS$9/100,"")</f>
        <v/>
      </c>
      <c r="BV90" s="124">
        <f ca="1">IF(AND(tblData[[#This Row],[NSW Test Day Number]]&gt;0,ISNUMBER(tblData[[#This Row],[NSW Test Day Number]])),TestsLogestB*TestsLogestM^tblData[[#This Row],[NSW Test Day Number]],"")</f>
        <v>429800166.77987069</v>
      </c>
      <c r="BW90" s="11" t="str">
        <f>IF(AND(tblData[[#This Row],[NSW Test Day Number]]&gt;0,ISNUMBER(tblData[Tests])),(tblData[Tests]-tblData[[#This Row],[NSW Test Per Capita]])^2,"")</f>
        <v/>
      </c>
      <c r="BX90" s="124"/>
      <c r="BY90" s="11"/>
      <c r="BZ90"/>
      <c r="CB90" s="25"/>
      <c r="CD90" s="25"/>
      <c r="CK90"/>
      <c r="CL90"/>
      <c r="CO90" s="25"/>
      <c r="CZ90" s="25"/>
      <c r="DA90" s="25"/>
      <c r="DC90"/>
      <c r="DD90"/>
      <c r="DG90" s="25"/>
      <c r="DH90" s="25"/>
      <c r="DV90"/>
      <c r="DW90"/>
      <c r="DX90"/>
      <c r="DY90" s="26" t="s">
        <v>209</v>
      </c>
      <c r="DZ90" s="76">
        <v>43915.930520833332</v>
      </c>
      <c r="EA90" s="26">
        <v>43852</v>
      </c>
      <c r="EB90" s="26">
        <v>43885</v>
      </c>
      <c r="EC90">
        <v>3</v>
      </c>
      <c r="ED90">
        <v>0.27733988858891551</v>
      </c>
      <c r="EE90" s="25">
        <v>1.4801916494471641E-6</v>
      </c>
      <c r="EF90">
        <v>2.2710910481900958E-3</v>
      </c>
      <c r="EG90" s="95">
        <v>187367.55385189413</v>
      </c>
      <c r="EH90">
        <v>1827.6216298380521</v>
      </c>
      <c r="EI90">
        <v>122.11746660191646</v>
      </c>
      <c r="EJ90" s="97">
        <v>1.4801916494471641E-3</v>
      </c>
      <c r="EK90" s="26">
        <v>43915</v>
      </c>
      <c r="EL90" t="s">
        <v>1830</v>
      </c>
      <c r="EM90" s="25">
        <v>187367.55385189413</v>
      </c>
      <c r="EN90" s="98">
        <v>54916</v>
      </c>
      <c r="EO90" t="s">
        <v>1831</v>
      </c>
      <c r="EP90" s="26">
        <v>43914</v>
      </c>
      <c r="EQ90" s="25">
        <v>64</v>
      </c>
      <c r="ER90" t="s">
        <v>1832</v>
      </c>
      <c r="ET90" t="s">
        <v>1833</v>
      </c>
      <c r="EV90" s="82" t="s">
        <v>1834</v>
      </c>
      <c r="EW90">
        <v>1668.0246627816116</v>
      </c>
      <c r="EX90" s="82">
        <v>43913</v>
      </c>
      <c r="EY90" s="25">
        <v>2</v>
      </c>
      <c r="EZ90" s="25">
        <v>43912</v>
      </c>
      <c r="FA90">
        <v>3</v>
      </c>
      <c r="FB90" t="s">
        <v>1829</v>
      </c>
      <c r="FC90" s="25"/>
    </row>
    <row r="91" spans="2:195" x14ac:dyDescent="0.25">
      <c r="B91" s="26">
        <f t="shared" si="9"/>
        <v>43986</v>
      </c>
      <c r="D91" s="25"/>
      <c r="L91" s="12" t="str">
        <f>IF(ISNUMBER(tblData[[#This Row],[NSW]]),tblData[[#This Row],[New South Wales]]/$L$9,"")</f>
        <v/>
      </c>
      <c r="M91" s="25"/>
      <c r="N91" s="46" t="str">
        <f>IF(ISNUMBER(tblData[Italy]),tblData[Italy]/$N$9,"")</f>
        <v/>
      </c>
      <c r="O91" s="25"/>
      <c r="P91" s="124" t="str">
        <f>IF(ISNUMBER(tblData[US]),tblData[US]/$P$9,"")</f>
        <v/>
      </c>
      <c r="Q91" s="46"/>
      <c r="R91" s="19" t="str">
        <f>IF(ISNUMBER(tblData[SKorea]),tblData[SKorea]/$R$9,"")</f>
        <v/>
      </c>
      <c r="S91" s="46"/>
      <c r="T91" s="12" t="str">
        <f>IF(ISNUMBER(tblData[UK]),tblData[UK]/$T$9,"")</f>
        <v/>
      </c>
      <c r="U91" s="25"/>
      <c r="V91" s="20" t="str">
        <f>IF(ISNUMBER(tblData[China]),tblData[China]/$V$9,"")</f>
        <v/>
      </c>
      <c r="W91" s="20"/>
      <c r="X91" s="20" t="str">
        <f>IF(ISNUMBER(tblData[Singapore]),tblData[Singapore]/$X$9,"")</f>
        <v/>
      </c>
      <c r="Y91" s="20"/>
      <c r="Z91" s="20" t="str">
        <f>IF(AND(LEN(tblData[Generic])&gt;0,ISNUMBER(tblData[Generic])),tblData[Generic]/$Z$9,"")</f>
        <v/>
      </c>
      <c r="AA91" s="25">
        <f>IF(tblData[[#This Row],[Date]]&lt;ItalyStart,"",tblData[[#This Row],[Date]]-ItalyStart)</f>
        <v>126</v>
      </c>
      <c r="AB91" s="25">
        <f>IF(tblData[[#This Row],[Date]]&lt;USStart,"",tblData[[#This Row],[Date]]-USStart)</f>
        <v>134</v>
      </c>
      <c r="AC91" s="25">
        <f>IF(tblData[[#This Row],[Date]]&lt;ChinaStart,"",tblData[[#This Row],[Date]]-ChinaStart)</f>
        <v>134</v>
      </c>
      <c r="AD91" s="25">
        <f>IF(tblData[[#This Row],[Date]]&lt;StartDt2Korea,"",tblData[[#This Row],[Date]]-StartDt2Korea)</f>
        <v>106</v>
      </c>
      <c r="AE91" s="25">
        <f>IF(tblData[[#This Row],[Date]]&lt;UKStart,"",tblData[[#This Row],[Date]]-UKStart)</f>
        <v>126</v>
      </c>
      <c r="AF91" s="25">
        <f>IF(tblData[[#This Row],[Date]]&lt;SingaporeStart,"",tblData[[#This Row],[Date]]-SingaporeStart)</f>
        <v>133</v>
      </c>
      <c r="AG91" s="25">
        <f>IF(tblData[[#This Row],[Date]]&lt;GenStart,"",tblData[[#This Row],[Date]]-GenStart)</f>
        <v>134</v>
      </c>
      <c r="AH91">
        <f>IF(tblData[Date]&gt;=StartDt2Au,tblData[Date]-StartDt2Au,"")</f>
        <v>131</v>
      </c>
      <c r="AI91" s="25" t="str">
        <f>IF(tblData[New South Wales]&gt;0,SUM(tblData[[#This Row],[Australian Capital Territory]:[Western Australia]]),"")</f>
        <v/>
      </c>
      <c r="AJ91" s="12" t="str">
        <f>IF(ISNUMBER(tblData[Au]),tblData[Au]/$AE$9,"")</f>
        <v/>
      </c>
      <c r="AK91" s="41">
        <f>IF(ISNUMBER(tblData[[#This Row],[Day'# Aust]]),betaAu/(deltaAu+betaPodeltaAu*EXP(-betaAu*tblData[[#This Row],[Day'# Aust]])),"")</f>
        <v>7036.4103713764571</v>
      </c>
      <c r="AL91" s="67">
        <f>IF(ISNUMBER(tblData[Day'# Aust]),tblData[Au LogiP(t)]/$AJ$9,"")</f>
        <v>2774.1722012996597</v>
      </c>
      <c r="AM91" s="11" t="str">
        <f>IF(AND(tblData[Date]&gt;=StartDt2Au,ISNUMBER(tblData[NSW])),(tblData[[#This Row],[Au LogiP(t)]]-tblData[[#This Row],[Au]])^2,"")</f>
        <v/>
      </c>
      <c r="AN91">
        <f>IF(tblData[Date]&gt;StartDt2NSW,tblData[Date]-StartDt2NSW,"")</f>
        <v>131</v>
      </c>
      <c r="AO91" s="25" t="str">
        <f t="shared" si="7"/>
        <v/>
      </c>
      <c r="AP91" s="11">
        <f>IF(tblData[Date]&gt;StartDt2NSW,betaNSW/(deltaNSW+betaPodeltaNSW*EXP(-betaNSW*tblData[[#This Row],[Day '# NSW]])),"")</f>
        <v>9599.7914700442016</v>
      </c>
      <c r="AQ91" s="12" t="str">
        <f>IF(AND(ISNUMBER(tblData[NSW]),tblData[Date]&gt;StartDt2NSW),(tblData[[#This Row],[NSW LogiP(t)]]-tblData[[#This Row],[NSW]])^2,"")</f>
        <v/>
      </c>
      <c r="AR91" s="41">
        <f>IF(AND(tblData[Date]&gt;StartDt2NSW,ISNUMBER(tblData[Day'# Aust])),tblData[NSW LogiP(t)]/$AQ$9,"")</f>
        <v>11880.930037183418</v>
      </c>
      <c r="AS91" s="11">
        <f>IF(AND(tblData[Date]&gt;StartDt2Italy,ISNUMBER(tblData[Days'# Italy])),betaItaly/(deltaItaly+betaPodeltaItaly*EXP(-betaItaly*tblData[Days'# Italy])),"")</f>
        <v>76058.397364696793</v>
      </c>
      <c r="AT91" s="11" t="str">
        <f>IF(AND(tblData[Date]&gt;StartDt2Italy,ISNUMBER(tblData[Italy])),(tblData[[#This Row],[Italy LogiP(t)]]-tblData[[#This Row],[Italy]])^2,"")</f>
        <v/>
      </c>
      <c r="AU91" s="41">
        <f>IF(AND(tblData[Date]&gt;StartDt2Italy,ISNUMBER(tblData[Days'# Italy])),tblData[[#This Row],[Italy LogiP(t)]]/$AT$9,"")</f>
        <v>12574.753635562007</v>
      </c>
      <c r="AV91" s="20">
        <f>IF(ISNUMBER(tblData[[#This Row],[Days'# US]]),betaUS/(deltaUS+betaPodeltaUS*EXP(-betaUS*tblData[Days'# US])),"")</f>
        <v>187367.55273185894</v>
      </c>
      <c r="AW91" s="11" t="str">
        <f>IF(AND(tblData[Date]&gt;=StartDt2US,ISNUMBER(tblData[US])),(tblData[[#This Row],[US LogiP(t)]]-tblData[US])^2,"")</f>
        <v/>
      </c>
      <c r="AX91" s="20">
        <f>IF(ISNUMBER(tblData[[#This Row],[Days'# US]]),tblData[[#This Row],[US LogiP(t)]]/$AW$9,"")</f>
        <v>5691.1227868339802</v>
      </c>
      <c r="AY91" s="20">
        <f>IF(tblData[Date]&gt;=StartDt2Korea,betaSKorea/(deltaSKorea+betaPodeltaSKorea*EXP(-betaSKorea*(tblData[Date]-StartDt2Korea))),"")</f>
        <v>8607.5560837680932</v>
      </c>
      <c r="AZ91" s="20" t="str">
        <f>IF(AND(tblData[Date]&gt;=StartDt2Korea,ISNUMBER(tblData[SKorea])),(tblData[[#This Row],[SKorea LogiP(t)]]-tblData[[#This Row],[SKorea]])^2,"")</f>
        <v/>
      </c>
      <c r="BA91" s="20">
        <f>IF(tblData[Date]&gt;=StartDt2Korea,tblData[[#This Row],[SKorea LogiP(t)]]/$AZ$9,"")</f>
        <v>1674.621806180563</v>
      </c>
      <c r="BB91" s="79">
        <f>IF(ISNUMBER(tblData[Days'# UK]),betaUK/(deltaUK+betaPodeltaUK*EXP(-betaUK*tblData[Days'# UK])),"")</f>
        <v>22028.340325761161</v>
      </c>
      <c r="BC91" s="79" t="str">
        <f>IF(ISNUMBER(tblData[UK]),(tblData[[#This Row],[UK LogiP(t)]]-tblData[[#This Row],[UK]])^2,"")</f>
        <v/>
      </c>
      <c r="BD91" s="79">
        <f>IF(ISNUMBER(tblData[Days'# UK]),tblData[[#This Row],[UK LogiP(t)]]/$BC$9,"")</f>
        <v>3315.5238298857857</v>
      </c>
      <c r="BE91" s="11">
        <f>IF(ISNUMBER(tblData[Days'# China]),betaChina/(deltaChina+betaPodeltaChina*EXP(-betaChina*tblData[Days'# China])),"")</f>
        <v>81015.961191486494</v>
      </c>
      <c r="BF91" s="11" t="str">
        <f>IF(ISNUMBER(tblData[China]),(tblData[[#This Row],[China LogiP(t)]]-tblData[[#This Row],[China]])^2,"")</f>
        <v/>
      </c>
      <c r="BG91" s="11">
        <f>tblData[[#This Row],[China LogiP(t)]]/$BF$9</f>
        <v>562.87516778633756</v>
      </c>
      <c r="BH91" s="11">
        <f>IF(ISNUMBER(tblData[Day'# Singapore]),betaSingapore/(deltaSingapore+betaPodeltaSingapore*EXP(-betaSingapore*tblData[Day'# Singapore])),"")</f>
        <v>112093.06152954766</v>
      </c>
      <c r="BI91" s="11" t="str">
        <f>IF(AND(ISNUMBER(tblData[Singapore]),tblData[Date]&gt;=StartDt2Singapore),(tblData[[#This Row],[Singapore LogiP(t)]]-tblData[[#This Row],[Singapore]])^2,"")</f>
        <v/>
      </c>
      <c r="BJ91" s="11">
        <f>IF(ISNUMBER(tblData[Day'# Singapore]),tblData[Singapore LogiP(t)]/$BI$9,"")</f>
        <v>191612.07099067979</v>
      </c>
      <c r="BK91" s="11">
        <f>IF(ISNUMBER(tblData[Day'# Generic]),betaGeneric/(deltaGeneric+betaPodeltaGeneric*EXP(-betaGeneric*tblData[Day'# Generic])),"")</f>
        <v>67309.099344496077</v>
      </c>
      <c r="BL91" s="11" t="str">
        <f>IF(AND(ISNUMBER(tblData[Generic]),tblData[Date]&gt;=StartDt2Generic),(tblData[Generic LogiP(t)]-tblData[[#This Row],[Generic]])^2,"")</f>
        <v/>
      </c>
      <c r="BM91" s="11">
        <f>IF(ISNUMBER(tblData[Day'# Generic]),tblData[Generic LogiP(t)]/$BL$9,"")</f>
        <v>11505.828947777109</v>
      </c>
      <c r="BN91" s="11"/>
      <c r="BO91" s="11"/>
      <c r="BP91" s="11" t="str">
        <f>IF(ISNUMBER(tblData[[#This Row],[Tests]]),tblData[[#This Row],[Tests]]-BP90,"")</f>
        <v/>
      </c>
      <c r="BQ91" s="11" t="str">
        <f>IF(ISNUMBER(tblData[[#This Row],[NSW Under Investigation'']]),tblData[[#This Row],[NSW Under Investigation'']]-BO90,"")</f>
        <v/>
      </c>
      <c r="BR91" s="11">
        <f>IF(tblData[[#This Row],[Date]]&gt;myData!TestsStart,tblData[[#This Row],[Date]]-myData!TestsStart,"")</f>
        <v>91</v>
      </c>
      <c r="BS91" s="11">
        <f>IF(AND(tblData[[#This Row],[NSW Test Day Number]]&gt;0,ISNUMBER(tblData[[#This Row],[NSW Test Day Number]])),betaTests/(deltaTests+betaPodeltaTests*EXP(-betaTests*tblData[[#This Row],[NSW Test Day Number]])),"")</f>
        <v>107542.99019045627</v>
      </c>
      <c r="BT91" s="11" t="str">
        <f>IF(tblData[Tests]&gt;0,(tblData[[#This Row],[Tests]]-tblData[[#This Row],[NSW Test Logi]])^2,"")</f>
        <v/>
      </c>
      <c r="BU91" s="11" t="str">
        <f>IF(ISNUMBER(tblData[Tests]),tblData[Tests]/$BS$9/100,"")</f>
        <v/>
      </c>
      <c r="BV91" s="124">
        <f ca="1">IF(AND(tblData[[#This Row],[NSW Test Day Number]]&gt;0,ISNUMBER(tblData[[#This Row],[NSW Test Day Number]])),TestsLogestB*TestsLogestM^tblData[[#This Row],[NSW Test Day Number]],"")</f>
        <v>1106568086.1079705</v>
      </c>
      <c r="BW91" s="11" t="str">
        <f>IF(AND(tblData[[#This Row],[NSW Test Day Number]]&gt;0,ISNUMBER(tblData[Tests])),(tblData[Tests]-tblData[[#This Row],[NSW Test Per Capita]])^2,"")</f>
        <v/>
      </c>
      <c r="BX91" s="124"/>
      <c r="BY91" s="11"/>
      <c r="BZ91"/>
      <c r="CB91" s="25"/>
      <c r="CD91" s="25"/>
      <c r="CK91"/>
      <c r="CL91"/>
      <c r="CO91" s="25"/>
      <c r="CZ91" s="25"/>
      <c r="DA91" s="25"/>
      <c r="DC91"/>
      <c r="DD91"/>
      <c r="DG91" s="25"/>
      <c r="DH91" s="25"/>
      <c r="DV91"/>
      <c r="DW91"/>
      <c r="DX91"/>
      <c r="DY91" s="26" t="s">
        <v>209</v>
      </c>
      <c r="DZ91" s="76">
        <v>43916.899108796293</v>
      </c>
      <c r="EA91" s="26">
        <v>43852</v>
      </c>
      <c r="EB91" s="26">
        <v>43885</v>
      </c>
      <c r="EC91">
        <v>3</v>
      </c>
      <c r="ED91">
        <v>0.27733988858891551</v>
      </c>
      <c r="EE91" s="95">
        <v>1.4801916494471641E-6</v>
      </c>
      <c r="EF91">
        <v>2.2710910481900958E-3</v>
      </c>
      <c r="EG91" s="25">
        <v>187367.55385189413</v>
      </c>
      <c r="EH91" s="97">
        <v>1827.6216298380521</v>
      </c>
      <c r="EI91" s="26">
        <v>122.11746660191646</v>
      </c>
      <c r="EJ91" s="25">
        <v>1.4801916494471641E-3</v>
      </c>
      <c r="EK91" s="26">
        <v>43915</v>
      </c>
      <c r="EL91" s="98" t="s">
        <v>1830</v>
      </c>
      <c r="EM91" s="25">
        <v>187367.55385189413</v>
      </c>
      <c r="EN91" s="26">
        <v>54916</v>
      </c>
      <c r="EO91" s="25" t="s">
        <v>1831</v>
      </c>
      <c r="EP91" s="26">
        <v>43915</v>
      </c>
      <c r="EQ91" s="25">
        <v>64</v>
      </c>
      <c r="ER91" t="s">
        <v>1832</v>
      </c>
      <c r="ET91" s="82" t="s">
        <v>1833</v>
      </c>
      <c r="EV91" s="82" t="s">
        <v>1877</v>
      </c>
      <c r="EW91" s="25">
        <v>1668.0246627816116</v>
      </c>
      <c r="EX91" s="25">
        <v>43914</v>
      </c>
      <c r="EY91" s="25">
        <v>2</v>
      </c>
      <c r="EZ91" s="25">
        <v>43913</v>
      </c>
      <c r="FA91">
        <v>3</v>
      </c>
      <c r="FB91" t="s">
        <v>1878</v>
      </c>
      <c r="FC91" s="25"/>
      <c r="FD91" s="25"/>
      <c r="FE91" s="25"/>
      <c r="FF91" s="25"/>
      <c r="FG91" s="25"/>
      <c r="FH91" s="25"/>
    </row>
    <row r="92" spans="2:195" x14ac:dyDescent="0.25">
      <c r="B92" s="26">
        <f t="shared" si="9"/>
        <v>43993</v>
      </c>
      <c r="D92" s="25"/>
      <c r="L92" s="12" t="str">
        <f>IF(ISNUMBER(tblData[[#This Row],[NSW]]),tblData[[#This Row],[New South Wales]]/$L$9,"")</f>
        <v/>
      </c>
      <c r="M92" s="25"/>
      <c r="N92" s="46" t="str">
        <f>IF(ISNUMBER(tblData[Italy]),tblData[Italy]/$N$9,"")</f>
        <v/>
      </c>
      <c r="O92" s="25"/>
      <c r="P92" s="124" t="str">
        <f>IF(ISNUMBER(tblData[US]),tblData[US]/$P$9,"")</f>
        <v/>
      </c>
      <c r="Q92" s="46"/>
      <c r="R92" s="19" t="str">
        <f>IF(ISNUMBER(tblData[SKorea]),tblData[SKorea]/$R$9,"")</f>
        <v/>
      </c>
      <c r="S92" s="46"/>
      <c r="T92" s="12" t="str">
        <f>IF(ISNUMBER(tblData[UK]),tblData[UK]/$T$9,"")</f>
        <v/>
      </c>
      <c r="U92" s="25"/>
      <c r="V92" s="20" t="str">
        <f>IF(ISNUMBER(tblData[China]),tblData[China]/$V$9,"")</f>
        <v/>
      </c>
      <c r="W92" s="20"/>
      <c r="X92" s="20" t="str">
        <f>IF(ISNUMBER(tblData[Singapore]),tblData[Singapore]/$X$9,"")</f>
        <v/>
      </c>
      <c r="Y92" s="20"/>
      <c r="Z92" s="20" t="str">
        <f>IF(AND(LEN(tblData[Generic])&gt;0,ISNUMBER(tblData[Generic])),tblData[Generic]/$Z$9,"")</f>
        <v/>
      </c>
      <c r="AA92" s="25">
        <f>IF(tblData[[#This Row],[Date]]&lt;ItalyStart,"",tblData[[#This Row],[Date]]-ItalyStart)</f>
        <v>133</v>
      </c>
      <c r="AB92" s="25">
        <f>IF(tblData[[#This Row],[Date]]&lt;USStart,"",tblData[[#This Row],[Date]]-USStart)</f>
        <v>141</v>
      </c>
      <c r="AC92" s="25">
        <f>IF(tblData[[#This Row],[Date]]&lt;ChinaStart,"",tblData[[#This Row],[Date]]-ChinaStart)</f>
        <v>141</v>
      </c>
      <c r="AD92" s="25">
        <f>IF(tblData[[#This Row],[Date]]&lt;StartDt2Korea,"",tblData[[#This Row],[Date]]-StartDt2Korea)</f>
        <v>113</v>
      </c>
      <c r="AE92" s="25">
        <f>IF(tblData[[#This Row],[Date]]&lt;UKStart,"",tblData[[#This Row],[Date]]-UKStart)</f>
        <v>133</v>
      </c>
      <c r="AF92" s="25">
        <f>IF(tblData[[#This Row],[Date]]&lt;SingaporeStart,"",tblData[[#This Row],[Date]]-SingaporeStart)</f>
        <v>140</v>
      </c>
      <c r="AG92" s="25">
        <f>IF(tblData[[#This Row],[Date]]&lt;GenStart,"",tblData[[#This Row],[Date]]-GenStart)</f>
        <v>141</v>
      </c>
      <c r="AH92">
        <f>IF(tblData[Date]&gt;=StartDt2Au,tblData[Date]-StartDt2Au,"")</f>
        <v>138</v>
      </c>
      <c r="AI92" s="25" t="str">
        <f>IF(tblData[New South Wales]&gt;0,SUM(tblData[[#This Row],[Australian Capital Territory]:[Western Australia]]),"")</f>
        <v/>
      </c>
      <c r="AJ92" s="12" t="str">
        <f>IF(ISNUMBER(tblData[Au]),tblData[Au]/$AE$9,"")</f>
        <v/>
      </c>
      <c r="AK92" s="41">
        <f>IF(ISNUMBER(tblData[[#This Row],[Day'# Aust]]),betaAu/(deltaAu+betaPodeltaAu*EXP(-betaAu*tblData[[#This Row],[Day'# Aust]])),"")</f>
        <v>7036.4105605448249</v>
      </c>
      <c r="AL92" s="67">
        <f>IF(ISNUMBER(tblData[Day'# Aust]),tblData[Au LogiP(t)]/$AJ$9,"")</f>
        <v>2774.1722758811011</v>
      </c>
      <c r="AM92" s="11" t="str">
        <f>IF(AND(tblData[Date]&gt;=StartDt2Au,ISNUMBER(tblData[NSW])),(tblData[[#This Row],[Au LogiP(t)]]-tblData[[#This Row],[Au]])^2,"")</f>
        <v/>
      </c>
      <c r="AN92">
        <f>IF(tblData[Date]&gt;StartDt2NSW,tblData[Date]-StartDt2NSW,"")</f>
        <v>138</v>
      </c>
      <c r="AO92" s="25" t="str">
        <f t="shared" si="7"/>
        <v/>
      </c>
      <c r="AP92" s="11">
        <f>IF(tblData[Date]&gt;StartDt2NSW,betaNSW/(deltaNSW+betaPodeltaNSW*EXP(-betaNSW*tblData[[#This Row],[Day '# NSW]])),"")</f>
        <v>9599.814559575585</v>
      </c>
      <c r="AQ92" s="12" t="str">
        <f>IF(AND(ISNUMBER(tblData[NSW]),tblData[Date]&gt;StartDt2NSW),(tblData[[#This Row],[NSW LogiP(t)]]-tblData[[#This Row],[NSW]])^2,"")</f>
        <v/>
      </c>
      <c r="AR92" s="41">
        <f>IF(AND(tblData[Date]&gt;StartDt2NSW,ISNUMBER(tblData[Day'# Aust])),tblData[NSW LogiP(t)]/$AQ$9,"")</f>
        <v>11880.958613336119</v>
      </c>
      <c r="AS92" s="11">
        <f>IF(AND(tblData[Date]&gt;StartDt2Italy,ISNUMBER(tblData[Days'# Italy])),betaItaly/(deltaItaly+betaPodeltaItaly*EXP(-betaItaly*tblData[Days'# Italy])),"")</f>
        <v>76058.397453019701</v>
      </c>
      <c r="AT92" s="11" t="str">
        <f>IF(AND(tblData[Date]&gt;StartDt2Italy,ISNUMBER(tblData[Italy])),(tblData[[#This Row],[Italy LogiP(t)]]-tblData[[#This Row],[Italy]])^2,"")</f>
        <v/>
      </c>
      <c r="AU92" s="41">
        <f>IF(AND(tblData[Date]&gt;StartDt2Italy,ISNUMBER(tblData[Days'# Italy])),tblData[[#This Row],[Italy LogiP(t)]]/$AT$9,"")</f>
        <v>12574.753650164455</v>
      </c>
      <c r="AV92" s="20">
        <f>IF(ISNUMBER(tblData[[#This Row],[Days'# US]]),betaUS/(deltaUS+betaPodeltaUS*EXP(-betaUS*tblData[Days'# US])),"")</f>
        <v>187367.55369116247</v>
      </c>
      <c r="AW92" s="11" t="str">
        <f>IF(AND(tblData[Date]&gt;=StartDt2US,ISNUMBER(tblData[US])),(tblData[[#This Row],[US LogiP(t)]]-tblData[US])^2,"")</f>
        <v/>
      </c>
      <c r="AX92" s="20">
        <f>IF(ISNUMBER(tblData[[#This Row],[Days'# US]]),tblData[[#This Row],[US LogiP(t)]]/$AW$9,"")</f>
        <v>5691.1228159719712</v>
      </c>
      <c r="AY92" s="20">
        <f>IF(tblData[Date]&gt;=StartDt2Korea,betaSKorea/(deltaSKorea+betaPodeltaSKorea*EXP(-betaSKorea*(tblData[Date]-StartDt2Korea))),"")</f>
        <v>8607.5560837724679</v>
      </c>
      <c r="AZ92" s="20" t="str">
        <f>IF(AND(tblData[Date]&gt;=StartDt2Korea,ISNUMBER(tblData[SKorea])),(tblData[[#This Row],[SKorea LogiP(t)]]-tblData[[#This Row],[SKorea]])^2,"")</f>
        <v/>
      </c>
      <c r="BA92" s="20">
        <f>IF(tblData[Date]&gt;=StartDt2Korea,tblData[[#This Row],[SKorea LogiP(t)]]/$AZ$9,"")</f>
        <v>1674.6218061814141</v>
      </c>
      <c r="BB92" s="79">
        <f>IF(ISNUMBER(tblData[Days'# UK]),betaUK/(deltaUK+betaPodeltaUK*EXP(-betaUK*tblData[Days'# UK])),"")</f>
        <v>22028.341576394214</v>
      </c>
      <c r="BC92" s="79" t="str">
        <f>IF(ISNUMBER(tblData[UK]),(tblData[[#This Row],[UK LogiP(t)]]-tblData[[#This Row],[UK]])^2,"")</f>
        <v/>
      </c>
      <c r="BD92" s="79">
        <f>IF(ISNUMBER(tblData[Days'# UK]),tblData[[#This Row],[UK LogiP(t)]]/$BC$9,"")</f>
        <v>3315.5240181207428</v>
      </c>
      <c r="BE92" s="11">
        <f>IF(ISNUMBER(tblData[Days'# China]),betaChina/(deltaChina+betaPodeltaChina*EXP(-betaChina*tblData[Days'# China])),"")</f>
        <v>81015.961191876646</v>
      </c>
      <c r="BF92" s="11" t="str">
        <f>IF(ISNUMBER(tblData[China]),(tblData[[#This Row],[China LogiP(t)]]-tblData[[#This Row],[China]])^2,"")</f>
        <v/>
      </c>
      <c r="BG92" s="11">
        <f>tblData[[#This Row],[China LogiP(t)]]/$BF$9</f>
        <v>562.87516778904819</v>
      </c>
      <c r="BH92" s="11">
        <f>IF(ISNUMBER(tblData[Day'# Singapore]),betaSingapore/(deltaSingapore+betaPodeltaSingapore*EXP(-betaSingapore*tblData[Day'# Singapore])),"")</f>
        <v>188796.65983621444</v>
      </c>
      <c r="BI92" s="11" t="str">
        <f>IF(AND(ISNUMBER(tblData[Singapore]),tblData[Date]&gt;=StartDt2Singapore),(tblData[[#This Row],[Singapore LogiP(t)]]-tblData[[#This Row],[Singapore]])^2,"")</f>
        <v/>
      </c>
      <c r="BJ92" s="11">
        <f>IF(ISNUMBER(tblData[Day'# Singapore]),tblData[Singapore LogiP(t)]/$BI$9,"")</f>
        <v>322729.33305335802</v>
      </c>
      <c r="BK92" s="11">
        <f>IF(ISNUMBER(tblData[Day'# Generic]),betaGeneric/(deltaGeneric+betaPodeltaGeneric*EXP(-betaGeneric*tblData[Day'# Generic])),"")</f>
        <v>67309.099344864022</v>
      </c>
      <c r="BL92" s="11" t="str">
        <f>IF(AND(ISNUMBER(tblData[Generic]),tblData[Date]&gt;=StartDt2Generic),(tblData[Generic LogiP(t)]-tblData[[#This Row],[Generic]])^2,"")</f>
        <v/>
      </c>
      <c r="BM92" s="11">
        <f>IF(ISNUMBER(tblData[Day'# Generic]),tblData[Generic LogiP(t)]/$BL$9,"")</f>
        <v>11505.828947840004</v>
      </c>
      <c r="BN92" s="11"/>
      <c r="BO92" s="11"/>
      <c r="BP92" s="11" t="str">
        <f>IF(ISNUMBER(tblData[[#This Row],[Tests]]),tblData[[#This Row],[Tests]]-BP91,"")</f>
        <v/>
      </c>
      <c r="BQ92" s="11" t="str">
        <f>IF(ISNUMBER(tblData[[#This Row],[NSW Under Investigation'']]),tblData[[#This Row],[NSW Under Investigation'']]-BO91,"")</f>
        <v/>
      </c>
      <c r="BR92" s="11">
        <f>IF(tblData[[#This Row],[Date]]&gt;myData!TestsStart,tblData[[#This Row],[Date]]-myData!TestsStart,"")</f>
        <v>98</v>
      </c>
      <c r="BS92" s="11">
        <f>IF(AND(tblData[[#This Row],[NSW Test Day Number]]&gt;0,ISNUMBER(tblData[[#This Row],[NSW Test Day Number]])),betaTests/(deltaTests+betaPodeltaTests*EXP(-betaTests*tblData[[#This Row],[NSW Test Day Number]])),"")</f>
        <v>107543.01776696752</v>
      </c>
      <c r="BT92" s="11" t="str">
        <f>IF(tblData[Tests]&gt;0,(tblData[[#This Row],[Tests]]-tblData[[#This Row],[NSW Test Logi]])^2,"")</f>
        <v/>
      </c>
      <c r="BU92" s="11" t="str">
        <f>IF(ISNUMBER(tblData[Tests]),tblData[Tests]/$BS$9/100,"")</f>
        <v/>
      </c>
      <c r="BV92" s="124">
        <f ca="1">IF(AND(tblData[[#This Row],[NSW Test Day Number]]&gt;0,ISNUMBER(tblData[[#This Row],[NSW Test Day Number]])),TestsLogestB*TestsLogestM^tblData[[#This Row],[NSW Test Day Number]],"")</f>
        <v>2848981977.7566576</v>
      </c>
      <c r="BW92" s="11" t="str">
        <f>IF(AND(tblData[[#This Row],[NSW Test Day Number]]&gt;0,ISNUMBER(tblData[Tests])),(tblData[Tests]-tblData[[#This Row],[NSW Test Per Capita]])^2,"")</f>
        <v/>
      </c>
      <c r="BX92" s="124"/>
      <c r="BY92" s="11"/>
      <c r="BZ92"/>
      <c r="CB92" s="25"/>
      <c r="CD92" s="25"/>
      <c r="CK92"/>
      <c r="CL92"/>
      <c r="CO92" s="25"/>
      <c r="CZ92" s="25"/>
      <c r="DA92" s="25"/>
      <c r="DC92"/>
      <c r="DD92"/>
      <c r="DG92" s="25"/>
      <c r="DH92" s="25"/>
      <c r="DV92"/>
      <c r="DW92"/>
      <c r="DX92"/>
      <c r="DY92" s="25" t="s">
        <v>176</v>
      </c>
      <c r="EA92" s="26">
        <v>43852</v>
      </c>
      <c r="EC92">
        <v>4</v>
      </c>
      <c r="ED92" s="22">
        <v>0.2221429979133962</v>
      </c>
      <c r="EE92" s="24">
        <v>2.745882625476671E-6</v>
      </c>
      <c r="EF92" s="21">
        <v>1537.6493038446686</v>
      </c>
      <c r="EG92" s="96">
        <v>80900.398237099929</v>
      </c>
      <c r="EH92" s="21">
        <v>2208.2653303765946</v>
      </c>
      <c r="EI92" s="36">
        <v>1.4172333890505041E-4</v>
      </c>
      <c r="EJ92" s="98">
        <v>2.7458826254766712E-3</v>
      </c>
      <c r="EK92" s="26">
        <v>43905</v>
      </c>
      <c r="EL92" s="26" t="s">
        <v>486</v>
      </c>
      <c r="EM92" s="26"/>
      <c r="EN92" s="98"/>
      <c r="EO92" s="19"/>
      <c r="EQ92" s="25"/>
      <c r="ER92" s="18"/>
      <c r="ET92"/>
      <c r="EU92" s="18"/>
      <c r="EV92"/>
      <c r="EW92" s="25"/>
      <c r="EX92" s="82"/>
      <c r="EY92" s="25"/>
      <c r="EZ92" s="82"/>
      <c r="FC92" s="25"/>
      <c r="FD92" s="25"/>
      <c r="FE92" s="25"/>
      <c r="FF92" s="25"/>
      <c r="FG92" s="25"/>
      <c r="FH92" s="25"/>
      <c r="FI92" s="25"/>
      <c r="FJ92" s="25"/>
      <c r="FK92" s="25"/>
      <c r="FL92" s="25"/>
      <c r="FM92" s="25"/>
      <c r="FN92" s="25"/>
      <c r="FO92" s="25"/>
      <c r="FP92" s="25"/>
      <c r="FQ92" s="25"/>
      <c r="FR92" s="25"/>
      <c r="FS92" s="25"/>
      <c r="FT92" s="25"/>
      <c r="FU92" s="25"/>
      <c r="FV92" s="25"/>
      <c r="FW92" s="25"/>
      <c r="FX92" s="25"/>
      <c r="FY92" s="25"/>
      <c r="FZ92" s="25"/>
      <c r="GA92" s="25"/>
      <c r="GB92" s="25"/>
      <c r="GC92" s="25"/>
      <c r="GD92" s="25"/>
      <c r="GE92" s="25"/>
      <c r="GF92" s="25"/>
      <c r="GG92" s="25"/>
      <c r="GH92" s="25"/>
      <c r="GI92" s="25"/>
      <c r="GJ92" s="25"/>
      <c r="GK92" s="25"/>
      <c r="GL92" s="25"/>
    </row>
    <row r="93" spans="2:195" x14ac:dyDescent="0.25">
      <c r="B93" s="26">
        <f t="shared" si="9"/>
        <v>44000</v>
      </c>
      <c r="D93" s="25"/>
      <c r="L93" s="12" t="str">
        <f>IF(ISNUMBER(tblData[[#This Row],[NSW]]),tblData[[#This Row],[New South Wales]]/$L$9,"")</f>
        <v/>
      </c>
      <c r="M93" s="25"/>
      <c r="N93" s="46" t="str">
        <f>IF(ISNUMBER(tblData[Italy]),tblData[Italy]/$N$9,"")</f>
        <v/>
      </c>
      <c r="O93" s="25"/>
      <c r="P93" s="124" t="str">
        <f>IF(ISNUMBER(tblData[US]),tblData[US]/$P$9,"")</f>
        <v/>
      </c>
      <c r="Q93" s="46"/>
      <c r="R93" s="19" t="str">
        <f>IF(ISNUMBER(tblData[SKorea]),tblData[SKorea]/$R$9,"")</f>
        <v/>
      </c>
      <c r="S93" s="46"/>
      <c r="T93" s="12" t="str">
        <f>IF(ISNUMBER(tblData[UK]),tblData[UK]/$T$9,"")</f>
        <v/>
      </c>
      <c r="U93" s="25"/>
      <c r="V93" s="20" t="str">
        <f>IF(ISNUMBER(tblData[China]),tblData[China]/$V$9,"")</f>
        <v/>
      </c>
      <c r="W93" s="20"/>
      <c r="X93" s="20" t="str">
        <f>IF(ISNUMBER(tblData[Singapore]),tblData[Singapore]/$X$9,"")</f>
        <v/>
      </c>
      <c r="Y93" s="20"/>
      <c r="Z93" s="20" t="str">
        <f>IF(AND(LEN(tblData[Generic])&gt;0,ISNUMBER(tblData[Generic])),tblData[Generic]/$Z$9,"")</f>
        <v/>
      </c>
      <c r="AA93" s="25">
        <f>IF(tblData[[#This Row],[Date]]&lt;ItalyStart,"",tblData[[#This Row],[Date]]-ItalyStart)</f>
        <v>140</v>
      </c>
      <c r="AB93" s="25">
        <f>IF(tblData[[#This Row],[Date]]&lt;USStart,"",tblData[[#This Row],[Date]]-USStart)</f>
        <v>148</v>
      </c>
      <c r="AC93" s="25">
        <f>IF(tblData[[#This Row],[Date]]&lt;ChinaStart,"",tblData[[#This Row],[Date]]-ChinaStart)</f>
        <v>148</v>
      </c>
      <c r="AD93" s="25">
        <f>IF(tblData[[#This Row],[Date]]&lt;StartDt2Korea,"",tblData[[#This Row],[Date]]-StartDt2Korea)</f>
        <v>120</v>
      </c>
      <c r="AE93" s="25">
        <f>IF(tblData[[#This Row],[Date]]&lt;UKStart,"",tblData[[#This Row],[Date]]-UKStart)</f>
        <v>140</v>
      </c>
      <c r="AF93" s="25">
        <f>IF(tblData[[#This Row],[Date]]&lt;SingaporeStart,"",tblData[[#This Row],[Date]]-SingaporeStart)</f>
        <v>147</v>
      </c>
      <c r="AG93" s="25">
        <f>IF(tblData[[#This Row],[Date]]&lt;GenStart,"",tblData[[#This Row],[Date]]-GenStart)</f>
        <v>148</v>
      </c>
      <c r="AH93">
        <f>IF(tblData[Date]&gt;=StartDt2Au,tblData[Date]-StartDt2Au,"")</f>
        <v>145</v>
      </c>
      <c r="AI93" s="25" t="str">
        <f>IF(tblData[New South Wales]&gt;0,SUM(tblData[[#This Row],[Australian Capital Territory]:[Western Australia]]),"")</f>
        <v/>
      </c>
      <c r="AJ93" s="12" t="str">
        <f>IF(ISNUMBER(tblData[Au]),tblData[Au]/$AE$9,"")</f>
        <v/>
      </c>
      <c r="AK93" s="41">
        <f>IF(ISNUMBER(tblData[[#This Row],[Day'# Aust]]),betaAu/(deltaAu+betaPodeltaAu*EXP(-betaAu*tblData[[#This Row],[Day'# Aust]])),"")</f>
        <v>7036.4105929632078</v>
      </c>
      <c r="AL93" s="67">
        <f>IF(ISNUMBER(tblData[Day'# Aust]),tblData[Au LogiP(t)]/$AJ$9,"")</f>
        <v>2774.1722886623593</v>
      </c>
      <c r="AM93" s="11" t="str">
        <f>IF(AND(tblData[Date]&gt;=StartDt2Au,ISNUMBER(tblData[NSW])),(tblData[[#This Row],[Au LogiP(t)]]-tblData[[#This Row],[Au]])^2,"")</f>
        <v/>
      </c>
      <c r="AN93">
        <f>IF(tblData[Date]&gt;StartDt2NSW,tblData[Date]-StartDt2NSW,"")</f>
        <v>145</v>
      </c>
      <c r="AO93" s="25" t="str">
        <f t="shared" si="7"/>
        <v/>
      </c>
      <c r="AP93" s="11">
        <f>IF(tblData[Date]&gt;StartDt2NSW,betaNSW/(deltaNSW+betaPodeltaNSW*EXP(-betaNSW*tblData[[#This Row],[Day '# NSW]])),"")</f>
        <v>9599.8199224178097</v>
      </c>
      <c r="AQ93" s="12" t="str">
        <f>IF(AND(ISNUMBER(tblData[NSW]),tblData[Date]&gt;StartDt2NSW),(tblData[[#This Row],[NSW LogiP(t)]]-tblData[[#This Row],[NSW]])^2,"")</f>
        <v/>
      </c>
      <c r="AR93" s="41">
        <f>IF(AND(tblData[Date]&gt;StartDt2NSW,ISNUMBER(tblData[Day'# Aust])),tblData[NSW LogiP(t)]/$AQ$9,"")</f>
        <v>11880.965250517091</v>
      </c>
      <c r="AS93" s="11">
        <f>IF(AND(tblData[Date]&gt;StartDt2Italy,ISNUMBER(tblData[Days'# Italy])),betaItaly/(deltaItaly+betaPodeltaItaly*EXP(-betaItaly*tblData[Days'# Italy])),"")</f>
        <v>76058.3974675801</v>
      </c>
      <c r="AT93" s="11" t="str">
        <f>IF(AND(tblData[Date]&gt;StartDt2Italy,ISNUMBER(tblData[Italy])),(tblData[[#This Row],[Italy LogiP(t)]]-tblData[[#This Row],[Italy]])^2,"")</f>
        <v/>
      </c>
      <c r="AU93" s="41">
        <f>IF(AND(tblData[Date]&gt;StartDt2Italy,ISNUMBER(tblData[Days'# Italy])),tblData[[#This Row],[Italy LogiP(t)]]/$AT$9,"")</f>
        <v>12574.75365257173</v>
      </c>
      <c r="AV93" s="20">
        <f>IF(ISNUMBER(tblData[[#This Row],[Days'# US]]),betaUS/(deltaUS+betaPodeltaUS*EXP(-betaUS*tblData[Days'# US])),"")</f>
        <v>187367.55382882818</v>
      </c>
      <c r="AW93" s="11" t="str">
        <f>IF(AND(tblData[Date]&gt;=StartDt2US,ISNUMBER(tblData[US])),(tblData[[#This Row],[US LogiP(t)]]-tblData[US])^2,"")</f>
        <v/>
      </c>
      <c r="AX93" s="20">
        <f>IF(ISNUMBER(tblData[[#This Row],[Days'# US]]),tblData[[#This Row],[US LogiP(t)]]/$AW$9,"")</f>
        <v>5691.122820153445</v>
      </c>
      <c r="AY93" s="20">
        <f>IF(tblData[Date]&gt;=StartDt2Korea,betaSKorea/(deltaSKorea+betaPodeltaSKorea*EXP(-betaSKorea*(tblData[Date]-StartDt2Korea))),"")</f>
        <v>8607.5560837730027</v>
      </c>
      <c r="AZ93" s="20" t="str">
        <f>IF(AND(tblData[Date]&gt;=StartDt2Korea,ISNUMBER(tblData[SKorea])),(tblData[[#This Row],[SKorea LogiP(t)]]-tblData[[#This Row],[SKorea]])^2,"")</f>
        <v/>
      </c>
      <c r="BA93" s="20">
        <f>IF(tblData[Date]&gt;=StartDt2Korea,tblData[[#This Row],[SKorea LogiP(t)]]/$AZ$9,"")</f>
        <v>1674.6218061815182</v>
      </c>
      <c r="BB93" s="79">
        <f>IF(ISNUMBER(tblData[Days'# UK]),betaUK/(deltaUK+betaPodeltaUK*EXP(-betaUK*tblData[Days'# UK])),"")</f>
        <v>22028.341813823772</v>
      </c>
      <c r="BC93" s="79" t="str">
        <f>IF(ISNUMBER(tblData[UK]),(tblData[[#This Row],[UK LogiP(t)]]-tblData[[#This Row],[UK]])^2,"")</f>
        <v/>
      </c>
      <c r="BD93" s="79">
        <f>IF(ISNUMBER(tblData[Days'# UK]),tblData[[#This Row],[UK LogiP(t)]]/$BC$9,"")</f>
        <v>3315.5240538566786</v>
      </c>
      <c r="BE93" s="11">
        <f>IF(ISNUMBER(tblData[Days'# China]),betaChina/(deltaChina+betaPodeltaChina*EXP(-betaChina*tblData[Days'# China])),"")</f>
        <v>81015.961191959024</v>
      </c>
      <c r="BF93" s="11" t="str">
        <f>IF(ISNUMBER(tblData[China]),(tblData[[#This Row],[China LogiP(t)]]-tblData[[#This Row],[China]])^2,"")</f>
        <v/>
      </c>
      <c r="BG93" s="11">
        <f>tblData[[#This Row],[China LogiP(t)]]/$BF$9</f>
        <v>562.8751677896206</v>
      </c>
      <c r="BH93" s="11">
        <f>IF(ISNUMBER(tblData[Day'# Singapore]),betaSingapore/(deltaSingapore+betaPodeltaSingapore*EXP(-betaSingapore*tblData[Day'# Singapore])),"")</f>
        <v>317987.15423678287</v>
      </c>
      <c r="BI93" s="11" t="str">
        <f>IF(AND(ISNUMBER(tblData[Singapore]),tblData[Date]&gt;=StartDt2Singapore),(tblData[[#This Row],[Singapore LogiP(t)]]-tblData[[#This Row],[Singapore]])^2,"")</f>
        <v/>
      </c>
      <c r="BJ93" s="11">
        <f>IF(ISNUMBER(tblData[Day'# Singapore]),tblData[Singapore LogiP(t)]/$BI$9,"")</f>
        <v>543567.78502014163</v>
      </c>
      <c r="BK93" s="11">
        <f>IF(ISNUMBER(tblData[Day'# Generic]),betaGeneric/(deltaGeneric+betaPodeltaGeneric*EXP(-betaGeneric*tblData[Day'# Generic])),"")</f>
        <v>67309.099344943039</v>
      </c>
      <c r="BL93" s="11" t="str">
        <f>IF(AND(ISNUMBER(tblData[Generic]),tblData[Date]&gt;=StartDt2Generic),(tblData[Generic LogiP(t)]-tblData[[#This Row],[Generic]])^2,"")</f>
        <v/>
      </c>
      <c r="BM93" s="11">
        <f>IF(ISNUMBER(tblData[Day'# Generic]),tblData[Generic LogiP(t)]/$BL$9,"")</f>
        <v>11505.828947853512</v>
      </c>
      <c r="BN93" s="11"/>
      <c r="BO93" s="11"/>
      <c r="BP93" s="11" t="str">
        <f>IF(ISNUMBER(tblData[[#This Row],[Tests]]),tblData[[#This Row],[Tests]]-BP92,"")</f>
        <v/>
      </c>
      <c r="BQ93" s="11" t="str">
        <f>IF(ISNUMBER(tblData[[#This Row],[NSW Under Investigation'']]),tblData[[#This Row],[NSW Under Investigation'']]-BO92,"")</f>
        <v/>
      </c>
      <c r="BR93" s="11">
        <f>IF(tblData[[#This Row],[Date]]&gt;myData!TestsStart,tblData[[#This Row],[Date]]-myData!TestsStart,"")</f>
        <v>105</v>
      </c>
      <c r="BS93" s="11">
        <f>IF(AND(tblData[[#This Row],[NSW Test Day Number]]&gt;0,ISNUMBER(tblData[[#This Row],[NSW Test Day Number]])),betaTests/(deltaTests+betaPodeltaTests*EXP(-betaTests*tblData[[#This Row],[NSW Test Day Number]])),"")</f>
        <v>107543.02445402766</v>
      </c>
      <c r="BT93" s="11" t="str">
        <f>IF(tblData[Tests]&gt;0,(tblData[[#This Row],[Tests]]-tblData[[#This Row],[NSW Test Logi]])^2,"")</f>
        <v/>
      </c>
      <c r="BU93" s="11" t="str">
        <f>IF(ISNUMBER(tblData[Tests]),tblData[Tests]/$BS$9/100,"")</f>
        <v/>
      </c>
      <c r="BV93" s="124">
        <f ca="1">IF(AND(tblData[[#This Row],[NSW Test Day Number]]&gt;0,ISNUMBER(tblData[[#This Row],[NSW Test Day Number]])),TestsLogestB*TestsLogestM^tblData[[#This Row],[NSW Test Day Number]],"")</f>
        <v>7335019337.2468777</v>
      </c>
      <c r="BW93" s="11" t="str">
        <f>IF(AND(tblData[[#This Row],[NSW Test Day Number]]&gt;0,ISNUMBER(tblData[Tests])),(tblData[Tests]-tblData[[#This Row],[NSW Test Per Capita]])^2,"")</f>
        <v/>
      </c>
      <c r="BX93" s="124"/>
      <c r="BY93" s="11"/>
      <c r="BZ93"/>
      <c r="CB93" s="25"/>
      <c r="CD93" s="25"/>
      <c r="CK93"/>
      <c r="CL93"/>
      <c r="CO93" s="25"/>
      <c r="CZ93" s="25"/>
      <c r="DA93" s="25"/>
      <c r="DC93"/>
      <c r="DD93"/>
      <c r="DG93" s="25"/>
      <c r="DH93" s="25"/>
      <c r="DV93"/>
      <c r="DW93"/>
      <c r="DX93"/>
      <c r="DY93" s="25" t="s">
        <v>176</v>
      </c>
      <c r="EA93" s="26">
        <v>43852</v>
      </c>
      <c r="EC93">
        <v>4</v>
      </c>
      <c r="ED93" s="22">
        <v>0.2221429979133962</v>
      </c>
      <c r="EE93" s="24">
        <v>2.745543785173982E-6</v>
      </c>
      <c r="EF93" s="21">
        <v>1537.6493038446686</v>
      </c>
      <c r="EG93" s="96">
        <v>80910.382530766758</v>
      </c>
      <c r="EH93" s="19">
        <v>2167.9126784143218</v>
      </c>
      <c r="EI93" s="36">
        <v>1.4172367774535312E-4</v>
      </c>
      <c r="EJ93" s="98">
        <v>2.7455437851739819E-3</v>
      </c>
      <c r="EK93" s="26">
        <v>43906</v>
      </c>
      <c r="EL93" s="26" t="s">
        <v>486</v>
      </c>
      <c r="EM93" s="26"/>
      <c r="EN93" s="98">
        <v>81033</v>
      </c>
      <c r="EO93" s="19" t="s">
        <v>686</v>
      </c>
      <c r="EP93" s="26">
        <v>43906</v>
      </c>
      <c r="EQ93" s="25">
        <v>55</v>
      </c>
      <c r="ER93" s="18" t="s">
        <v>687</v>
      </c>
      <c r="ET93" t="s">
        <v>688</v>
      </c>
      <c r="EV93"/>
      <c r="EW93" s="25"/>
      <c r="EX93" s="82"/>
      <c r="EY93" s="25"/>
      <c r="EZ93" s="82"/>
      <c r="FC93" s="25"/>
      <c r="FD93" s="25"/>
      <c r="FE93" s="25"/>
      <c r="FF93" s="25"/>
      <c r="FG93" s="25"/>
      <c r="FH93" s="25"/>
      <c r="FI93" s="25"/>
      <c r="FJ93" s="25"/>
      <c r="FK93" s="25"/>
      <c r="FL93" s="25"/>
      <c r="FM93" s="25"/>
      <c r="FN93" s="25"/>
      <c r="FO93" s="25"/>
      <c r="FP93" s="25"/>
      <c r="FQ93" s="25"/>
      <c r="FR93" s="25"/>
      <c r="FS93" s="25"/>
      <c r="FT93" s="25"/>
      <c r="FU93" s="25"/>
      <c r="FV93" s="25"/>
      <c r="FW93" s="25"/>
      <c r="FX93" s="25"/>
      <c r="FY93" s="25"/>
      <c r="FZ93" s="25"/>
      <c r="GA93" s="25"/>
      <c r="GB93" s="25"/>
      <c r="GC93" s="25"/>
      <c r="GD93" s="25"/>
      <c r="GE93" s="25"/>
      <c r="GF93" s="25"/>
      <c r="GG93" s="25"/>
      <c r="GH93" s="25"/>
      <c r="GI93" s="25"/>
      <c r="GJ93" s="25"/>
      <c r="GK93" s="25"/>
      <c r="GL93" s="25"/>
    </row>
    <row r="94" spans="2:195" x14ac:dyDescent="0.25">
      <c r="B94" s="26">
        <f t="shared" si="9"/>
        <v>44007</v>
      </c>
      <c r="D94" s="25"/>
      <c r="L94" s="12" t="str">
        <f>IF(ISNUMBER(tblData[[#This Row],[NSW]]),tblData[[#This Row],[New South Wales]]/$L$9,"")</f>
        <v/>
      </c>
      <c r="M94" s="25"/>
      <c r="N94" s="46" t="str">
        <f>IF(ISNUMBER(tblData[Italy]),tblData[Italy]/$N$9,"")</f>
        <v/>
      </c>
      <c r="O94" s="25"/>
      <c r="P94" s="124" t="str">
        <f>IF(ISNUMBER(tblData[US]),tblData[US]/$P$9,"")</f>
        <v/>
      </c>
      <c r="Q94" s="46"/>
      <c r="R94" s="19" t="str">
        <f>IF(ISNUMBER(tblData[SKorea]),tblData[SKorea]/$R$9,"")</f>
        <v/>
      </c>
      <c r="S94" s="46"/>
      <c r="T94" s="12" t="str">
        <f>IF(ISNUMBER(tblData[UK]),tblData[UK]/$T$9,"")</f>
        <v/>
      </c>
      <c r="U94" s="25"/>
      <c r="V94" s="20" t="str">
        <f>IF(ISNUMBER(tblData[China]),tblData[China]/$V$9,"")</f>
        <v/>
      </c>
      <c r="W94" s="20"/>
      <c r="X94" s="20" t="str">
        <f>IF(ISNUMBER(tblData[Singapore]),tblData[Singapore]/$X$9,"")</f>
        <v/>
      </c>
      <c r="Y94" s="20"/>
      <c r="Z94" s="20" t="str">
        <f>IF(AND(LEN(tblData[Generic])&gt;0,ISNUMBER(tblData[Generic])),tblData[Generic]/$Z$9,"")</f>
        <v/>
      </c>
      <c r="AA94" s="25">
        <f>IF(tblData[[#This Row],[Date]]&lt;ItalyStart,"",tblData[[#This Row],[Date]]-ItalyStart)</f>
        <v>147</v>
      </c>
      <c r="AB94" s="25">
        <f>IF(tblData[[#This Row],[Date]]&lt;USStart,"",tblData[[#This Row],[Date]]-USStart)</f>
        <v>155</v>
      </c>
      <c r="AC94" s="25">
        <f>IF(tblData[[#This Row],[Date]]&lt;ChinaStart,"",tblData[[#This Row],[Date]]-ChinaStart)</f>
        <v>155</v>
      </c>
      <c r="AD94" s="25">
        <f>IF(tblData[[#This Row],[Date]]&lt;StartDt2Korea,"",tblData[[#This Row],[Date]]-StartDt2Korea)</f>
        <v>127</v>
      </c>
      <c r="AE94" s="25">
        <f>IF(tblData[[#This Row],[Date]]&lt;UKStart,"",tblData[[#This Row],[Date]]-UKStart)</f>
        <v>147</v>
      </c>
      <c r="AF94" s="25">
        <f>IF(tblData[[#This Row],[Date]]&lt;SingaporeStart,"",tblData[[#This Row],[Date]]-SingaporeStart)</f>
        <v>154</v>
      </c>
      <c r="AG94" s="25">
        <f>IF(tblData[[#This Row],[Date]]&lt;GenStart,"",tblData[[#This Row],[Date]]-GenStart)</f>
        <v>155</v>
      </c>
      <c r="AH94">
        <f>IF(tblData[Date]&gt;=StartDt2Au,tblData[Date]-StartDt2Au,"")</f>
        <v>152</v>
      </c>
      <c r="AI94" s="25" t="str">
        <f>IF(tblData[New South Wales]&gt;0,SUM(tblData[[#This Row],[Australian Capital Territory]:[Western Australia]]),"")</f>
        <v/>
      </c>
      <c r="AJ94" s="12" t="str">
        <f>IF(ISNUMBER(tblData[Au]),tblData[Au]/$AE$9,"")</f>
        <v/>
      </c>
      <c r="AK94" s="41">
        <f>IF(ISNUMBER(tblData[[#This Row],[Day'# Aust]]),betaAu/(deltaAu+betaPodeltaAu*EXP(-betaAu*tblData[[#This Row],[Day'# Aust]])),"")</f>
        <v>7036.4105985188489</v>
      </c>
      <c r="AL94" s="67">
        <f>IF(ISNUMBER(tblData[Day'# Aust]),tblData[Au LogiP(t)]/$AJ$9,"")</f>
        <v>2774.172290852724</v>
      </c>
      <c r="AM94" s="11" t="str">
        <f>IF(AND(tblData[Date]&gt;=StartDt2Au,ISNUMBER(tblData[NSW])),(tblData[[#This Row],[Au LogiP(t)]]-tblData[[#This Row],[Au]])^2,"")</f>
        <v/>
      </c>
      <c r="AN94">
        <f>IF(tblData[Date]&gt;StartDt2NSW,tblData[Date]-StartDt2NSW,"")</f>
        <v>152</v>
      </c>
      <c r="AO94" s="25" t="str">
        <f t="shared" si="7"/>
        <v/>
      </c>
      <c r="AP94" s="11">
        <f>IF(tblData[Date]&gt;StartDt2NSW,betaNSW/(deltaNSW+betaPodeltaNSW*EXP(-betaNSW*tblData[[#This Row],[Day '# NSW]])),"")</f>
        <v>9599.8211680044242</v>
      </c>
      <c r="AQ94" s="12" t="str">
        <f>IF(AND(ISNUMBER(tblData[NSW]),tblData[Date]&gt;StartDt2NSW),(tblData[[#This Row],[NSW LogiP(t)]]-tblData[[#This Row],[NSW]])^2,"")</f>
        <v/>
      </c>
      <c r="AR94" s="41">
        <f>IF(AND(tblData[Date]&gt;StartDt2NSW,ISNUMBER(tblData[Day'# Aust])),tblData[NSW LogiP(t)]/$AQ$9,"")</f>
        <v>11880.966792084682</v>
      </c>
      <c r="AS94" s="11">
        <f>IF(AND(tblData[Date]&gt;StartDt2Italy,ISNUMBER(tblData[Days'# Italy])),betaItaly/(deltaItaly+betaPodeltaItaly*EXP(-betaItaly*tblData[Days'# Italy])),"")</f>
        <v>76058.397469980424</v>
      </c>
      <c r="AT94" s="11" t="str">
        <f>IF(AND(tblData[Date]&gt;StartDt2Italy,ISNUMBER(tblData[Italy])),(tblData[[#This Row],[Italy LogiP(t)]]-tblData[[#This Row],[Italy]])^2,"")</f>
        <v/>
      </c>
      <c r="AU94" s="41">
        <f>IF(AND(tblData[Date]&gt;StartDt2Italy,ISNUMBER(tblData[Days'# Italy])),tblData[[#This Row],[Italy LogiP(t)]]/$AT$9,"")</f>
        <v>12574.753652968575</v>
      </c>
      <c r="AV94" s="20">
        <f>IF(ISNUMBER(tblData[[#This Row],[Days'# US]]),betaUS/(deltaUS+betaPodeltaUS*EXP(-betaUS*tblData[Days'# US])),"")</f>
        <v>187367.55384858404</v>
      </c>
      <c r="AW94" s="11" t="str">
        <f>IF(AND(tblData[Date]&gt;=StartDt2US,ISNUMBER(tblData[US])),(tblData[[#This Row],[US LogiP(t)]]-tblData[US])^2,"")</f>
        <v/>
      </c>
      <c r="AX94" s="20">
        <f>IF(ISNUMBER(tblData[[#This Row],[Days'# US]]),tblData[[#This Row],[US LogiP(t)]]/$AW$9,"")</f>
        <v>5691.1228207535114</v>
      </c>
      <c r="AY94" s="20">
        <f>IF(tblData[Date]&gt;=StartDt2Korea,betaSKorea/(deltaSKorea+betaPodeltaSKorea*EXP(-betaSKorea*(tblData[Date]-StartDt2Korea))),"")</f>
        <v>8607.5560837730682</v>
      </c>
      <c r="AZ94" s="20" t="str">
        <f>IF(AND(tblData[Date]&gt;=StartDt2Korea,ISNUMBER(tblData[SKorea])),(tblData[[#This Row],[SKorea LogiP(t)]]-tblData[[#This Row],[SKorea]])^2,"")</f>
        <v/>
      </c>
      <c r="BA94" s="20">
        <f>IF(tblData[Date]&gt;=StartDt2Korea,tblData[[#This Row],[SKorea LogiP(t)]]/$AZ$9,"")</f>
        <v>1674.6218061815309</v>
      </c>
      <c r="BB94" s="79">
        <f>IF(ISNUMBER(tblData[Days'# UK]),betaUK/(deltaUK+betaPodeltaUK*EXP(-betaUK*tblData[Days'# UK])),"")</f>
        <v>22028.341858899177</v>
      </c>
      <c r="BC94" s="79" t="str">
        <f>IF(ISNUMBER(tblData[UK]),(tblData[[#This Row],[UK LogiP(t)]]-tblData[[#This Row],[UK]])^2,"")</f>
        <v/>
      </c>
      <c r="BD94" s="79">
        <f>IF(ISNUMBER(tblData[Days'# UK]),tblData[[#This Row],[UK LogiP(t)]]/$BC$9,"")</f>
        <v>3315.5240606410562</v>
      </c>
      <c r="BE94" s="11">
        <f>IF(ISNUMBER(tblData[Days'# China]),betaChina/(deltaChina+betaPodeltaChina*EXP(-betaChina*tblData[Days'# China])),"")</f>
        <v>81015.961191976428</v>
      </c>
      <c r="BF94" s="11" t="str">
        <f>IF(ISNUMBER(tblData[China]),(tblData[[#This Row],[China LogiP(t)]]-tblData[[#This Row],[China]])^2,"")</f>
        <v/>
      </c>
      <c r="BG94" s="11">
        <f>tblData[[#This Row],[China LogiP(t)]]/$BF$9</f>
        <v>562.87516778974145</v>
      </c>
      <c r="BH94" s="11">
        <f>IF(ISNUMBER(tblData[Day'# Singapore]),betaSingapore/(deltaSingapore+betaPodeltaSingapore*EXP(-betaSingapore*tblData[Day'# Singapore])),"")</f>
        <v>535579.97437604389</v>
      </c>
      <c r="BI94" s="11" t="str">
        <f>IF(AND(ISNUMBER(tblData[Singapore]),tblData[Date]&gt;=StartDt2Singapore),(tblData[[#This Row],[Singapore LogiP(t)]]-tblData[[#This Row],[Singapore]])^2,"")</f>
        <v/>
      </c>
      <c r="BJ94" s="11">
        <f>IF(ISNUMBER(tblData[Day'# Singapore]),tblData[Singapore LogiP(t)]/$BI$9,"")</f>
        <v>915521.32371973316</v>
      </c>
      <c r="BK94" s="11">
        <f>IF(ISNUMBER(tblData[Day'# Generic]),betaGeneric/(deltaGeneric+betaPodeltaGeneric*EXP(-betaGeneric*tblData[Day'# Generic])),"")</f>
        <v>67309.099344960006</v>
      </c>
      <c r="BL94" s="11" t="str">
        <f>IF(AND(ISNUMBER(tblData[Generic]),tblData[Date]&gt;=StartDt2Generic),(tblData[Generic LogiP(t)]-tblData[[#This Row],[Generic]])^2,"")</f>
        <v/>
      </c>
      <c r="BM94" s="11">
        <f>IF(ISNUMBER(tblData[Day'# Generic]),tblData[Generic LogiP(t)]/$BL$9,"")</f>
        <v>11505.828947856413</v>
      </c>
      <c r="BN94" s="11"/>
      <c r="BO94" s="11"/>
      <c r="BP94" s="11" t="str">
        <f>IF(ISNUMBER(tblData[[#This Row],[Tests]]),tblData[[#This Row],[Tests]]-BP93,"")</f>
        <v/>
      </c>
      <c r="BQ94" s="11" t="str">
        <f>IF(ISNUMBER(tblData[[#This Row],[NSW Under Investigation'']]),tblData[[#This Row],[NSW Under Investigation'']]-BO93,"")</f>
        <v/>
      </c>
      <c r="BR94" s="11">
        <f>IF(tblData[[#This Row],[Date]]&gt;myData!TestsStart,tblData[[#This Row],[Date]]-myData!TestsStart,"")</f>
        <v>112</v>
      </c>
      <c r="BS94" s="11">
        <f>IF(AND(tblData[[#This Row],[NSW Test Day Number]]&gt;0,ISNUMBER(tblData[[#This Row],[NSW Test Day Number]])),betaTests/(deltaTests+betaPodeltaTests*EXP(-betaTests*tblData[[#This Row],[NSW Test Day Number]])),"")</f>
        <v>107543.02607558022</v>
      </c>
      <c r="BT94" s="11" t="str">
        <f>IF(tblData[Tests]&gt;0,(tblData[[#This Row],[Tests]]-tblData[[#This Row],[NSW Test Logi]])^2,"")</f>
        <v/>
      </c>
      <c r="BU94" s="11" t="str">
        <f>IF(ISNUMBER(tblData[Tests]),tblData[Tests]/$BS$9/100,"")</f>
        <v/>
      </c>
      <c r="BV94" s="124">
        <f ca="1">IF(AND(tblData[[#This Row],[NSW Test Day Number]]&gt;0,ISNUMBER(tblData[[#This Row],[NSW Test Day Number]])),TestsLogestB*TestsLogestM^tblData[[#This Row],[NSW Test Day Number]],"")</f>
        <v>18884818892.449001</v>
      </c>
      <c r="BW94" s="11" t="str">
        <f>IF(AND(tblData[[#This Row],[NSW Test Day Number]]&gt;0,ISNUMBER(tblData[Tests])),(tblData[Tests]-tblData[[#This Row],[NSW Test Per Capita]])^2,"")</f>
        <v/>
      </c>
      <c r="BX94" s="124"/>
      <c r="BY94" s="11"/>
      <c r="BZ94"/>
      <c r="CB94" s="25"/>
      <c r="CD94" s="25"/>
      <c r="CK94"/>
      <c r="CL94"/>
      <c r="CO94" s="25"/>
      <c r="CZ94" s="25"/>
      <c r="DA94" s="25"/>
      <c r="DC94"/>
      <c r="DD94"/>
      <c r="DG94" s="25"/>
      <c r="DH94" s="25"/>
      <c r="DV94"/>
      <c r="DW94"/>
      <c r="DX94"/>
      <c r="DY94" t="s">
        <v>176</v>
      </c>
      <c r="EA94" s="26">
        <v>43852</v>
      </c>
      <c r="EC94">
        <v>4</v>
      </c>
      <c r="ED94" s="22">
        <v>0.2221429979133962</v>
      </c>
      <c r="EE94" s="24">
        <v>2.7453499609305866E-6</v>
      </c>
      <c r="EF94" s="21">
        <v>1537.6493038446686</v>
      </c>
      <c r="EG94" s="96">
        <v>80916.09487851843</v>
      </c>
      <c r="EH94" s="19">
        <v>2148.5827606526632</v>
      </c>
      <c r="EI94" s="36">
        <v>1.4172387156959651E-4</v>
      </c>
      <c r="EJ94" s="98">
        <v>2.7453499609305866E-3</v>
      </c>
      <c r="EK94" s="26">
        <v>43907</v>
      </c>
      <c r="EL94" s="26" t="s">
        <v>486</v>
      </c>
      <c r="EM94" s="26"/>
      <c r="EN94" s="98">
        <v>81058</v>
      </c>
      <c r="EO94" s="19" t="s">
        <v>686</v>
      </c>
      <c r="EP94" s="26">
        <v>43907</v>
      </c>
      <c r="EQ94" s="25">
        <v>56</v>
      </c>
      <c r="ER94" s="18" t="s">
        <v>687</v>
      </c>
      <c r="ET94" t="s">
        <v>688</v>
      </c>
      <c r="EV94" t="s">
        <v>723</v>
      </c>
      <c r="EX94" s="82"/>
      <c r="EY94" s="25"/>
      <c r="EZ94" s="82"/>
      <c r="FA94"/>
      <c r="FC94" s="25"/>
      <c r="FE94" s="25"/>
      <c r="FF94" s="25"/>
      <c r="FG94" s="25"/>
      <c r="FH94" s="25"/>
      <c r="FI94" s="25"/>
      <c r="FJ94" s="25"/>
      <c r="FK94" s="25"/>
      <c r="FL94" s="25"/>
      <c r="FM94" s="25"/>
      <c r="FN94" s="25"/>
      <c r="FO94" s="25"/>
      <c r="FP94" s="25"/>
      <c r="FQ94" s="25"/>
      <c r="FR94" s="25"/>
      <c r="FS94" s="25"/>
      <c r="FT94" s="25"/>
      <c r="FU94" s="25"/>
      <c r="FV94" s="25"/>
      <c r="FW94" s="25"/>
      <c r="FX94" s="25"/>
      <c r="FY94" s="25"/>
      <c r="FZ94" s="25"/>
      <c r="GA94" s="25"/>
      <c r="GB94" s="25"/>
      <c r="GC94" s="25"/>
      <c r="GD94" s="25"/>
      <c r="GE94" s="25"/>
      <c r="GF94" s="25"/>
      <c r="GG94" s="25"/>
      <c r="GH94" s="25"/>
      <c r="GI94" s="25"/>
      <c r="GJ94" s="25"/>
      <c r="GK94" s="25"/>
      <c r="GL94" s="25"/>
      <c r="GM94" s="25"/>
    </row>
    <row r="95" spans="2:195" x14ac:dyDescent="0.25">
      <c r="B95" s="26">
        <f t="shared" si="9"/>
        <v>44014</v>
      </c>
      <c r="D95" s="25"/>
      <c r="L95" s="12" t="str">
        <f>IF(ISNUMBER(tblData[[#This Row],[NSW]]),tblData[[#This Row],[New South Wales]]/$L$9,"")</f>
        <v/>
      </c>
      <c r="M95" s="25"/>
      <c r="N95" s="46" t="str">
        <f>IF(ISNUMBER(tblData[Italy]),tblData[Italy]/$N$9,"")</f>
        <v/>
      </c>
      <c r="O95" s="25"/>
      <c r="P95" s="124" t="str">
        <f>IF(ISNUMBER(tblData[US]),tblData[US]/$P$9,"")</f>
        <v/>
      </c>
      <c r="Q95" s="46"/>
      <c r="R95" s="19" t="str">
        <f>IF(ISNUMBER(tblData[SKorea]),tblData[SKorea]/$R$9,"")</f>
        <v/>
      </c>
      <c r="S95" s="46"/>
      <c r="T95" s="12" t="str">
        <f>IF(ISNUMBER(tblData[UK]),tblData[UK]/$T$9,"")</f>
        <v/>
      </c>
      <c r="U95" s="25"/>
      <c r="V95" s="20" t="str">
        <f>IF(ISNUMBER(tblData[China]),tblData[China]/$V$9,"")</f>
        <v/>
      </c>
      <c r="W95" s="20"/>
      <c r="X95" s="20" t="str">
        <f>IF(ISNUMBER(tblData[Singapore]),tblData[Singapore]/$X$9,"")</f>
        <v/>
      </c>
      <c r="Y95" s="20"/>
      <c r="Z95" s="20" t="str">
        <f>IF(AND(LEN(tblData[Generic])&gt;0,ISNUMBER(tblData[Generic])),tblData[Generic]/$Z$9,"")</f>
        <v/>
      </c>
      <c r="AA95" s="25">
        <f>IF(tblData[[#This Row],[Date]]&lt;ItalyStart,"",tblData[[#This Row],[Date]]-ItalyStart)</f>
        <v>154</v>
      </c>
      <c r="AB95" s="25">
        <f>IF(tblData[[#This Row],[Date]]&lt;USStart,"",tblData[[#This Row],[Date]]-USStart)</f>
        <v>162</v>
      </c>
      <c r="AC95" s="25">
        <f>IF(tblData[[#This Row],[Date]]&lt;ChinaStart,"",tblData[[#This Row],[Date]]-ChinaStart)</f>
        <v>162</v>
      </c>
      <c r="AD95" s="25">
        <f>IF(tblData[[#This Row],[Date]]&lt;StartDt2Korea,"",tblData[[#This Row],[Date]]-StartDt2Korea)</f>
        <v>134</v>
      </c>
      <c r="AE95" s="25">
        <f>IF(tblData[[#This Row],[Date]]&lt;UKStart,"",tblData[[#This Row],[Date]]-UKStart)</f>
        <v>154</v>
      </c>
      <c r="AF95" s="25">
        <f>IF(tblData[[#This Row],[Date]]&lt;SingaporeStart,"",tblData[[#This Row],[Date]]-SingaporeStart)</f>
        <v>161</v>
      </c>
      <c r="AG95" s="25">
        <f>IF(tblData[[#This Row],[Date]]&lt;GenStart,"",tblData[[#This Row],[Date]]-GenStart)</f>
        <v>162</v>
      </c>
      <c r="AH95">
        <f>IF(tblData[Date]&gt;=StartDt2Au,tblData[Date]-StartDt2Au,"")</f>
        <v>159</v>
      </c>
      <c r="AI95" s="25" t="str">
        <f>IF(tblData[New South Wales]&gt;0,SUM(tblData[[#This Row],[Australian Capital Territory]:[Western Australia]]),"")</f>
        <v/>
      </c>
      <c r="AJ95" s="12" t="str">
        <f>IF(ISNUMBER(tblData[Au]),tblData[Au]/$AE$9,"")</f>
        <v/>
      </c>
      <c r="AK95" s="41">
        <f>IF(ISNUMBER(tblData[[#This Row],[Day'# Aust]]),betaAu/(deltaAu+betaPodeltaAu*EXP(-betaAu*tblData[[#This Row],[Day'# Aust]])),"")</f>
        <v>7036.4105994709371</v>
      </c>
      <c r="AL95" s="67">
        <f>IF(ISNUMBER(tblData[Day'# Aust]),tblData[Au LogiP(t)]/$AJ$9,"")</f>
        <v>2774.1722912280939</v>
      </c>
      <c r="AM95" s="11" t="str">
        <f>IF(AND(tblData[Date]&gt;=StartDt2Au,ISNUMBER(tblData[NSW])),(tblData[[#This Row],[Au LogiP(t)]]-tblData[[#This Row],[Au]])^2,"")</f>
        <v/>
      </c>
      <c r="AN95">
        <f>IF(tblData[Date]&gt;StartDt2NSW,tblData[Date]-StartDt2NSW,"")</f>
        <v>159</v>
      </c>
      <c r="AO95" s="25" t="str">
        <f t="shared" si="7"/>
        <v/>
      </c>
      <c r="AP95" s="11">
        <f>IF(tblData[Date]&gt;StartDt2NSW,betaNSW/(deltaNSW+betaPodeltaNSW*EXP(-betaNSW*tblData[[#This Row],[Day '# NSW]])),"")</f>
        <v>9599.8214573072128</v>
      </c>
      <c r="AQ95" s="12" t="str">
        <f>IF(AND(ISNUMBER(tblData[NSW]),tblData[Date]&gt;StartDt2NSW),(tblData[[#This Row],[NSW LogiP(t)]]-tblData[[#This Row],[NSW]])^2,"")</f>
        <v/>
      </c>
      <c r="AR95" s="41">
        <f>IF(AND(tblData[Date]&gt;StartDt2NSW,ISNUMBER(tblData[Day'# Aust])),tblData[NSW LogiP(t)]/$AQ$9,"")</f>
        <v>11880.967150132688</v>
      </c>
      <c r="AS95" s="11">
        <f>IF(AND(tblData[Date]&gt;StartDt2Italy,ISNUMBER(tblData[Days'# Italy])),betaItaly/(deltaItaly+betaPodeltaItaly*EXP(-betaItaly*tblData[Days'# Italy])),"")</f>
        <v>76058.397470376134</v>
      </c>
      <c r="AT95" s="11" t="str">
        <f>IF(AND(tblData[Date]&gt;StartDt2Italy,ISNUMBER(tblData[Italy])),(tblData[[#This Row],[Italy LogiP(t)]]-tblData[[#This Row],[Italy]])^2,"")</f>
        <v/>
      </c>
      <c r="AU95" s="41">
        <f>IF(AND(tblData[Date]&gt;StartDt2Italy,ISNUMBER(tblData[Days'# Italy])),tblData[[#This Row],[Italy LogiP(t)]]/$AT$9,"")</f>
        <v>12574.753653033998</v>
      </c>
      <c r="AV95" s="20">
        <f>IF(ISNUMBER(tblData[[#This Row],[Days'# US]]),betaUS/(deltaUS+betaPodeltaUS*EXP(-betaUS*tblData[Days'# US])),"")</f>
        <v>187367.55385141913</v>
      </c>
      <c r="AW95" s="11" t="str">
        <f>IF(AND(tblData[Date]&gt;=StartDt2US,ISNUMBER(tblData[US])),(tblData[[#This Row],[US LogiP(t)]]-tblData[US])^2,"")</f>
        <v/>
      </c>
      <c r="AX95" s="20">
        <f>IF(ISNUMBER(tblData[[#This Row],[Days'# US]]),tblData[[#This Row],[US LogiP(t)]]/$AW$9,"")</f>
        <v>5691.1228208396251</v>
      </c>
      <c r="AY95" s="20">
        <f>IF(tblData[Date]&gt;=StartDt2Korea,betaSKorea/(deltaSKorea+betaPodeltaSKorea*EXP(-betaSKorea*(tblData[Date]-StartDt2Korea))),"")</f>
        <v>8607.5560837730754</v>
      </c>
      <c r="AZ95" s="20" t="str">
        <f>IF(AND(tblData[Date]&gt;=StartDt2Korea,ISNUMBER(tblData[SKorea])),(tblData[[#This Row],[SKorea LogiP(t)]]-tblData[[#This Row],[SKorea]])^2,"")</f>
        <v/>
      </c>
      <c r="BA95" s="20">
        <f>IF(tblData[Date]&gt;=StartDt2Korea,tblData[[#This Row],[SKorea LogiP(t)]]/$AZ$9,"")</f>
        <v>1674.6218061815323</v>
      </c>
      <c r="BB95" s="79">
        <f>IF(ISNUMBER(tblData[Days'# UK]),betaUK/(deltaUK+betaPodeltaUK*EXP(-betaUK*tblData[Days'# UK])),"")</f>
        <v>22028.341867456631</v>
      </c>
      <c r="BC95" s="79" t="str">
        <f>IF(ISNUMBER(tblData[UK]),(tblData[[#This Row],[UK LogiP(t)]]-tblData[[#This Row],[UK]])^2,"")</f>
        <v/>
      </c>
      <c r="BD95" s="79">
        <f>IF(ISNUMBER(tblData[Days'# UK]),tblData[[#This Row],[UK LogiP(t)]]/$BC$9,"")</f>
        <v>3315.5240619290535</v>
      </c>
      <c r="BE95" s="11">
        <f>IF(ISNUMBER(tblData[Days'# China]),betaChina/(deltaChina+betaPodeltaChina*EXP(-betaChina*tblData[Days'# China])),"")</f>
        <v>81015.961191980095</v>
      </c>
      <c r="BF95" s="11" t="str">
        <f>IF(ISNUMBER(tblData[China]),(tblData[[#This Row],[China LogiP(t)]]-tblData[[#This Row],[China]])^2,"")</f>
        <v/>
      </c>
      <c r="BG95" s="11">
        <f>tblData[[#This Row],[China LogiP(t)]]/$BF$9</f>
        <v>562.87516778976703</v>
      </c>
      <c r="BH95" s="11">
        <f>IF(ISNUMBER(tblData[Day'# Singapore]),betaSingapore/(deltaSingapore+betaPodeltaSingapore*EXP(-betaSingapore*tblData[Day'# Singapore])),"")</f>
        <v>902065.79627236177</v>
      </c>
      <c r="BI95" s="11" t="str">
        <f>IF(AND(ISNUMBER(tblData[Singapore]),tblData[Date]&gt;=StartDt2Singapore),(tblData[[#This Row],[Singapore LogiP(t)]]-tblData[[#This Row],[Singapore]])^2,"")</f>
        <v/>
      </c>
      <c r="BJ95" s="11">
        <f>IF(ISNUMBER(tblData[Day'# Singapore]),tblData[Singapore LogiP(t)]/$BI$9,"")</f>
        <v>1541992.8141407894</v>
      </c>
      <c r="BK95" s="11">
        <f>IF(ISNUMBER(tblData[Day'# Generic]),betaGeneric/(deltaGeneric+betaPodeltaGeneric*EXP(-betaGeneric*tblData[Day'# Generic])),"")</f>
        <v>67309.099344963659</v>
      </c>
      <c r="BL95" s="11" t="str">
        <f>IF(AND(ISNUMBER(tblData[Generic]),tblData[Date]&gt;=StartDt2Generic),(tblData[Generic LogiP(t)]-tblData[[#This Row],[Generic]])^2,"")</f>
        <v/>
      </c>
      <c r="BM95" s="11">
        <f>IF(ISNUMBER(tblData[Day'# Generic]),tblData[Generic LogiP(t)]/$BL$9,"")</f>
        <v>11505.828947857037</v>
      </c>
      <c r="BN95" s="11"/>
      <c r="BO95" s="11"/>
      <c r="BP95" s="11" t="str">
        <f>IF(ISNUMBER(tblData[[#This Row],[Tests]]),tblData[[#This Row],[Tests]]-BP94,"")</f>
        <v/>
      </c>
      <c r="BQ95" s="11" t="str">
        <f>IF(ISNUMBER(tblData[[#This Row],[NSW Under Investigation'']]),tblData[[#This Row],[NSW Under Investigation'']]-BO94,"")</f>
        <v/>
      </c>
      <c r="BR95" s="11">
        <f>IF(tblData[[#This Row],[Date]]&gt;myData!TestsStart,tblData[[#This Row],[Date]]-myData!TestsStart,"")</f>
        <v>119</v>
      </c>
      <c r="BS95" s="11">
        <f>IF(AND(tblData[[#This Row],[NSW Test Day Number]]&gt;0,ISNUMBER(tblData[[#This Row],[NSW Test Day Number]])),betaTests/(deltaTests+betaPodeltaTests*EXP(-betaTests*tblData[[#This Row],[NSW Test Day Number]])),"")</f>
        <v>107543.02646879226</v>
      </c>
      <c r="BT95" s="11" t="str">
        <f>IF(tblData[Tests]&gt;0,(tblData[[#This Row],[Tests]]-tblData[[#This Row],[NSW Test Logi]])^2,"")</f>
        <v/>
      </c>
      <c r="BU95" s="11" t="str">
        <f>IF(ISNUMBER(tblData[Tests]),tblData[Tests]/$BS$9/100,"")</f>
        <v/>
      </c>
      <c r="BV95" s="124">
        <f ca="1">IF(AND(tblData[[#This Row],[NSW Test Day Number]]&gt;0,ISNUMBER(tblData[[#This Row],[NSW Test Day Number]])),TestsLogestB*TestsLogestM^tblData[[#This Row],[NSW Test Day Number]],"")</f>
        <v>48621055815.029175</v>
      </c>
      <c r="BW95" s="11" t="str">
        <f>IF(AND(tblData[[#This Row],[NSW Test Day Number]]&gt;0,ISNUMBER(tblData[Tests])),(tblData[Tests]-tblData[[#This Row],[NSW Test Per Capita]])^2,"")</f>
        <v/>
      </c>
      <c r="BX95" s="124"/>
      <c r="BY95" s="11"/>
      <c r="BZ95"/>
      <c r="CB95" s="25"/>
      <c r="CD95" s="25"/>
      <c r="CK95"/>
      <c r="CL95"/>
      <c r="CO95" s="25"/>
      <c r="CZ95" s="25"/>
      <c r="DA95" s="25"/>
      <c r="DC95"/>
      <c r="DD95"/>
      <c r="DG95" s="25"/>
      <c r="DH95" s="25"/>
      <c r="DV95"/>
      <c r="DW95"/>
      <c r="DX95"/>
      <c r="DY95" t="s">
        <v>176</v>
      </c>
      <c r="EA95" s="26">
        <v>43852</v>
      </c>
      <c r="EC95">
        <v>4</v>
      </c>
      <c r="ED95" s="22">
        <v>0.2221429979133962</v>
      </c>
      <c r="EE95" s="24">
        <v>2.7453499609305866E-6</v>
      </c>
      <c r="EF95" s="21">
        <v>1537.6493038446686</v>
      </c>
      <c r="EG95" s="96">
        <v>80916.09487851843</v>
      </c>
      <c r="EH95" s="21">
        <v>2129.8209279691509</v>
      </c>
      <c r="EI95" s="36">
        <v>1.4172387156959651E-4</v>
      </c>
      <c r="EJ95" s="98">
        <v>2.7453499609305866E-3</v>
      </c>
      <c r="EK95" s="26">
        <v>43907</v>
      </c>
      <c r="EL95" s="26" t="s">
        <v>486</v>
      </c>
      <c r="EM95" s="26"/>
      <c r="EN95" s="98">
        <v>81102</v>
      </c>
      <c r="EO95" t="s">
        <v>686</v>
      </c>
      <c r="EP95" s="26">
        <v>43907</v>
      </c>
      <c r="EQ95" s="25">
        <v>57</v>
      </c>
      <c r="ER95" s="26" t="s">
        <v>687</v>
      </c>
      <c r="ET95" t="s">
        <v>688</v>
      </c>
      <c r="EV95" s="18" t="s">
        <v>739</v>
      </c>
      <c r="EW95" s="20">
        <v>563.47294022606354</v>
      </c>
      <c r="EX95" s="82">
        <v>43874</v>
      </c>
      <c r="EY95" s="11">
        <v>35</v>
      </c>
      <c r="EZ95" s="82">
        <v>43869</v>
      </c>
      <c r="FA95" s="11">
        <v>40</v>
      </c>
      <c r="FC95" s="25"/>
      <c r="FI95" s="25"/>
      <c r="FJ95" s="25"/>
      <c r="FK95" s="25"/>
      <c r="FL95" s="25"/>
      <c r="FM95" s="25"/>
      <c r="FN95" s="25"/>
      <c r="FO95" s="25"/>
      <c r="FP95" s="25"/>
      <c r="FQ95" s="25"/>
      <c r="FR95" s="25"/>
      <c r="FS95" s="25"/>
      <c r="FT95" s="25"/>
      <c r="FU95" s="25"/>
      <c r="FV95" s="25"/>
      <c r="FW95" s="25"/>
      <c r="FX95" s="25"/>
      <c r="FY95" s="25"/>
      <c r="FZ95" s="25"/>
      <c r="GA95" s="25"/>
      <c r="GB95" s="25"/>
      <c r="GC95" s="25"/>
      <c r="GD95" s="25"/>
      <c r="GE95" s="25"/>
      <c r="GF95" s="25"/>
      <c r="GG95" s="25"/>
      <c r="GH95" s="25"/>
      <c r="GI95" s="25"/>
      <c r="GJ95" s="25"/>
      <c r="GK95" s="25"/>
      <c r="GL95" s="25"/>
    </row>
    <row r="96" spans="2:195" x14ac:dyDescent="0.25">
      <c r="B96" s="26">
        <f t="shared" si="9"/>
        <v>44021</v>
      </c>
      <c r="D96" s="25"/>
      <c r="L96" s="12" t="str">
        <f>IF(ISNUMBER(tblData[[#This Row],[NSW]]),tblData[[#This Row],[New South Wales]]/$L$9,"")</f>
        <v/>
      </c>
      <c r="M96" s="25"/>
      <c r="N96" s="46" t="str">
        <f>IF(ISNUMBER(tblData[Italy]),tblData[Italy]/$N$9,"")</f>
        <v/>
      </c>
      <c r="O96" s="25"/>
      <c r="P96" s="124" t="str">
        <f>IF(ISNUMBER(tblData[US]),tblData[US]/$P$9,"")</f>
        <v/>
      </c>
      <c r="Q96" s="46"/>
      <c r="R96" s="19" t="str">
        <f>IF(ISNUMBER(tblData[SKorea]),tblData[SKorea]/$R$9,"")</f>
        <v/>
      </c>
      <c r="S96" s="46"/>
      <c r="T96" s="12" t="str">
        <f>IF(ISNUMBER(tblData[UK]),tblData[UK]/$T$9,"")</f>
        <v/>
      </c>
      <c r="U96" s="25"/>
      <c r="V96" s="20" t="str">
        <f>IF(ISNUMBER(tblData[China]),tblData[China]/$V$9,"")</f>
        <v/>
      </c>
      <c r="W96" s="20"/>
      <c r="X96" s="20" t="str">
        <f>IF(ISNUMBER(tblData[Singapore]),tblData[Singapore]/$X$9,"")</f>
        <v/>
      </c>
      <c r="Y96" s="20"/>
      <c r="Z96" s="20" t="str">
        <f>IF(AND(LEN(tblData[Generic])&gt;0,ISNUMBER(tblData[Generic])),tblData[Generic]/$Z$9,"")</f>
        <v/>
      </c>
      <c r="AA96" s="25">
        <f>IF(tblData[[#This Row],[Date]]&lt;ItalyStart,"",tblData[[#This Row],[Date]]-ItalyStart)</f>
        <v>161</v>
      </c>
      <c r="AB96" s="25">
        <f>IF(tblData[[#This Row],[Date]]&lt;USStart,"",tblData[[#This Row],[Date]]-USStart)</f>
        <v>169</v>
      </c>
      <c r="AC96" s="25">
        <f>IF(tblData[[#This Row],[Date]]&lt;ChinaStart,"",tblData[[#This Row],[Date]]-ChinaStart)</f>
        <v>169</v>
      </c>
      <c r="AD96" s="25">
        <f>IF(tblData[[#This Row],[Date]]&lt;StartDt2Korea,"",tblData[[#This Row],[Date]]-StartDt2Korea)</f>
        <v>141</v>
      </c>
      <c r="AE96" s="25">
        <f>IF(tblData[[#This Row],[Date]]&lt;UKStart,"",tblData[[#This Row],[Date]]-UKStart)</f>
        <v>161</v>
      </c>
      <c r="AF96" s="25">
        <f>IF(tblData[[#This Row],[Date]]&lt;SingaporeStart,"",tblData[[#This Row],[Date]]-SingaporeStart)</f>
        <v>168</v>
      </c>
      <c r="AG96" s="25">
        <f>IF(tblData[[#This Row],[Date]]&lt;GenStart,"",tblData[[#This Row],[Date]]-GenStart)</f>
        <v>169</v>
      </c>
      <c r="AH96">
        <f>IF(tblData[Date]&gt;=StartDt2Au,tblData[Date]-StartDt2Au,"")</f>
        <v>166</v>
      </c>
      <c r="AI96" s="25" t="str">
        <f>IF(tblData[New South Wales]&gt;0,SUM(tblData[[#This Row],[Australian Capital Territory]:[Western Australia]]),"")</f>
        <v/>
      </c>
      <c r="AJ96" s="12" t="str">
        <f>IF(ISNUMBER(tblData[Au]),tblData[Au]/$AE$9,"")</f>
        <v/>
      </c>
      <c r="AK96" s="41">
        <f>IF(ISNUMBER(tblData[[#This Row],[Day'# Aust]]),betaAu/(deltaAu+betaPodeltaAu*EXP(-betaAu*tblData[[#This Row],[Day'# Aust]])),"")</f>
        <v>7036.4105996340986</v>
      </c>
      <c r="AL96" s="67">
        <f>IF(ISNUMBER(tblData[Day'# Aust]),tblData[Au LogiP(t)]/$AJ$9,"")</f>
        <v>2774.172291292422</v>
      </c>
      <c r="AM96" s="11" t="str">
        <f>IF(AND(tblData[Date]&gt;=StartDt2Au,ISNUMBER(tblData[NSW])),(tblData[[#This Row],[Au LogiP(t)]]-tblData[[#This Row],[Au]])^2,"")</f>
        <v/>
      </c>
      <c r="AN96">
        <f>IF(tblData[Date]&gt;StartDt2NSW,tblData[Date]-StartDt2NSW,"")</f>
        <v>166</v>
      </c>
      <c r="AO96" s="25" t="str">
        <f t="shared" si="7"/>
        <v/>
      </c>
      <c r="AP96" s="11">
        <f>IF(tblData[Date]&gt;StartDt2NSW,betaNSW/(deltaNSW+betaPodeltaNSW*EXP(-betaNSW*tblData[[#This Row],[Day '# NSW]])),"")</f>
        <v>9599.8215245013289</v>
      </c>
      <c r="AQ96" s="12" t="str">
        <f>IF(AND(ISNUMBER(tblData[NSW]),tblData[Date]&gt;StartDt2NSW),(tblData[[#This Row],[NSW LogiP(t)]]-tblData[[#This Row],[NSW]])^2,"")</f>
        <v/>
      </c>
      <c r="AR96" s="41">
        <f>IF(AND(tblData[Date]&gt;StartDt2NSW,ISNUMBER(tblData[Day'# Aust])),tblData[NSW LogiP(t)]/$AQ$9,"")</f>
        <v>11880.967233293723</v>
      </c>
      <c r="AS96" s="11">
        <f>IF(AND(tblData[Date]&gt;StartDt2Italy,ISNUMBER(tblData[Days'# Italy])),betaItaly/(deltaItaly+betaPodeltaItaly*EXP(-betaItaly*tblData[Days'# Italy])),"")</f>
        <v>76058.39747044137</v>
      </c>
      <c r="AT96" s="11" t="str">
        <f>IF(AND(tblData[Date]&gt;StartDt2Italy,ISNUMBER(tblData[Italy])),(tblData[[#This Row],[Italy LogiP(t)]]-tblData[[#This Row],[Italy]])^2,"")</f>
        <v/>
      </c>
      <c r="AU96" s="41">
        <f>IF(AND(tblData[Date]&gt;StartDt2Italy,ISNUMBER(tblData[Days'# Italy])),tblData[[#This Row],[Italy LogiP(t)]]/$AT$9,"")</f>
        <v>12574.753653044783</v>
      </c>
      <c r="AV96" s="20">
        <f>IF(ISNUMBER(tblData[[#This Row],[Days'# US]]),betaUS/(deltaUS+betaPodeltaUS*EXP(-betaUS*tblData[Days'# US])),"")</f>
        <v>187367.55385182597</v>
      </c>
      <c r="AW96" s="11" t="str">
        <f>IF(AND(tblData[Date]&gt;=StartDt2US,ISNUMBER(tblData[US])),(tblData[[#This Row],[US LogiP(t)]]-tblData[US])^2,"")</f>
        <v/>
      </c>
      <c r="AX96" s="20">
        <f>IF(ISNUMBER(tblData[[#This Row],[Days'# US]]),tblData[[#This Row],[US LogiP(t)]]/$AW$9,"")</f>
        <v>5691.1228208519824</v>
      </c>
      <c r="AY96" s="20">
        <f>IF(tblData[Date]&gt;=StartDt2Korea,betaSKorea/(deltaSKorea+betaPodeltaSKorea*EXP(-betaSKorea*(tblData[Date]-StartDt2Korea))),"")</f>
        <v>8607.5560837730773</v>
      </c>
      <c r="AZ96" s="20" t="str">
        <f>IF(AND(tblData[Date]&gt;=StartDt2Korea,ISNUMBER(tblData[SKorea])),(tblData[[#This Row],[SKorea LogiP(t)]]-tblData[[#This Row],[SKorea]])^2,"")</f>
        <v/>
      </c>
      <c r="BA96" s="20">
        <f>IF(tblData[Date]&gt;=StartDt2Korea,tblData[[#This Row],[SKorea LogiP(t)]]/$AZ$9,"")</f>
        <v>1674.6218061815327</v>
      </c>
      <c r="BB96" s="79">
        <f>IF(ISNUMBER(tblData[Days'# UK]),betaUK/(deltaUK+betaPodeltaUK*EXP(-betaUK*tblData[Days'# UK])),"")</f>
        <v>22028.34186908124</v>
      </c>
      <c r="BC96" s="79" t="str">
        <f>IF(ISNUMBER(tblData[UK]),(tblData[[#This Row],[UK LogiP(t)]]-tblData[[#This Row],[UK]])^2,"")</f>
        <v/>
      </c>
      <c r="BD96" s="79">
        <f>IF(ISNUMBER(tblData[Days'# UK]),tblData[[#This Row],[UK LogiP(t)]]/$BC$9,"")</f>
        <v>3315.5240621735761</v>
      </c>
      <c r="BE96" s="11">
        <f>IF(ISNUMBER(tblData[Days'# China]),betaChina/(deltaChina+betaPodeltaChina*EXP(-betaChina*tblData[Days'# China])),"")</f>
        <v>81015.961191980881</v>
      </c>
      <c r="BF96" s="11" t="str">
        <f>IF(ISNUMBER(tblData[China]),(tblData[[#This Row],[China LogiP(t)]]-tblData[[#This Row],[China]])^2,"")</f>
        <v/>
      </c>
      <c r="BG96" s="11">
        <f>tblData[[#This Row],[China LogiP(t)]]/$BF$9</f>
        <v>562.87516778977249</v>
      </c>
      <c r="BH96" s="11">
        <f>IF(ISNUMBER(tblData[Day'# Singapore]),betaSingapore/(deltaSingapore+betaPodeltaSingapore*EXP(-betaSingapore*tblData[Day'# Singapore])),"")</f>
        <v>1519324.8436859951</v>
      </c>
      <c r="BI96" s="11" t="str">
        <f>IF(AND(ISNUMBER(tblData[Singapore]),tblData[Date]&gt;=StartDt2Singapore),(tblData[[#This Row],[Singapore LogiP(t)]]-tblData[[#This Row],[Singapore]])^2,"")</f>
        <v/>
      </c>
      <c r="BJ96" s="11">
        <f>IF(ISNUMBER(tblData[Day'# Singapore]),tblData[Singapore LogiP(t)]/$BI$9,"")</f>
        <v>2597136.4849333251</v>
      </c>
      <c r="BK96" s="11">
        <f>IF(ISNUMBER(tblData[Day'# Generic]),betaGeneric/(deltaGeneric+betaPodeltaGeneric*EXP(-betaGeneric*tblData[Day'# Generic])),"")</f>
        <v>67309.09934496443</v>
      </c>
      <c r="BL96" s="11" t="str">
        <f>IF(AND(ISNUMBER(tblData[Generic]),tblData[Date]&gt;=StartDt2Generic),(tblData[Generic LogiP(t)]-tblData[[#This Row],[Generic]])^2,"")</f>
        <v/>
      </c>
      <c r="BM96" s="11">
        <f>IF(ISNUMBER(tblData[Day'# Generic]),tblData[Generic LogiP(t)]/$BL$9,"")</f>
        <v>11505.828947857168</v>
      </c>
      <c r="BN96" s="11"/>
      <c r="BO96" s="11"/>
      <c r="BP96" s="11" t="str">
        <f>IF(ISNUMBER(tblData[[#This Row],[Tests]]),tblData[[#This Row],[Tests]]-BP95,"")</f>
        <v/>
      </c>
      <c r="BQ96" s="11" t="str">
        <f>IF(ISNUMBER(tblData[[#This Row],[NSW Under Investigation'']]),tblData[[#This Row],[NSW Under Investigation'']]-BO95,"")</f>
        <v/>
      </c>
      <c r="BR96" s="11">
        <f>IF(tblData[[#This Row],[Date]]&gt;myData!TestsStart,tblData[[#This Row],[Date]]-myData!TestsStart,"")</f>
        <v>126</v>
      </c>
      <c r="BS96" s="11">
        <f>IF(AND(tblData[[#This Row],[NSW Test Day Number]]&gt;0,ISNUMBER(tblData[[#This Row],[NSW Test Day Number]])),betaTests/(deltaTests+betaPodeltaTests*EXP(-betaTests*tblData[[#This Row],[NSW Test Day Number]])),"")</f>
        <v>107543.02656414268</v>
      </c>
      <c r="BT96" s="11" t="str">
        <f>IF(tblData[Tests]&gt;0,(tblData[[#This Row],[Tests]]-tblData[[#This Row],[NSW Test Logi]])^2,"")</f>
        <v/>
      </c>
      <c r="BU96" s="11" t="str">
        <f>IF(ISNUMBER(tblData[Tests]),tblData[Tests]/$BS$9/100,"")</f>
        <v/>
      </c>
      <c r="BV96" s="124">
        <f ca="1">IF(AND(tblData[[#This Row],[NSW Test Day Number]]&gt;0,ISNUMBER(tblData[[#This Row],[NSW Test Day Number]])),TestsLogestB*TestsLogestM^tblData[[#This Row],[NSW Test Day Number]],"")</f>
        <v>125180288041.49228</v>
      </c>
      <c r="BW96" s="11" t="str">
        <f>IF(AND(tblData[[#This Row],[NSW Test Day Number]]&gt;0,ISNUMBER(tblData[Tests])),(tblData[Tests]-tblData[[#This Row],[NSW Test Per Capita]])^2,"")</f>
        <v/>
      </c>
      <c r="BX96" s="124"/>
      <c r="BY96" s="11"/>
      <c r="BZ96"/>
      <c r="CB96" s="25"/>
      <c r="CD96" s="25"/>
      <c r="CK96"/>
      <c r="CL96"/>
      <c r="CO96" s="25"/>
      <c r="CZ96" s="25"/>
      <c r="DA96" s="25"/>
      <c r="DC96"/>
      <c r="DD96"/>
      <c r="DG96" s="25"/>
      <c r="DH96" s="25"/>
      <c r="DV96"/>
      <c r="DW96"/>
      <c r="DX96"/>
      <c r="DY96" t="s">
        <v>176</v>
      </c>
      <c r="EA96" s="26">
        <v>43852</v>
      </c>
      <c r="EC96">
        <v>4</v>
      </c>
      <c r="ED96">
        <v>0.2221429979133962</v>
      </c>
      <c r="EE96" s="79">
        <v>2.7451241687424546E-6</v>
      </c>
      <c r="EF96">
        <v>1537.6493038446686</v>
      </c>
      <c r="EG96" s="96">
        <v>80922.750396081436</v>
      </c>
      <c r="EH96" s="19">
        <v>2111.6231171407408</v>
      </c>
      <c r="EI96" s="12">
        <v>1.4172409736178465E-4</v>
      </c>
      <c r="EJ96" s="98">
        <v>2.7451241687424547E-3</v>
      </c>
      <c r="EK96" s="26">
        <v>43909</v>
      </c>
      <c r="EL96" t="s">
        <v>486</v>
      </c>
      <c r="EM96" s="25"/>
      <c r="EN96" s="98">
        <v>81156</v>
      </c>
      <c r="EO96" t="s">
        <v>686</v>
      </c>
      <c r="EP96" s="26">
        <v>43909</v>
      </c>
      <c r="EQ96" s="25">
        <v>58</v>
      </c>
      <c r="ER96" t="s">
        <v>687</v>
      </c>
      <c r="ET96" t="s">
        <v>688</v>
      </c>
      <c r="EV96" t="s">
        <v>1007</v>
      </c>
      <c r="EW96">
        <v>563.84811640879889</v>
      </c>
      <c r="EX96" s="82">
        <v>43876</v>
      </c>
      <c r="EY96" s="25">
        <v>34</v>
      </c>
      <c r="EZ96" s="82">
        <v>43874</v>
      </c>
      <c r="FA96">
        <v>36</v>
      </c>
      <c r="FC96" s="25"/>
    </row>
    <row r="97" spans="2:195" x14ac:dyDescent="0.25">
      <c r="B97" s="26">
        <f t="shared" si="9"/>
        <v>44028</v>
      </c>
      <c r="D97" s="25"/>
      <c r="L97" s="12" t="str">
        <f>IF(ISNUMBER(tblData[[#This Row],[NSW]]),tblData[[#This Row],[New South Wales]]/$L$9,"")</f>
        <v/>
      </c>
      <c r="M97" s="25"/>
      <c r="N97" s="46" t="str">
        <f>IF(ISNUMBER(tblData[Italy]),tblData[Italy]/$N$9,"")</f>
        <v/>
      </c>
      <c r="O97" s="25"/>
      <c r="P97" s="124" t="str">
        <f>IF(ISNUMBER(tblData[US]),tblData[US]/$P$9,"")</f>
        <v/>
      </c>
      <c r="Q97" s="46"/>
      <c r="R97" s="19" t="str">
        <f>IF(ISNUMBER(tblData[SKorea]),tblData[SKorea]/$R$9,"")</f>
        <v/>
      </c>
      <c r="S97" s="46"/>
      <c r="T97" s="12" t="str">
        <f>IF(ISNUMBER(tblData[UK]),tblData[UK]/$T$9,"")</f>
        <v/>
      </c>
      <c r="U97" s="25"/>
      <c r="V97" s="20" t="str">
        <f>IF(ISNUMBER(tblData[China]),tblData[China]/$V$9,"")</f>
        <v/>
      </c>
      <c r="W97" s="20"/>
      <c r="X97" s="20" t="str">
        <f>IF(ISNUMBER(tblData[Singapore]),tblData[Singapore]/$X$9,"")</f>
        <v/>
      </c>
      <c r="Y97" s="20"/>
      <c r="Z97" s="20" t="str">
        <f>IF(AND(LEN(tblData[Generic])&gt;0,ISNUMBER(tblData[Generic])),tblData[Generic]/$Z$9,"")</f>
        <v/>
      </c>
      <c r="AA97" s="25">
        <f>IF(tblData[[#This Row],[Date]]&lt;ItalyStart,"",tblData[[#This Row],[Date]]-ItalyStart)</f>
        <v>168</v>
      </c>
      <c r="AB97" s="25">
        <f>IF(tblData[[#This Row],[Date]]&lt;USStart,"",tblData[[#This Row],[Date]]-USStart)</f>
        <v>176</v>
      </c>
      <c r="AC97" s="25">
        <f>IF(tblData[[#This Row],[Date]]&lt;ChinaStart,"",tblData[[#This Row],[Date]]-ChinaStart)</f>
        <v>176</v>
      </c>
      <c r="AD97" s="25">
        <f>IF(tblData[[#This Row],[Date]]&lt;StartDt2Korea,"",tblData[[#This Row],[Date]]-StartDt2Korea)</f>
        <v>148</v>
      </c>
      <c r="AE97" s="25">
        <f>IF(tblData[[#This Row],[Date]]&lt;UKStart,"",tblData[[#This Row],[Date]]-UKStart)</f>
        <v>168</v>
      </c>
      <c r="AF97" s="25">
        <f>IF(tblData[[#This Row],[Date]]&lt;SingaporeStart,"",tblData[[#This Row],[Date]]-SingaporeStart)</f>
        <v>175</v>
      </c>
      <c r="AG97" s="25">
        <f>IF(tblData[[#This Row],[Date]]&lt;GenStart,"",tblData[[#This Row],[Date]]-GenStart)</f>
        <v>176</v>
      </c>
      <c r="AH97">
        <f>IF(tblData[Date]&gt;=StartDt2Au,tblData[Date]-StartDt2Au,"")</f>
        <v>173</v>
      </c>
      <c r="AI97" s="25" t="str">
        <f>IF(tblData[New South Wales]&gt;0,SUM(tblData[[#This Row],[Australian Capital Territory]:[Western Australia]]),"")</f>
        <v/>
      </c>
      <c r="AJ97" s="12" t="str">
        <f>IF(ISNUMBER(tblData[Au]),tblData[Au]/$AE$9,"")</f>
        <v/>
      </c>
      <c r="AK97" s="41">
        <f>IF(ISNUMBER(tblData[[#This Row],[Day'# Aust]]),betaAu/(deltaAu+betaPodeltaAu*EXP(-betaAu*tblData[[#This Row],[Day'# Aust]])),"")</f>
        <v>7036.410599662061</v>
      </c>
      <c r="AL97" s="67">
        <f>IF(ISNUMBER(tblData[Day'# Aust]),tblData[Au LogiP(t)]/$AJ$9,"")</f>
        <v>2774.1722913034464</v>
      </c>
      <c r="AM97" s="11" t="str">
        <f>IF(AND(tblData[Date]&gt;=StartDt2Au,ISNUMBER(tblData[NSW])),(tblData[[#This Row],[Au LogiP(t)]]-tblData[[#This Row],[Au]])^2,"")</f>
        <v/>
      </c>
      <c r="AN97">
        <f>IF(tblData[Date]&gt;StartDt2NSW,tblData[Date]-StartDt2NSW,"")</f>
        <v>173</v>
      </c>
      <c r="AO97" s="25" t="str">
        <f t="shared" si="7"/>
        <v/>
      </c>
      <c r="AP97" s="11">
        <f>IF(tblData[Date]&gt;StartDt2NSW,betaNSW/(deltaNSW+betaPodeltaNSW*EXP(-betaNSW*tblData[[#This Row],[Day '# NSW]])),"")</f>
        <v>9599.8215401079851</v>
      </c>
      <c r="AQ97" s="12" t="str">
        <f>IF(AND(ISNUMBER(tblData[NSW]),tblData[Date]&gt;StartDt2NSW),(tblData[[#This Row],[NSW LogiP(t)]]-tblData[[#This Row],[NSW]])^2,"")</f>
        <v/>
      </c>
      <c r="AR97" s="41">
        <f>IF(AND(tblData[Date]&gt;StartDt2NSW,ISNUMBER(tblData[Day'# Aust])),tblData[NSW LogiP(t)]/$AQ$9,"")</f>
        <v>11880.967252608893</v>
      </c>
      <c r="AS97" s="11">
        <f>IF(AND(tblData[Date]&gt;StartDt2Italy,ISNUMBER(tblData[Days'# Italy])),betaItaly/(deltaItaly+betaPodeltaItaly*EXP(-betaItaly*tblData[Days'# Italy])),"")</f>
        <v>76058.397470452124</v>
      </c>
      <c r="AT97" s="11" t="str">
        <f>IF(AND(tblData[Date]&gt;StartDt2Italy,ISNUMBER(tblData[Italy])),(tblData[[#This Row],[Italy LogiP(t)]]-tblData[[#This Row],[Italy]])^2,"")</f>
        <v/>
      </c>
      <c r="AU97" s="41">
        <f>IF(AND(tblData[Date]&gt;StartDt2Italy,ISNUMBER(tblData[Days'# Italy])),tblData[[#This Row],[Italy LogiP(t)]]/$AT$9,"")</f>
        <v>12574.753653046562</v>
      </c>
      <c r="AV97" s="20">
        <f>IF(ISNUMBER(tblData[[#This Row],[Days'# US]]),betaUS/(deltaUS+betaPodeltaUS*EXP(-betaUS*tblData[Days'# US])),"")</f>
        <v>187367.55385188435</v>
      </c>
      <c r="AW97" s="11" t="str">
        <f>IF(AND(tblData[Date]&gt;=StartDt2US,ISNUMBER(tblData[US])),(tblData[[#This Row],[US LogiP(t)]]-tblData[US])^2,"")</f>
        <v/>
      </c>
      <c r="AX97" s="20">
        <f>IF(ISNUMBER(tblData[[#This Row],[Days'# US]]),tblData[[#This Row],[US LogiP(t)]]/$AW$9,"")</f>
        <v>5691.1228208537559</v>
      </c>
      <c r="AY97" s="20">
        <f>IF(tblData[Date]&gt;=StartDt2Korea,betaSKorea/(deltaSKorea+betaPodeltaSKorea*EXP(-betaSKorea*(tblData[Date]-StartDt2Korea))),"")</f>
        <v>8607.5560837730773</v>
      </c>
      <c r="AZ97" s="20" t="str">
        <f>IF(AND(tblData[Date]&gt;=StartDt2Korea,ISNUMBER(tblData[SKorea])),(tblData[[#This Row],[SKorea LogiP(t)]]-tblData[[#This Row],[SKorea]])^2,"")</f>
        <v/>
      </c>
      <c r="BA97" s="20">
        <f>IF(tblData[Date]&gt;=StartDt2Korea,tblData[[#This Row],[SKorea LogiP(t)]]/$AZ$9,"")</f>
        <v>1674.6218061815327</v>
      </c>
      <c r="BB97" s="79">
        <f>IF(ISNUMBER(tblData[Days'# UK]),betaUK/(deltaUK+betaPodeltaUK*EXP(-betaUK*tblData[Days'# UK])),"")</f>
        <v>22028.341869389667</v>
      </c>
      <c r="BC97" s="79" t="str">
        <f>IF(ISNUMBER(tblData[UK]),(tblData[[#This Row],[UK LogiP(t)]]-tblData[[#This Row],[UK]])^2,"")</f>
        <v/>
      </c>
      <c r="BD97" s="79">
        <f>IF(ISNUMBER(tblData[Days'# UK]),tblData[[#This Row],[UK LogiP(t)]]/$BC$9,"")</f>
        <v>3315.5240622199981</v>
      </c>
      <c r="BE97" s="11">
        <f>IF(ISNUMBER(tblData[Days'# China]),betaChina/(deltaChina+betaPodeltaChina*EXP(-betaChina*tblData[Days'# China])),"")</f>
        <v>81015.961191981041</v>
      </c>
      <c r="BF97" s="11" t="str">
        <f>IF(ISNUMBER(tblData[China]),(tblData[[#This Row],[China LogiP(t)]]-tblData[[#This Row],[China]])^2,"")</f>
        <v/>
      </c>
      <c r="BG97" s="11">
        <f>tblData[[#This Row],[China LogiP(t)]]/$BF$9</f>
        <v>562.87516778977351</v>
      </c>
      <c r="BH97" s="11">
        <f>IF(ISNUMBER(tblData[Day'# Singapore]),betaSingapore/(deltaSingapore+betaPodeltaSingapore*EXP(-betaSingapore*tblData[Day'# Singapore])),"")</f>
        <v>2558942.9275392429</v>
      </c>
      <c r="BI97" s="11" t="str">
        <f>IF(AND(ISNUMBER(tblData[Singapore]),tblData[Date]&gt;=StartDt2Singapore),(tblData[[#This Row],[Singapore LogiP(t)]]-tblData[[#This Row],[Singapore]])^2,"")</f>
        <v/>
      </c>
      <c r="BJ97" s="11">
        <f>IF(ISNUMBER(tblData[Day'# Singapore]),tblData[Singapore LogiP(t)]/$BI$9,"")</f>
        <v>4374261.4145969963</v>
      </c>
      <c r="BK97" s="11">
        <f>IF(ISNUMBER(tblData[Day'# Generic]),betaGeneric/(deltaGeneric+betaPodeltaGeneric*EXP(-betaGeneric*tblData[Day'# Generic])),"")</f>
        <v>67309.099344964605</v>
      </c>
      <c r="BL97" s="11" t="str">
        <f>IF(AND(ISNUMBER(tblData[Generic]),tblData[Date]&gt;=StartDt2Generic),(tblData[Generic LogiP(t)]-tblData[[#This Row],[Generic]])^2,"")</f>
        <v/>
      </c>
      <c r="BM97" s="11">
        <f>IF(ISNUMBER(tblData[Day'# Generic]),tblData[Generic LogiP(t)]/$BL$9,"")</f>
        <v>11505.828947857199</v>
      </c>
      <c r="BN97" s="11"/>
      <c r="BO97" s="11"/>
      <c r="BP97" s="11" t="str">
        <f>IF(ISNUMBER(tblData[[#This Row],[Tests]]),tblData[[#This Row],[Tests]]-BP96,"")</f>
        <v/>
      </c>
      <c r="BQ97" s="11" t="str">
        <f>IF(ISNUMBER(tblData[[#This Row],[NSW Under Investigation'']]),tblData[[#This Row],[NSW Under Investigation'']]-BO96,"")</f>
        <v/>
      </c>
      <c r="BR97" s="11">
        <f>IF(tblData[[#This Row],[Date]]&gt;myData!TestsStart,tblData[[#This Row],[Date]]-myData!TestsStart,"")</f>
        <v>133</v>
      </c>
      <c r="BS97" s="11">
        <f>IF(AND(tblData[[#This Row],[NSW Test Day Number]]&gt;0,ISNUMBER(tblData[[#This Row],[NSW Test Day Number]])),betaTests/(deltaTests+betaPodeltaTests*EXP(-betaTests*tblData[[#This Row],[NSW Test Day Number]])),"")</f>
        <v>107543.02658726429</v>
      </c>
      <c r="BT97" s="11" t="str">
        <f>IF(tblData[Tests]&gt;0,(tblData[[#This Row],[Tests]]-tblData[[#This Row],[NSW Test Logi]])^2,"")</f>
        <v/>
      </c>
      <c r="BU97" s="11" t="str">
        <f>IF(ISNUMBER(tblData[Tests]),tblData[Tests]/$BS$9/100,"")</f>
        <v/>
      </c>
      <c r="BV97" s="124">
        <f ca="1">IF(AND(tblData[[#This Row],[NSW Test Day Number]]&gt;0,ISNUMBER(tblData[[#This Row],[NSW Test Day Number]])),TestsLogestB*TestsLogestM^tblData[[#This Row],[NSW Test Day Number]],"")</f>
        <v>322290502570.84747</v>
      </c>
      <c r="BW97" s="11" t="str">
        <f>IF(AND(tblData[[#This Row],[NSW Test Day Number]]&gt;0,ISNUMBER(tblData[Tests])),(tblData[Tests]-tblData[[#This Row],[NSW Test Per Capita]])^2,"")</f>
        <v/>
      </c>
      <c r="BX97" s="124"/>
      <c r="BY97" s="11"/>
      <c r="BZ97"/>
      <c r="CB97" s="25"/>
      <c r="CD97" s="25"/>
      <c r="CK97"/>
      <c r="CL97"/>
      <c r="CO97" s="25"/>
      <c r="CZ97" s="25"/>
      <c r="DA97" s="25"/>
      <c r="DC97"/>
      <c r="DD97"/>
      <c r="DG97" s="25"/>
      <c r="DH97" s="25"/>
      <c r="DV97"/>
      <c r="DW97"/>
      <c r="DX97"/>
      <c r="DY97" t="s">
        <v>176</v>
      </c>
      <c r="DZ97" s="76">
        <v>43911.866319444445</v>
      </c>
      <c r="EA97" s="26">
        <v>43852</v>
      </c>
      <c r="EB97" s="26">
        <v>43852</v>
      </c>
      <c r="EC97">
        <v>4</v>
      </c>
      <c r="ED97">
        <v>0.2221429979133962</v>
      </c>
      <c r="EE97" s="79">
        <v>2.744154619604968E-6</v>
      </c>
      <c r="EF97">
        <v>1537.6493038446686</v>
      </c>
      <c r="EG97" s="96">
        <v>80951.341563025548</v>
      </c>
      <c r="EH97" s="19">
        <v>2094.0856057837377</v>
      </c>
      <c r="EI97" s="12">
        <v>1.4172506691092213E-4</v>
      </c>
      <c r="EJ97" s="98">
        <v>2.744154619604968E-3</v>
      </c>
      <c r="EK97" s="26">
        <v>43910</v>
      </c>
      <c r="EL97" t="s">
        <v>1051</v>
      </c>
      <c r="EM97" s="25"/>
      <c r="EN97" s="98">
        <v>81250</v>
      </c>
      <c r="EO97" t="s">
        <v>686</v>
      </c>
      <c r="EP97" s="26">
        <v>43910</v>
      </c>
      <c r="EQ97" s="25">
        <v>59</v>
      </c>
      <c r="ER97" t="s">
        <v>1050</v>
      </c>
      <c r="ET97" t="s">
        <v>688</v>
      </c>
      <c r="EV97" t="s">
        <v>1077</v>
      </c>
      <c r="EW97">
        <v>564.50120087504206</v>
      </c>
      <c r="EX97" s="82">
        <v>43886</v>
      </c>
      <c r="EY97" s="25">
        <v>25</v>
      </c>
      <c r="EZ97" s="82">
        <v>43875</v>
      </c>
      <c r="FA97">
        <v>36</v>
      </c>
      <c r="FC97" s="25"/>
    </row>
    <row r="98" spans="2:195" x14ac:dyDescent="0.25">
      <c r="B98" s="26">
        <f t="shared" si="9"/>
        <v>44035</v>
      </c>
      <c r="D98" s="25"/>
      <c r="L98" s="12" t="str">
        <f>IF(ISNUMBER(tblData[[#This Row],[NSW]]),tblData[[#This Row],[New South Wales]]/$L$9,"")</f>
        <v/>
      </c>
      <c r="M98" s="25"/>
      <c r="N98" s="46" t="str">
        <f>IF(ISNUMBER(tblData[Italy]),tblData[Italy]/$N$9,"")</f>
        <v/>
      </c>
      <c r="O98" s="25"/>
      <c r="P98" s="124" t="str">
        <f>IF(ISNUMBER(tblData[US]),tblData[US]/$P$9,"")</f>
        <v/>
      </c>
      <c r="Q98" s="46"/>
      <c r="R98" s="19" t="str">
        <f>IF(ISNUMBER(tblData[SKorea]),tblData[SKorea]/$R$9,"")</f>
        <v/>
      </c>
      <c r="S98" s="46"/>
      <c r="T98" s="12" t="str">
        <f>IF(ISNUMBER(tblData[UK]),tblData[UK]/$T$9,"")</f>
        <v/>
      </c>
      <c r="U98" s="25"/>
      <c r="V98" s="20" t="str">
        <f>IF(ISNUMBER(tblData[China]),tblData[China]/$V$9,"")</f>
        <v/>
      </c>
      <c r="W98" s="20"/>
      <c r="X98" s="20" t="str">
        <f>IF(ISNUMBER(tblData[Singapore]),tblData[Singapore]/$X$9,"")</f>
        <v/>
      </c>
      <c r="Y98" s="20"/>
      <c r="Z98" s="20" t="str">
        <f>IF(AND(LEN(tblData[Generic])&gt;0,ISNUMBER(tblData[Generic])),tblData[Generic]/$Z$9,"")</f>
        <v/>
      </c>
      <c r="AA98" s="25">
        <f>IF(tblData[[#This Row],[Date]]&lt;ItalyStart,"",tblData[[#This Row],[Date]]-ItalyStart)</f>
        <v>175</v>
      </c>
      <c r="AB98" s="25">
        <f>IF(tblData[[#This Row],[Date]]&lt;USStart,"",tblData[[#This Row],[Date]]-USStart)</f>
        <v>183</v>
      </c>
      <c r="AC98" s="25">
        <f>IF(tblData[[#This Row],[Date]]&lt;ChinaStart,"",tblData[[#This Row],[Date]]-ChinaStart)</f>
        <v>183</v>
      </c>
      <c r="AD98" s="25">
        <f>IF(tblData[[#This Row],[Date]]&lt;StartDt2Korea,"",tblData[[#This Row],[Date]]-StartDt2Korea)</f>
        <v>155</v>
      </c>
      <c r="AE98" s="25">
        <f>IF(tblData[[#This Row],[Date]]&lt;UKStart,"",tblData[[#This Row],[Date]]-UKStart)</f>
        <v>175</v>
      </c>
      <c r="AF98" s="25">
        <f>IF(tblData[[#This Row],[Date]]&lt;SingaporeStart,"",tblData[[#This Row],[Date]]-SingaporeStart)</f>
        <v>182</v>
      </c>
      <c r="AG98" s="25">
        <f>IF(tblData[[#This Row],[Date]]&lt;GenStart,"",tblData[[#This Row],[Date]]-GenStart)</f>
        <v>183</v>
      </c>
      <c r="AH98">
        <f>IF(tblData[Date]&gt;=StartDt2Au,tblData[Date]-StartDt2Au,"")</f>
        <v>180</v>
      </c>
      <c r="AI98" s="25" t="str">
        <f>IF(tblData[New South Wales]&gt;0,SUM(tblData[[#This Row],[Australian Capital Territory]:[Western Australia]]),"")</f>
        <v/>
      </c>
      <c r="AJ98" s="12" t="str">
        <f>IF(ISNUMBER(tblData[Au]),tblData[Au]/$AE$9,"")</f>
        <v/>
      </c>
      <c r="AK98" s="41">
        <f>IF(ISNUMBER(tblData[[#This Row],[Day'# Aust]]),betaAu/(deltaAu+betaPodeltaAu*EXP(-betaAu*tblData[[#This Row],[Day'# Aust]])),"")</f>
        <v>7036.4105996668532</v>
      </c>
      <c r="AL98" s="67">
        <f>IF(ISNUMBER(tblData[Day'# Aust]),tblData[Au LogiP(t)]/$AJ$9,"")</f>
        <v>2774.1722913053354</v>
      </c>
      <c r="AM98" s="11" t="str">
        <f>IF(AND(tblData[Date]&gt;=StartDt2Au,ISNUMBER(tblData[NSW])),(tblData[[#This Row],[Au LogiP(t)]]-tblData[[#This Row],[Au]])^2,"")</f>
        <v/>
      </c>
      <c r="AN98">
        <f>IF(tblData[Date]&gt;StartDt2NSW,tblData[Date]-StartDt2NSW,"")</f>
        <v>180</v>
      </c>
      <c r="AO98" s="25" t="str">
        <f t="shared" si="7"/>
        <v/>
      </c>
      <c r="AP98" s="11">
        <f>IF(tblData[Date]&gt;StartDt2NSW,betaNSW/(deltaNSW+betaPodeltaNSW*EXP(-betaNSW*tblData[[#This Row],[Day '# NSW]])),"")</f>
        <v>9599.8215437328217</v>
      </c>
      <c r="AQ98" s="12" t="str">
        <f>IF(AND(ISNUMBER(tblData[NSW]),tblData[Date]&gt;StartDt2NSW),(tblData[[#This Row],[NSW LogiP(t)]]-tblData[[#This Row],[NSW]])^2,"")</f>
        <v/>
      </c>
      <c r="AR98" s="41">
        <f>IF(AND(tblData[Date]&gt;StartDt2NSW,ISNUMBER(tblData[Day'# Aust])),tblData[NSW LogiP(t)]/$AQ$9,"")</f>
        <v>11880.967257095075</v>
      </c>
      <c r="AS98" s="11">
        <f>IF(AND(tblData[Date]&gt;StartDt2Italy,ISNUMBER(tblData[Days'# Italy])),betaItaly/(deltaItaly+betaPodeltaItaly*EXP(-betaItaly*tblData[Days'# Italy])),"")</f>
        <v>76058.3974704539</v>
      </c>
      <c r="AT98" s="11" t="str">
        <f>IF(AND(tblData[Date]&gt;StartDt2Italy,ISNUMBER(tblData[Italy])),(tblData[[#This Row],[Italy LogiP(t)]]-tblData[[#This Row],[Italy]])^2,"")</f>
        <v/>
      </c>
      <c r="AU98" s="41">
        <f>IF(AND(tblData[Date]&gt;StartDt2Italy,ISNUMBER(tblData[Days'# Italy])),tblData[[#This Row],[Italy LogiP(t)]]/$AT$9,"")</f>
        <v>12574.753653046855</v>
      </c>
      <c r="AV98" s="20">
        <f>IF(ISNUMBER(tblData[[#This Row],[Days'# US]]),betaUS/(deltaUS+betaPodeltaUS*EXP(-betaUS*tblData[Days'# US])),"")</f>
        <v>187367.55385189274</v>
      </c>
      <c r="AW98" s="11" t="str">
        <f>IF(AND(tblData[Date]&gt;=StartDt2US,ISNUMBER(tblData[US])),(tblData[[#This Row],[US LogiP(t)]]-tblData[US])^2,"")</f>
        <v/>
      </c>
      <c r="AX98" s="20">
        <f>IF(ISNUMBER(tblData[[#This Row],[Days'# US]]),tblData[[#This Row],[US LogiP(t)]]/$AW$9,"")</f>
        <v>5691.1228208540097</v>
      </c>
      <c r="AY98" s="20">
        <f>IF(tblData[Date]&gt;=StartDt2Korea,betaSKorea/(deltaSKorea+betaPodeltaSKorea*EXP(-betaSKorea*(tblData[Date]-StartDt2Korea))),"")</f>
        <v>8607.5560837730773</v>
      </c>
      <c r="AZ98" s="20" t="str">
        <f>IF(AND(tblData[Date]&gt;=StartDt2Korea,ISNUMBER(tblData[SKorea])),(tblData[[#This Row],[SKorea LogiP(t)]]-tblData[[#This Row],[SKorea]])^2,"")</f>
        <v/>
      </c>
      <c r="BA98" s="20">
        <f>IF(tblData[Date]&gt;=StartDt2Korea,tblData[[#This Row],[SKorea LogiP(t)]]/$AZ$9,"")</f>
        <v>1674.6218061815327</v>
      </c>
      <c r="BB98" s="79">
        <f>IF(ISNUMBER(tblData[Days'# UK]),betaUK/(deltaUK+betaPodeltaUK*EXP(-betaUK*tblData[Days'# UK])),"")</f>
        <v>22028.341869448221</v>
      </c>
      <c r="BC98" s="79" t="str">
        <f>IF(ISNUMBER(tblData[UK]),(tblData[[#This Row],[UK LogiP(t)]]-tblData[[#This Row],[UK]])^2,"")</f>
        <v/>
      </c>
      <c r="BD98" s="79">
        <f>IF(ISNUMBER(tblData[Days'# UK]),tblData[[#This Row],[UK LogiP(t)]]/$BC$9,"")</f>
        <v>3315.5240622288111</v>
      </c>
      <c r="BE98" s="11">
        <f>IF(ISNUMBER(tblData[Days'# China]),betaChina/(deltaChina+betaPodeltaChina*EXP(-betaChina*tblData[Days'# China])),"")</f>
        <v>81015.961191981085</v>
      </c>
      <c r="BF98" s="11" t="str">
        <f>IF(ISNUMBER(tblData[China]),(tblData[[#This Row],[China LogiP(t)]]-tblData[[#This Row],[China]])^2,"")</f>
        <v/>
      </c>
      <c r="BG98" s="11">
        <f>tblData[[#This Row],[China LogiP(t)]]/$BF$9</f>
        <v>562.87516778977385</v>
      </c>
      <c r="BH98" s="11">
        <f>IF(ISNUMBER(tblData[Day'# Singapore]),betaSingapore/(deltaSingapore+betaPodeltaSingapore*EXP(-betaSingapore*tblData[Day'# Singapore])),"")</f>
        <v>4309892.2444537571</v>
      </c>
      <c r="BI98" s="11" t="str">
        <f>IF(AND(ISNUMBER(tblData[Singapore]),tblData[Date]&gt;=StartDt2Singapore),(tblData[[#This Row],[Singapore LogiP(t)]]-tblData[[#This Row],[Singapore]])^2,"")</f>
        <v/>
      </c>
      <c r="BJ98" s="11">
        <f>IF(ISNUMBER(tblData[Day'# Singapore]),tblData[Singapore LogiP(t)]/$BI$9,"")</f>
        <v>7367337.1700064223</v>
      </c>
      <c r="BK98" s="11">
        <f>IF(ISNUMBER(tblData[Day'# Generic]),betaGeneric/(deltaGeneric+betaPodeltaGeneric*EXP(-betaGeneric*tblData[Day'# Generic])),"")</f>
        <v>67309.099344964634</v>
      </c>
      <c r="BL98" s="11" t="str">
        <f>IF(AND(ISNUMBER(tblData[Generic]),tblData[Date]&gt;=StartDt2Generic),(tblData[Generic LogiP(t)]-tblData[[#This Row],[Generic]])^2,"")</f>
        <v/>
      </c>
      <c r="BM98" s="11">
        <f>IF(ISNUMBER(tblData[Day'# Generic]),tblData[Generic LogiP(t)]/$BL$9,"")</f>
        <v>11505.828947857202</v>
      </c>
      <c r="BN98" s="11"/>
      <c r="BO98" s="11"/>
      <c r="BP98" s="11" t="str">
        <f>IF(ISNUMBER(tblData[[#This Row],[Tests]]),tblData[[#This Row],[Tests]]-BP97,"")</f>
        <v/>
      </c>
      <c r="BQ98" s="11" t="str">
        <f>IF(ISNUMBER(tblData[[#This Row],[NSW Under Investigation'']]),tblData[[#This Row],[NSW Under Investigation'']]-BO97,"")</f>
        <v/>
      </c>
      <c r="BR98" s="11">
        <f>IF(tblData[[#This Row],[Date]]&gt;myData!TestsStart,tblData[[#This Row],[Date]]-myData!TestsStart,"")</f>
        <v>140</v>
      </c>
      <c r="BS98" s="11">
        <f>IF(AND(tblData[[#This Row],[NSW Test Day Number]]&gt;0,ISNUMBER(tblData[[#This Row],[NSW Test Day Number]])),betaTests/(deltaTests+betaPodeltaTests*EXP(-betaTests*tblData[[#This Row],[NSW Test Day Number]])),"")</f>
        <v>107543.02659287107</v>
      </c>
      <c r="BT98" s="11" t="str">
        <f>IF(tblData[Tests]&gt;0,(tblData[[#This Row],[Tests]]-tblData[[#This Row],[NSW Test Logi]])^2,"")</f>
        <v/>
      </c>
      <c r="BU98" s="11" t="str">
        <f>IF(ISNUMBER(tblData[Tests]),tblData[Tests]/$BS$9/100,"")</f>
        <v/>
      </c>
      <c r="BV98" s="124">
        <f ca="1">IF(AND(tblData[[#This Row],[NSW Test Day Number]]&gt;0,ISNUMBER(tblData[[#This Row],[NSW Test Day Number]])),TestsLogestB*TestsLogestM^tblData[[#This Row],[NSW Test Day Number]],"")</f>
        <v>829772559821.40173</v>
      </c>
      <c r="BW98" s="11" t="str">
        <f>IF(AND(tblData[[#This Row],[NSW Test Day Number]]&gt;0,ISNUMBER(tblData[Tests])),(tblData[Tests]-tblData[[#This Row],[NSW Test Per Capita]])^2,"")</f>
        <v/>
      </c>
      <c r="BX98" s="124"/>
      <c r="BY98" s="11"/>
      <c r="BZ98"/>
      <c r="CB98" s="25"/>
      <c r="CD98" s="25"/>
      <c r="CK98"/>
      <c r="CL98"/>
      <c r="CO98" s="25"/>
      <c r="CZ98" s="25"/>
      <c r="DA98" s="25"/>
      <c r="DC98"/>
      <c r="DD98"/>
      <c r="DG98" s="25"/>
      <c r="DH98" s="25"/>
      <c r="DV98"/>
      <c r="DW98"/>
      <c r="DX98"/>
      <c r="DY98" t="s">
        <v>176</v>
      </c>
      <c r="DZ98" s="76">
        <v>43912.32671296296</v>
      </c>
      <c r="EA98" s="26">
        <v>43852</v>
      </c>
      <c r="EB98" s="26">
        <v>43852</v>
      </c>
      <c r="EC98">
        <v>4</v>
      </c>
      <c r="ED98">
        <v>0.2221429979133962</v>
      </c>
      <c r="EE98" s="79">
        <v>2.7441363716222279E-6</v>
      </c>
      <c r="EF98">
        <v>1537.6493038446686</v>
      </c>
      <c r="EG98" s="96">
        <v>80951.879873985206</v>
      </c>
      <c r="EH98">
        <v>2077.0848925572823</v>
      </c>
      <c r="EI98">
        <v>1.4172508515890487E-4</v>
      </c>
      <c r="EJ98" s="98">
        <v>2.7441363716222281E-3</v>
      </c>
      <c r="EK98" s="26">
        <v>43911</v>
      </c>
      <c r="EL98" t="s">
        <v>1051</v>
      </c>
      <c r="EM98" s="25"/>
      <c r="EN98" s="98">
        <v>81304</v>
      </c>
      <c r="EO98" t="s">
        <v>686</v>
      </c>
      <c r="EP98" s="26">
        <v>43911</v>
      </c>
      <c r="EQ98" s="25">
        <v>60</v>
      </c>
      <c r="ER98" t="s">
        <v>1050</v>
      </c>
      <c r="ET98" t="s">
        <v>688</v>
      </c>
      <c r="EV98" t="s">
        <v>1096</v>
      </c>
      <c r="EW98">
        <v>564.87637705777752</v>
      </c>
      <c r="EX98" s="82">
        <v>43886</v>
      </c>
      <c r="EY98" s="25">
        <v>25</v>
      </c>
      <c r="EZ98" s="82">
        <v>43875</v>
      </c>
      <c r="FA98">
        <v>37</v>
      </c>
      <c r="FC98" s="25"/>
    </row>
    <row r="99" spans="2:195" x14ac:dyDescent="0.25">
      <c r="B99" s="26">
        <f t="shared" si="9"/>
        <v>44042</v>
      </c>
      <c r="D99" s="25"/>
      <c r="L99" s="12" t="str">
        <f>IF(ISNUMBER(tblData[[#This Row],[NSW]]),tblData[[#This Row],[New South Wales]]/$L$9,"")</f>
        <v/>
      </c>
      <c r="M99" s="25"/>
      <c r="N99" s="46" t="str">
        <f>IF(ISNUMBER(tblData[Italy]),tblData[Italy]/$N$9,"")</f>
        <v/>
      </c>
      <c r="O99" s="25"/>
      <c r="P99" s="124" t="str">
        <f>IF(ISNUMBER(tblData[US]),tblData[US]/$P$9,"")</f>
        <v/>
      </c>
      <c r="Q99" s="46"/>
      <c r="R99" s="19" t="str">
        <f>IF(ISNUMBER(tblData[SKorea]),tblData[SKorea]/$R$9,"")</f>
        <v/>
      </c>
      <c r="S99" s="46"/>
      <c r="T99" s="12" t="str">
        <f>IF(ISNUMBER(tblData[UK]),tblData[UK]/$T$9,"")</f>
        <v/>
      </c>
      <c r="U99" s="25"/>
      <c r="V99" s="20" t="str">
        <f>IF(ISNUMBER(tblData[China]),tblData[China]/$V$9,"")</f>
        <v/>
      </c>
      <c r="W99" s="20"/>
      <c r="X99" s="20" t="str">
        <f>IF(ISNUMBER(tblData[Singapore]),tblData[Singapore]/$X$9,"")</f>
        <v/>
      </c>
      <c r="Y99" s="20"/>
      <c r="Z99" s="20" t="str">
        <f>IF(AND(LEN(tblData[Generic])&gt;0,ISNUMBER(tblData[Generic])),tblData[Generic]/$Z$9,"")</f>
        <v/>
      </c>
      <c r="AA99" s="25">
        <f>IF(tblData[[#This Row],[Date]]&lt;ItalyStart,"",tblData[[#This Row],[Date]]-ItalyStart)</f>
        <v>182</v>
      </c>
      <c r="AB99" s="25">
        <f>IF(tblData[[#This Row],[Date]]&lt;USStart,"",tblData[[#This Row],[Date]]-USStart)</f>
        <v>190</v>
      </c>
      <c r="AC99" s="25">
        <f>IF(tblData[[#This Row],[Date]]&lt;ChinaStart,"",tblData[[#This Row],[Date]]-ChinaStart)</f>
        <v>190</v>
      </c>
      <c r="AD99" s="25">
        <f>IF(tblData[[#This Row],[Date]]&lt;StartDt2Korea,"",tblData[[#This Row],[Date]]-StartDt2Korea)</f>
        <v>162</v>
      </c>
      <c r="AE99" s="25">
        <f>IF(tblData[[#This Row],[Date]]&lt;UKStart,"",tblData[[#This Row],[Date]]-UKStart)</f>
        <v>182</v>
      </c>
      <c r="AF99" s="25">
        <f>IF(tblData[[#This Row],[Date]]&lt;SingaporeStart,"",tblData[[#This Row],[Date]]-SingaporeStart)</f>
        <v>189</v>
      </c>
      <c r="AG99" s="25">
        <f>IF(tblData[[#This Row],[Date]]&lt;GenStart,"",tblData[[#This Row],[Date]]-GenStart)</f>
        <v>190</v>
      </c>
      <c r="AH99">
        <f>IF(tblData[Date]&gt;=StartDt2Au,tblData[Date]-StartDt2Au,"")</f>
        <v>187</v>
      </c>
      <c r="AI99" s="25" t="str">
        <f>IF(tblData[New South Wales]&gt;0,SUM(tblData[[#This Row],[Australian Capital Territory]:[Western Australia]]),"")</f>
        <v/>
      </c>
      <c r="AJ99" s="12" t="str">
        <f>IF(ISNUMBER(tblData[Au]),tblData[Au]/$AE$9,"")</f>
        <v/>
      </c>
      <c r="AK99" s="41">
        <f>IF(ISNUMBER(tblData[[#This Row],[Day'# Aust]]),betaAu/(deltaAu+betaPodeltaAu*EXP(-betaAu*tblData[[#This Row],[Day'# Aust]])),"")</f>
        <v>7036.4105996676735</v>
      </c>
      <c r="AL99" s="67">
        <f>IF(ISNUMBER(tblData[Day'# Aust]),tblData[Au LogiP(t)]/$AJ$9,"")</f>
        <v>2774.1722913056592</v>
      </c>
      <c r="AM99" s="11" t="str">
        <f>IF(AND(tblData[Date]&gt;=StartDt2Au,ISNUMBER(tblData[NSW])),(tblData[[#This Row],[Au LogiP(t)]]-tblData[[#This Row],[Au]])^2,"")</f>
        <v/>
      </c>
      <c r="AN99">
        <f>IF(tblData[Date]&gt;StartDt2NSW,tblData[Date]-StartDt2NSW,"")</f>
        <v>187</v>
      </c>
      <c r="AO99" s="25" t="str">
        <f t="shared" si="7"/>
        <v/>
      </c>
      <c r="AP99" s="11">
        <f>IF(tblData[Date]&gt;StartDt2NSW,betaNSW/(deltaNSW+betaPodeltaNSW*EXP(-betaNSW*tblData[[#This Row],[Day '# NSW]])),"")</f>
        <v>9599.8215445747337</v>
      </c>
      <c r="AQ99" s="12" t="str">
        <f>IF(AND(ISNUMBER(tblData[NSW]),tblData[Date]&gt;StartDt2NSW),(tblData[[#This Row],[NSW LogiP(t)]]-tblData[[#This Row],[NSW]])^2,"")</f>
        <v/>
      </c>
      <c r="AR99" s="41">
        <f>IF(AND(tblData[Date]&gt;StartDt2NSW,ISNUMBER(tblData[Day'# Aust])),tblData[NSW LogiP(t)]/$AQ$9,"")</f>
        <v>11880.967258137045</v>
      </c>
      <c r="AS99" s="11">
        <f>IF(AND(tblData[Date]&gt;StartDt2Italy,ISNUMBER(tblData[Days'# Italy])),betaItaly/(deltaItaly+betaPodeltaItaly*EXP(-betaItaly*tblData[Days'# Italy])),"")</f>
        <v>76058.397470454191</v>
      </c>
      <c r="AT99" s="11" t="str">
        <f>IF(AND(tblData[Date]&gt;StartDt2Italy,ISNUMBER(tblData[Italy])),(tblData[[#This Row],[Italy LogiP(t)]]-tblData[[#This Row],[Italy]])^2,"")</f>
        <v/>
      </c>
      <c r="AU99" s="41">
        <f>IF(AND(tblData[Date]&gt;StartDt2Italy,ISNUMBER(tblData[Days'# Italy])),tblData[[#This Row],[Italy LogiP(t)]]/$AT$9,"")</f>
        <v>12574.753653046902</v>
      </c>
      <c r="AV99" s="20">
        <f>IF(ISNUMBER(tblData[[#This Row],[Days'# US]]),betaUS/(deltaUS+betaPodeltaUS*EXP(-betaUS*tblData[Days'# US])),"")</f>
        <v>187367.5538518939</v>
      </c>
      <c r="AW99" s="11" t="str">
        <f>IF(AND(tblData[Date]&gt;=StartDt2US,ISNUMBER(tblData[US])),(tblData[[#This Row],[US LogiP(t)]]-tblData[US])^2,"")</f>
        <v/>
      </c>
      <c r="AX99" s="20">
        <f>IF(ISNUMBER(tblData[[#This Row],[Days'# US]]),tblData[[#This Row],[US LogiP(t)]]/$AW$9,"")</f>
        <v>5691.1228208540451</v>
      </c>
      <c r="AY99" s="20">
        <f>IF(tblData[Date]&gt;=StartDt2Korea,betaSKorea/(deltaSKorea+betaPodeltaSKorea*EXP(-betaSKorea*(tblData[Date]-StartDt2Korea))),"")</f>
        <v>8607.5560837730773</v>
      </c>
      <c r="AZ99" s="20" t="str">
        <f>IF(AND(tblData[Date]&gt;=StartDt2Korea,ISNUMBER(tblData[SKorea])),(tblData[[#This Row],[SKorea LogiP(t)]]-tblData[[#This Row],[SKorea]])^2,"")</f>
        <v/>
      </c>
      <c r="BA99" s="20">
        <f>IF(tblData[Date]&gt;=StartDt2Korea,tblData[[#This Row],[SKorea LogiP(t)]]/$AZ$9,"")</f>
        <v>1674.6218061815327</v>
      </c>
      <c r="BB99" s="79">
        <f>IF(ISNUMBER(tblData[Days'# UK]),betaUK/(deltaUK+betaPodeltaUK*EXP(-betaUK*tblData[Days'# UK])),"")</f>
        <v>22028.341869459338</v>
      </c>
      <c r="BC99" s="79" t="str">
        <f>IF(ISNUMBER(tblData[UK]),(tblData[[#This Row],[UK LogiP(t)]]-tblData[[#This Row],[UK]])^2,"")</f>
        <v/>
      </c>
      <c r="BD99" s="79">
        <f>IF(ISNUMBER(tblData[Days'# UK]),tblData[[#This Row],[UK LogiP(t)]]/$BC$9,"")</f>
        <v>3315.5240622304846</v>
      </c>
      <c r="BE99" s="11">
        <f>IF(ISNUMBER(tblData[Days'# China]),betaChina/(deltaChina+betaPodeltaChina*EXP(-betaChina*tblData[Days'# China])),"")</f>
        <v>81015.961191981085</v>
      </c>
      <c r="BF99" s="11" t="str">
        <f>IF(ISNUMBER(tblData[China]),(tblData[[#This Row],[China LogiP(t)]]-tblData[[#This Row],[China]])^2,"")</f>
        <v/>
      </c>
      <c r="BG99" s="11">
        <f>tblData[[#This Row],[China LogiP(t)]]/$BF$9</f>
        <v>562.87516778977385</v>
      </c>
      <c r="BH99" s="11">
        <f>IF(ISNUMBER(tblData[Day'# Singapore]),betaSingapore/(deltaSingapore+betaPodeltaSingapore*EXP(-betaSingapore*tblData[Day'# Singapore])),"")</f>
        <v>7258806.8080084771</v>
      </c>
      <c r="BI99" s="11" t="str">
        <f>IF(AND(ISNUMBER(tblData[Singapore]),tblData[Date]&gt;=StartDt2Singapore),(tblData[[#This Row],[Singapore LogiP(t)]]-tblData[[#This Row],[Singapore]])^2,"")</f>
        <v/>
      </c>
      <c r="BJ99" s="11">
        <f>IF(ISNUMBER(tblData[Day'# Singapore]),tblData[Singapore LogiP(t)]/$BI$9,"")</f>
        <v>12408216.765826458</v>
      </c>
      <c r="BK99" s="11">
        <f>IF(ISNUMBER(tblData[Day'# Generic]),betaGeneric/(deltaGeneric+betaPodeltaGeneric*EXP(-betaGeneric*tblData[Day'# Generic])),"")</f>
        <v>67309.099344964648</v>
      </c>
      <c r="BL99" s="11" t="str">
        <f>IF(AND(ISNUMBER(tblData[Generic]),tblData[Date]&gt;=StartDt2Generic),(tblData[Generic LogiP(t)]-tblData[[#This Row],[Generic]])^2,"")</f>
        <v/>
      </c>
      <c r="BM99" s="11">
        <f>IF(ISNUMBER(tblData[Day'# Generic]),tblData[Generic LogiP(t)]/$BL$9,"")</f>
        <v>11505.828947857206</v>
      </c>
      <c r="BN99" s="11"/>
      <c r="BO99" s="11"/>
      <c r="BP99" s="11" t="str">
        <f>IF(ISNUMBER(tblData[[#This Row],[Tests]]),tblData[[#This Row],[Tests]]-BP98,"")</f>
        <v/>
      </c>
      <c r="BQ99" s="11" t="str">
        <f>IF(ISNUMBER(tblData[[#This Row],[NSW Under Investigation'']]),tblData[[#This Row],[NSW Under Investigation'']]-BO98,"")</f>
        <v/>
      </c>
      <c r="BR99" s="11">
        <f>IF(tblData[[#This Row],[Date]]&gt;myData!TestsStart,tblData[[#This Row],[Date]]-myData!TestsStart,"")</f>
        <v>147</v>
      </c>
      <c r="BS99" s="11">
        <f>IF(AND(tblData[[#This Row],[NSW Test Day Number]]&gt;0,ISNUMBER(tblData[[#This Row],[NSW Test Day Number]])),betaTests/(deltaTests+betaPodeltaTests*EXP(-betaTests*tblData[[#This Row],[NSW Test Day Number]])),"")</f>
        <v>107543.02659423069</v>
      </c>
      <c r="BT99" s="11" t="str">
        <f>IF(tblData[Tests]&gt;0,(tblData[[#This Row],[Tests]]-tblData[[#This Row],[NSW Test Logi]])^2,"")</f>
        <v/>
      </c>
      <c r="BU99" s="11" t="str">
        <f>IF(ISNUMBER(tblData[Tests]),tblData[Tests]/$BS$9/100,"")</f>
        <v/>
      </c>
      <c r="BV99" s="124">
        <f ca="1">IF(AND(tblData[[#This Row],[NSW Test Day Number]]&gt;0,ISNUMBER(tblData[[#This Row],[NSW Test Day Number]])),TestsLogestB*TestsLogestM^tblData[[#This Row],[NSW Test Day Number]],"")</f>
        <v>2136341268328.8962</v>
      </c>
      <c r="BW99" s="11" t="str">
        <f>IF(AND(tblData[[#This Row],[NSW Test Day Number]]&gt;0,ISNUMBER(tblData[Tests])),(tblData[Tests]-tblData[[#This Row],[NSW Test Per Capita]])^2,"")</f>
        <v/>
      </c>
      <c r="BX99" s="124"/>
      <c r="BY99" s="11"/>
      <c r="BZ99"/>
      <c r="CB99" s="25"/>
      <c r="CD99" s="25"/>
      <c r="CK99"/>
      <c r="CL99"/>
      <c r="CO99" s="25"/>
      <c r="CZ99" s="25"/>
      <c r="DA99" s="25"/>
      <c r="DC99"/>
      <c r="DD99"/>
      <c r="DG99" s="25"/>
      <c r="DH99" s="25"/>
      <c r="DV99"/>
      <c r="DW99"/>
      <c r="DX99"/>
      <c r="DY99" t="s">
        <v>176</v>
      </c>
      <c r="DZ99" s="76">
        <v>43912.588449074072</v>
      </c>
      <c r="EA99" s="26">
        <v>43852</v>
      </c>
      <c r="EB99" s="26">
        <v>43852</v>
      </c>
      <c r="EC99">
        <v>4</v>
      </c>
      <c r="ED99">
        <v>0.2221429979133962</v>
      </c>
      <c r="EE99" s="79">
        <v>2.744135355706393E-6</v>
      </c>
      <c r="EF99">
        <v>1537.6493038446686</v>
      </c>
      <c r="EG99" s="96">
        <v>80951.909843460453</v>
      </c>
      <c r="EH99">
        <v>2077.087790047718</v>
      </c>
      <c r="EI99">
        <v>1.4172508617482069E-4</v>
      </c>
      <c r="EJ99" s="98">
        <v>2.7441353557063931E-3</v>
      </c>
      <c r="EK99" s="26">
        <v>43911</v>
      </c>
      <c r="EL99" t="s">
        <v>1051</v>
      </c>
      <c r="EM99" s="25"/>
      <c r="EN99" s="98">
        <v>81305</v>
      </c>
      <c r="EO99" t="s">
        <v>686</v>
      </c>
      <c r="EP99" s="26">
        <v>43911</v>
      </c>
      <c r="EQ99" s="25">
        <v>60</v>
      </c>
      <c r="ER99" t="s">
        <v>1050</v>
      </c>
      <c r="ET99" t="s">
        <v>688</v>
      </c>
      <c r="EV99" t="s">
        <v>1096</v>
      </c>
      <c r="EW99">
        <v>564.88332476486516</v>
      </c>
      <c r="EX99" s="82">
        <v>43912</v>
      </c>
      <c r="EY99" s="25">
        <v>0</v>
      </c>
      <c r="EZ99" s="82">
        <v>43878</v>
      </c>
      <c r="FA99">
        <v>34</v>
      </c>
      <c r="FC99" s="25"/>
    </row>
    <row r="100" spans="2:195" x14ac:dyDescent="0.25">
      <c r="B100" s="26">
        <f t="shared" si="9"/>
        <v>44049</v>
      </c>
      <c r="D100" s="25"/>
      <c r="L100" s="12" t="str">
        <f>IF(ISNUMBER(tblData[[#This Row],[NSW]]),tblData[[#This Row],[New South Wales]]/$L$9,"")</f>
        <v/>
      </c>
      <c r="M100" s="25"/>
      <c r="N100" s="46" t="str">
        <f>IF(ISNUMBER(tblData[Italy]),tblData[Italy]/$N$9,"")</f>
        <v/>
      </c>
      <c r="O100" s="25"/>
      <c r="P100" s="124" t="str">
        <f>IF(ISNUMBER(tblData[US]),tblData[US]/$P$9,"")</f>
        <v/>
      </c>
      <c r="Q100" s="46"/>
      <c r="R100" s="19" t="str">
        <f>IF(ISNUMBER(tblData[SKorea]),tblData[SKorea]/$R$9,"")</f>
        <v/>
      </c>
      <c r="S100" s="46"/>
      <c r="T100" s="12" t="str">
        <f>IF(ISNUMBER(tblData[UK]),tblData[UK]/$T$9,"")</f>
        <v/>
      </c>
      <c r="U100" s="25"/>
      <c r="V100" s="20" t="str">
        <f>IF(ISNUMBER(tblData[China]),tblData[China]/$V$9,"")</f>
        <v/>
      </c>
      <c r="W100" s="20"/>
      <c r="X100" s="20" t="str">
        <f>IF(ISNUMBER(tblData[Singapore]),tblData[Singapore]/$X$9,"")</f>
        <v/>
      </c>
      <c r="Y100" s="20"/>
      <c r="Z100" s="20" t="str">
        <f>IF(AND(LEN(tblData[Generic])&gt;0,ISNUMBER(tblData[Generic])),tblData[Generic]/$Z$9,"")</f>
        <v/>
      </c>
      <c r="AA100" s="25">
        <f>IF(tblData[[#This Row],[Date]]&lt;ItalyStart,"",tblData[[#This Row],[Date]]-ItalyStart)</f>
        <v>189</v>
      </c>
      <c r="AB100" s="25">
        <f>IF(tblData[[#This Row],[Date]]&lt;USStart,"",tblData[[#This Row],[Date]]-USStart)</f>
        <v>197</v>
      </c>
      <c r="AC100" s="25">
        <f>IF(tblData[[#This Row],[Date]]&lt;ChinaStart,"",tblData[[#This Row],[Date]]-ChinaStart)</f>
        <v>197</v>
      </c>
      <c r="AD100" s="25">
        <f>IF(tblData[[#This Row],[Date]]&lt;StartDt2Korea,"",tblData[[#This Row],[Date]]-StartDt2Korea)</f>
        <v>169</v>
      </c>
      <c r="AE100" s="25">
        <f>IF(tblData[[#This Row],[Date]]&lt;UKStart,"",tblData[[#This Row],[Date]]-UKStart)</f>
        <v>189</v>
      </c>
      <c r="AF100" s="25">
        <f>IF(tblData[[#This Row],[Date]]&lt;SingaporeStart,"",tblData[[#This Row],[Date]]-SingaporeStart)</f>
        <v>196</v>
      </c>
      <c r="AG100" s="25">
        <f>IF(tblData[[#This Row],[Date]]&lt;GenStart,"",tblData[[#This Row],[Date]]-GenStart)</f>
        <v>197</v>
      </c>
      <c r="AH100">
        <f>IF(tblData[Date]&gt;=StartDt2Au,tblData[Date]-StartDt2Au,"")</f>
        <v>194</v>
      </c>
      <c r="AI100" s="25" t="str">
        <f>IF(tblData[New South Wales]&gt;0,SUM(tblData[[#This Row],[Australian Capital Territory]:[Western Australia]]),"")</f>
        <v/>
      </c>
      <c r="AJ100" s="12" t="str">
        <f>IF(ISNUMBER(tblData[Au]),tblData[Au]/$AE$9,"")</f>
        <v/>
      </c>
      <c r="AK100" s="41">
        <f>IF(ISNUMBER(tblData[[#This Row],[Day'# Aust]]),betaAu/(deltaAu+betaPodeltaAu*EXP(-betaAu*tblData[[#This Row],[Day'# Aust]])),"")</f>
        <v>7036.4105996678145</v>
      </c>
      <c r="AL100" s="67">
        <f>IF(ISNUMBER(tblData[Day'# Aust]),tblData[Au LogiP(t)]/$AJ$9,"")</f>
        <v>2774.1722913057147</v>
      </c>
      <c r="AM100" s="11" t="str">
        <f>IF(AND(tblData[Date]&gt;=StartDt2Au,ISNUMBER(tblData[NSW])),(tblData[[#This Row],[Au LogiP(t)]]-tblData[[#This Row],[Au]])^2,"")</f>
        <v/>
      </c>
      <c r="AN100">
        <f>IF(tblData[Date]&gt;StartDt2NSW,tblData[Date]-StartDt2NSW,"")</f>
        <v>194</v>
      </c>
      <c r="AO100" s="25" t="str">
        <f t="shared" si="7"/>
        <v/>
      </c>
      <c r="AP100" s="11">
        <f>IF(tblData[Date]&gt;StartDt2NSW,betaNSW/(deltaNSW+betaPodeltaNSW*EXP(-betaNSW*tblData[[#This Row],[Day '# NSW]])),"")</f>
        <v>9599.8215447702787</v>
      </c>
      <c r="AQ100" s="12" t="str">
        <f>IF(AND(ISNUMBER(tblData[NSW]),tblData[Date]&gt;StartDt2NSW),(tblData[[#This Row],[NSW LogiP(t)]]-tblData[[#This Row],[NSW]])^2,"")</f>
        <v/>
      </c>
      <c r="AR100" s="41">
        <f>IF(AND(tblData[Date]&gt;StartDt2NSW,ISNUMBER(tblData[Day'# Aust])),tblData[NSW LogiP(t)]/$AQ$9,"")</f>
        <v>11880.967258379056</v>
      </c>
      <c r="AS100" s="11">
        <f>IF(AND(tblData[Date]&gt;StartDt2Italy,ISNUMBER(tblData[Days'# Italy])),betaItaly/(deltaItaly+betaPodeltaItaly*EXP(-betaItaly*tblData[Days'# Italy])),"")</f>
        <v>76058.397470454234</v>
      </c>
      <c r="AT100" s="11" t="str">
        <f>IF(AND(tblData[Date]&gt;StartDt2Italy,ISNUMBER(tblData[Italy])),(tblData[[#This Row],[Italy LogiP(t)]]-tblData[[#This Row],[Italy]])^2,"")</f>
        <v/>
      </c>
      <c r="AU100" s="41">
        <f>IF(AND(tblData[Date]&gt;StartDt2Italy,ISNUMBER(tblData[Days'# Italy])),tblData[[#This Row],[Italy LogiP(t)]]/$AT$9,"")</f>
        <v>12574.75365304691</v>
      </c>
      <c r="AV100" s="20">
        <f>IF(ISNUMBER(tblData[[#This Row],[Days'# US]]),betaUS/(deltaUS+betaPodeltaUS*EXP(-betaUS*tblData[Days'# US])),"")</f>
        <v>187367.5538518941</v>
      </c>
      <c r="AW100" s="11" t="str">
        <f>IF(AND(tblData[Date]&gt;=StartDt2US,ISNUMBER(tblData[US])),(tblData[[#This Row],[US LogiP(t)]]-tblData[US])^2,"")</f>
        <v/>
      </c>
      <c r="AX100" s="20">
        <f>IF(ISNUMBER(tblData[[#This Row],[Days'# US]]),tblData[[#This Row],[US LogiP(t)]]/$AW$9,"")</f>
        <v>5691.1228208540515</v>
      </c>
      <c r="AY100" s="20">
        <f>IF(tblData[Date]&gt;=StartDt2Korea,betaSKorea/(deltaSKorea+betaPodeltaSKorea*EXP(-betaSKorea*(tblData[Date]-StartDt2Korea))),"")</f>
        <v>8607.5560837730773</v>
      </c>
      <c r="AZ100" s="20" t="str">
        <f>IF(AND(tblData[Date]&gt;=StartDt2Korea,ISNUMBER(tblData[SKorea])),(tblData[[#This Row],[SKorea LogiP(t)]]-tblData[[#This Row],[SKorea]])^2,"")</f>
        <v/>
      </c>
      <c r="BA100" s="20">
        <f>IF(tblData[Date]&gt;=StartDt2Korea,tblData[[#This Row],[SKorea LogiP(t)]]/$AZ$9,"")</f>
        <v>1674.6218061815327</v>
      </c>
      <c r="BB100" s="79">
        <f>IF(ISNUMBER(tblData[Days'# UK]),betaUK/(deltaUK+betaPodeltaUK*EXP(-betaUK*tblData[Days'# UK])),"")</f>
        <v>22028.341869461448</v>
      </c>
      <c r="BC100" s="79" t="str">
        <f>IF(ISNUMBER(tblData[UK]),(tblData[[#This Row],[UK LogiP(t)]]-tblData[[#This Row],[UK]])^2,"")</f>
        <v/>
      </c>
      <c r="BD100" s="79">
        <f>IF(ISNUMBER(tblData[Days'# UK]),tblData[[#This Row],[UK LogiP(t)]]/$BC$9,"")</f>
        <v>3315.524062230802</v>
      </c>
      <c r="BE100" s="11">
        <f>IF(ISNUMBER(tblData[Days'# China]),betaChina/(deltaChina+betaPodeltaChina*EXP(-betaChina*tblData[Days'# China])),"")</f>
        <v>81015.961191981085</v>
      </c>
      <c r="BF100" s="11" t="str">
        <f>IF(ISNUMBER(tblData[China]),(tblData[[#This Row],[China LogiP(t)]]-tblData[[#This Row],[China]])^2,"")</f>
        <v/>
      </c>
      <c r="BG100" s="11">
        <f>tblData[[#This Row],[China LogiP(t)]]/$BF$9</f>
        <v>562.87516778977385</v>
      </c>
      <c r="BH100" s="11">
        <f>IF(ISNUMBER(tblData[Day'# Singapore]),betaSingapore/(deltaSingapore+betaPodeltaSingapore*EXP(-betaSingapore*tblData[Day'# Singapore])),"")</f>
        <v>12225096.541769601</v>
      </c>
      <c r="BI100" s="11" t="str">
        <f>IF(AND(ISNUMBER(tblData[Singapore]),tblData[Date]&gt;=StartDt2Singapore),(tblData[[#This Row],[Singapore LogiP(t)]]-tblData[[#This Row],[Singapore]])^2,"")</f>
        <v/>
      </c>
      <c r="BJ100" s="11">
        <f>IF(ISNUMBER(tblData[Day'# Singapore]),tblData[Singapore LogiP(t)]/$BI$9,"")</f>
        <v>20897600.926101886</v>
      </c>
      <c r="BK100" s="11">
        <f>IF(ISNUMBER(tblData[Day'# Generic]),betaGeneric/(deltaGeneric+betaPodeltaGeneric*EXP(-betaGeneric*tblData[Day'# Generic])),"")</f>
        <v>67309.099344964648</v>
      </c>
      <c r="BL100" s="11" t="str">
        <f>IF(AND(ISNUMBER(tblData[Generic]),tblData[Date]&gt;=StartDt2Generic),(tblData[Generic LogiP(t)]-tblData[[#This Row],[Generic]])^2,"")</f>
        <v/>
      </c>
      <c r="BM100" s="11">
        <f>IF(ISNUMBER(tblData[Day'# Generic]),tblData[Generic LogiP(t)]/$BL$9,"")</f>
        <v>11505.828947857206</v>
      </c>
      <c r="BN100" s="11"/>
      <c r="BO100" s="11"/>
      <c r="BP100" s="11" t="str">
        <f>IF(ISNUMBER(tblData[[#This Row],[Tests]]),tblData[[#This Row],[Tests]]-BP99,"")</f>
        <v/>
      </c>
      <c r="BQ100" s="11" t="str">
        <f>IF(ISNUMBER(tblData[[#This Row],[NSW Under Investigation'']]),tblData[[#This Row],[NSW Under Investigation'']]-BO99,"")</f>
        <v/>
      </c>
      <c r="BR100" s="11">
        <f>IF(tblData[[#This Row],[Date]]&gt;myData!TestsStart,tblData[[#This Row],[Date]]-myData!TestsStart,"")</f>
        <v>154</v>
      </c>
      <c r="BS100" s="11">
        <f>IF(AND(tblData[[#This Row],[NSW Test Day Number]]&gt;0,ISNUMBER(tblData[[#This Row],[NSW Test Day Number]])),betaTests/(deltaTests+betaPodeltaTests*EXP(-betaTests*tblData[[#This Row],[NSW Test Day Number]])),"")</f>
        <v>107543.02659456038</v>
      </c>
      <c r="BT100" s="11" t="str">
        <f>IF(tblData[Tests]&gt;0,(tblData[[#This Row],[Tests]]-tblData[[#This Row],[NSW Test Logi]])^2,"")</f>
        <v/>
      </c>
      <c r="BU100" s="11" t="str">
        <f>IF(ISNUMBER(tblData[Tests]),tblData[Tests]/$BS$9/100,"")</f>
        <v/>
      </c>
      <c r="BV100" s="124">
        <f ca="1">IF(AND(tblData[[#This Row],[NSW Test Day Number]]&gt;0,ISNUMBER(tblData[[#This Row],[NSW Test Day Number]])),TestsLogestB*TestsLogestM^tblData[[#This Row],[NSW Test Day Number]],"")</f>
        <v>5500246978217.0811</v>
      </c>
      <c r="BW100" s="11" t="str">
        <f>IF(AND(tblData[[#This Row],[NSW Test Day Number]]&gt;0,ISNUMBER(tblData[Tests])),(tblData[Tests]-tblData[[#This Row],[NSW Test Per Capita]])^2,"")</f>
        <v/>
      </c>
      <c r="BX100" s="124"/>
      <c r="BY100" s="11"/>
      <c r="BZ100"/>
      <c r="CB100" s="25"/>
      <c r="CD100" s="25"/>
      <c r="CK100"/>
      <c r="CL100"/>
      <c r="CO100" s="25"/>
      <c r="CZ100" s="25"/>
      <c r="DA100" s="25"/>
      <c r="DC100"/>
      <c r="DD100"/>
      <c r="DG100" s="25"/>
      <c r="DH100" s="25"/>
      <c r="DV100"/>
      <c r="DW100"/>
      <c r="DX100"/>
      <c r="DY100" t="s">
        <v>176</v>
      </c>
      <c r="DZ100" s="76">
        <v>43912.787581018521</v>
      </c>
      <c r="EA100" s="26">
        <v>43852</v>
      </c>
      <c r="EB100" s="26">
        <v>43852</v>
      </c>
      <c r="EC100">
        <v>4</v>
      </c>
      <c r="ED100" s="25">
        <v>0.2221429979133962</v>
      </c>
      <c r="EE100" s="79">
        <v>2.7437387950754286E-6</v>
      </c>
      <c r="EF100" s="25">
        <v>1537.6493038446686</v>
      </c>
      <c r="EG100" s="96">
        <v>80963.610060880164</v>
      </c>
      <c r="EH100" s="25">
        <v>2060.619161619702</v>
      </c>
      <c r="EI100" s="25">
        <v>1.4172548273545167E-4</v>
      </c>
      <c r="EJ100" s="98">
        <v>2.7437387950754286E-3</v>
      </c>
      <c r="EK100" s="26">
        <v>43911</v>
      </c>
      <c r="EL100" s="25" t="s">
        <v>1051</v>
      </c>
      <c r="EM100" s="25">
        <v>80963.609812570081</v>
      </c>
      <c r="EN100" s="98">
        <v>81348</v>
      </c>
      <c r="EO100" t="s">
        <v>1148</v>
      </c>
      <c r="EP100" s="26">
        <v>43912</v>
      </c>
      <c r="EQ100" s="25">
        <v>61</v>
      </c>
      <c r="ER100" s="25" t="s">
        <v>1149</v>
      </c>
      <c r="ET100" t="s">
        <v>1150</v>
      </c>
      <c r="EV100" s="25" t="s">
        <v>1151</v>
      </c>
      <c r="EW100">
        <v>565.18207616963593</v>
      </c>
      <c r="EX100" s="82">
        <v>43912</v>
      </c>
      <c r="EY100" s="25">
        <v>0</v>
      </c>
      <c r="EZ100" s="82">
        <v>43883</v>
      </c>
      <c r="FA100">
        <v>29</v>
      </c>
      <c r="FC100" s="25"/>
    </row>
    <row r="101" spans="2:195" x14ac:dyDescent="0.25">
      <c r="B101" s="26">
        <f t="shared" si="9"/>
        <v>44056</v>
      </c>
      <c r="D101" s="25"/>
      <c r="L101" s="12" t="str">
        <f>IF(ISNUMBER(tblData[[#This Row],[NSW]]),tblData[[#This Row],[New South Wales]]/$L$9,"")</f>
        <v/>
      </c>
      <c r="M101" s="25"/>
      <c r="N101" s="46" t="str">
        <f>IF(ISNUMBER(tblData[Italy]),tblData[Italy]/$N$9,"")</f>
        <v/>
      </c>
      <c r="O101" s="25"/>
      <c r="P101" s="124" t="str">
        <f>IF(ISNUMBER(tblData[US]),tblData[US]/$P$9,"")</f>
        <v/>
      </c>
      <c r="Q101" s="46"/>
      <c r="R101" s="19" t="str">
        <f>IF(ISNUMBER(tblData[SKorea]),tblData[SKorea]/$R$9,"")</f>
        <v/>
      </c>
      <c r="S101" s="46"/>
      <c r="T101" s="12" t="str">
        <f>IF(ISNUMBER(tblData[UK]),tblData[UK]/$T$9,"")</f>
        <v/>
      </c>
      <c r="U101" s="25"/>
      <c r="V101" s="20" t="str">
        <f>IF(ISNUMBER(tblData[China]),tblData[China]/$V$9,"")</f>
        <v/>
      </c>
      <c r="W101" s="20"/>
      <c r="X101" s="20" t="str">
        <f>IF(ISNUMBER(tblData[Singapore]),tblData[Singapore]/$X$9,"")</f>
        <v/>
      </c>
      <c r="Y101" s="20"/>
      <c r="Z101" s="20" t="str">
        <f>IF(AND(LEN(tblData[Generic])&gt;0,ISNUMBER(tblData[Generic])),tblData[Generic]/$Z$9,"")</f>
        <v/>
      </c>
      <c r="AA101" s="25">
        <f>IF(tblData[[#This Row],[Date]]&lt;ItalyStart,"",tblData[[#This Row],[Date]]-ItalyStart)</f>
        <v>196</v>
      </c>
      <c r="AB101" s="25">
        <f>IF(tblData[[#This Row],[Date]]&lt;USStart,"",tblData[[#This Row],[Date]]-USStart)</f>
        <v>204</v>
      </c>
      <c r="AC101" s="25">
        <f>IF(tblData[[#This Row],[Date]]&lt;ChinaStart,"",tblData[[#This Row],[Date]]-ChinaStart)</f>
        <v>204</v>
      </c>
      <c r="AD101" s="25">
        <f>IF(tblData[[#This Row],[Date]]&lt;StartDt2Korea,"",tblData[[#This Row],[Date]]-StartDt2Korea)</f>
        <v>176</v>
      </c>
      <c r="AE101" s="25">
        <f>IF(tblData[[#This Row],[Date]]&lt;UKStart,"",tblData[[#This Row],[Date]]-UKStart)</f>
        <v>196</v>
      </c>
      <c r="AF101" s="25">
        <f>IF(tblData[[#This Row],[Date]]&lt;SingaporeStart,"",tblData[[#This Row],[Date]]-SingaporeStart)</f>
        <v>203</v>
      </c>
      <c r="AG101" s="25">
        <f>IF(tblData[[#This Row],[Date]]&lt;GenStart,"",tblData[[#This Row],[Date]]-GenStart)</f>
        <v>204</v>
      </c>
      <c r="AH101">
        <f>IF(tblData[Date]&gt;=StartDt2Au,tblData[Date]-StartDt2Au,"")</f>
        <v>201</v>
      </c>
      <c r="AI101" s="25" t="str">
        <f>IF(tblData[New South Wales]&gt;0,SUM(tblData[[#This Row],[Australian Capital Territory]:[Western Australia]]),"")</f>
        <v/>
      </c>
      <c r="AJ101" s="12" t="str">
        <f>IF(ISNUMBER(tblData[Au]),tblData[Au]/$AE$9,"")</f>
        <v/>
      </c>
      <c r="AK101" s="41">
        <f>IF(ISNUMBER(tblData[[#This Row],[Day'# Aust]]),betaAu/(deltaAu+betaPodeltaAu*EXP(-betaAu*tblData[[#This Row],[Day'# Aust]])),"")</f>
        <v>7036.4105996678381</v>
      </c>
      <c r="AL101" s="67">
        <f>IF(ISNUMBER(tblData[Day'# Aust]),tblData[Au LogiP(t)]/$AJ$9,"")</f>
        <v>2774.1722913057238</v>
      </c>
      <c r="AM101" s="11" t="str">
        <f>IF(AND(tblData[Date]&gt;=StartDt2Au,ISNUMBER(tblData[NSW])),(tblData[[#This Row],[Au LogiP(t)]]-tblData[[#This Row],[Au]])^2,"")</f>
        <v/>
      </c>
      <c r="AN101">
        <f>IF(tblData[Date]&gt;StartDt2NSW,tblData[Date]-StartDt2NSW,"")</f>
        <v>201</v>
      </c>
      <c r="AO101" s="25" t="str">
        <f t="shared" si="7"/>
        <v/>
      </c>
      <c r="AP101" s="11">
        <f>IF(tblData[Date]&gt;StartDt2NSW,betaNSW/(deltaNSW+betaPodeltaNSW*EXP(-betaNSW*tblData[[#This Row],[Day '# NSW]])),"")</f>
        <v>9599.8215448156952</v>
      </c>
      <c r="AQ101" s="12" t="str">
        <f>IF(AND(ISNUMBER(tblData[NSW]),tblData[Date]&gt;StartDt2NSW),(tblData[[#This Row],[NSW LogiP(t)]]-tblData[[#This Row],[NSW]])^2,"")</f>
        <v/>
      </c>
      <c r="AR101" s="41">
        <f>IF(AND(tblData[Date]&gt;StartDt2NSW,ISNUMBER(tblData[Day'# Aust])),tblData[NSW LogiP(t)]/$AQ$9,"")</f>
        <v>11880.967258435265</v>
      </c>
      <c r="AS101" s="11">
        <f>IF(AND(tblData[Date]&gt;StartDt2Italy,ISNUMBER(tblData[Days'# Italy])),betaItaly/(deltaItaly+betaPodeltaItaly*EXP(-betaItaly*tblData[Days'# Italy])),"")</f>
        <v>76058.397470454249</v>
      </c>
      <c r="AT101" s="11" t="str">
        <f>IF(AND(tblData[Date]&gt;StartDt2Italy,ISNUMBER(tblData[Italy])),(tblData[[#This Row],[Italy LogiP(t)]]-tblData[[#This Row],[Italy]])^2,"")</f>
        <v/>
      </c>
      <c r="AU101" s="41">
        <f>IF(AND(tblData[Date]&gt;StartDt2Italy,ISNUMBER(tblData[Days'# Italy])),tblData[[#This Row],[Italy LogiP(t)]]/$AT$9,"")</f>
        <v>12574.753653046913</v>
      </c>
      <c r="AV101" s="20">
        <f>IF(ISNUMBER(tblData[[#This Row],[Days'# US]]),betaUS/(deltaUS+betaPodeltaUS*EXP(-betaUS*tblData[Days'# US])),"")</f>
        <v>187367.55385189413</v>
      </c>
      <c r="AW101" s="11" t="str">
        <f>IF(AND(tblData[Date]&gt;=StartDt2US,ISNUMBER(tblData[US])),(tblData[[#This Row],[US LogiP(t)]]-tblData[US])^2,"")</f>
        <v/>
      </c>
      <c r="AX101" s="20">
        <f>IF(ISNUMBER(tblData[[#This Row],[Days'# US]]),tblData[[#This Row],[US LogiP(t)]]/$AW$9,"")</f>
        <v>5691.1228208540524</v>
      </c>
      <c r="AY101" s="20">
        <f>IF(tblData[Date]&gt;=StartDt2Korea,betaSKorea/(deltaSKorea+betaPodeltaSKorea*EXP(-betaSKorea*(tblData[Date]-StartDt2Korea))),"")</f>
        <v>8607.5560837730773</v>
      </c>
      <c r="AZ101" s="20" t="str">
        <f>IF(AND(tblData[Date]&gt;=StartDt2Korea,ISNUMBER(tblData[SKorea])),(tblData[[#This Row],[SKorea LogiP(t)]]-tblData[[#This Row],[SKorea]])^2,"")</f>
        <v/>
      </c>
      <c r="BA101" s="20">
        <f>IF(tblData[Date]&gt;=StartDt2Korea,tblData[[#This Row],[SKorea LogiP(t)]]/$AZ$9,"")</f>
        <v>1674.6218061815327</v>
      </c>
      <c r="BB101" s="79">
        <f>IF(ISNUMBER(tblData[Days'# UK]),betaUK/(deltaUK+betaPodeltaUK*EXP(-betaUK*tblData[Days'# UK])),"")</f>
        <v>22028.341869461849</v>
      </c>
      <c r="BC101" s="79" t="str">
        <f>IF(ISNUMBER(tblData[UK]),(tblData[[#This Row],[UK LogiP(t)]]-tblData[[#This Row],[UK]])^2,"")</f>
        <v/>
      </c>
      <c r="BD101" s="79">
        <f>IF(ISNUMBER(tblData[Days'# UK]),tblData[[#This Row],[UK LogiP(t)]]/$BC$9,"")</f>
        <v>3315.524062230862</v>
      </c>
      <c r="BE101" s="11">
        <f>IF(ISNUMBER(tblData[Days'# China]),betaChina/(deltaChina+betaPodeltaChina*EXP(-betaChina*tblData[Days'# China])),"")</f>
        <v>81015.961191981085</v>
      </c>
      <c r="BF101" s="11" t="str">
        <f>IF(ISNUMBER(tblData[China]),(tblData[[#This Row],[China LogiP(t)]]-tblData[[#This Row],[China]])^2,"")</f>
        <v/>
      </c>
      <c r="BG101" s="11">
        <f>tblData[[#This Row],[China LogiP(t)]]/$BF$9</f>
        <v>562.87516778977385</v>
      </c>
      <c r="BH101" s="11">
        <f>IF(ISNUMBER(tblData[Day'# Singapore]),betaSingapore/(deltaSingapore+betaPodeltaSingapore*EXP(-betaSingapore*tblData[Day'# Singapore])),"")</f>
        <v>20588255.165734768</v>
      </c>
      <c r="BI101" s="11" t="str">
        <f>IF(AND(ISNUMBER(tblData[Singapore]),tblData[Date]&gt;=StartDt2Singapore),(tblData[[#This Row],[Singapore LogiP(t)]]-tblData[[#This Row],[Singapore]])^2,"")</f>
        <v/>
      </c>
      <c r="BJ101" s="11">
        <f>IF(ISNUMBER(tblData[Day'# Singapore]),tblData[Singapore LogiP(t)]/$BI$9,"")</f>
        <v>35193598.573905587</v>
      </c>
      <c r="BK101" s="11">
        <f>IF(ISNUMBER(tblData[Day'# Generic]),betaGeneric/(deltaGeneric+betaPodeltaGeneric*EXP(-betaGeneric*tblData[Day'# Generic])),"")</f>
        <v>67309.099344964648</v>
      </c>
      <c r="BL101" s="11" t="str">
        <f>IF(AND(ISNUMBER(tblData[Generic]),tblData[Date]&gt;=StartDt2Generic),(tblData[Generic LogiP(t)]-tblData[[#This Row],[Generic]])^2,"")</f>
        <v/>
      </c>
      <c r="BM101" s="11">
        <f>IF(ISNUMBER(tblData[Day'# Generic]),tblData[Generic LogiP(t)]/$BL$9,"")</f>
        <v>11505.828947857206</v>
      </c>
      <c r="BN101" s="11"/>
      <c r="BO101" s="11"/>
      <c r="BP101" s="11" t="str">
        <f>IF(ISNUMBER(tblData[[#This Row],[Tests]]),tblData[[#This Row],[Tests]]-BP100,"")</f>
        <v/>
      </c>
      <c r="BQ101" s="11" t="str">
        <f>IF(ISNUMBER(tblData[[#This Row],[NSW Under Investigation'']]),tblData[[#This Row],[NSW Under Investigation'']]-BO100,"")</f>
        <v/>
      </c>
      <c r="BR101" s="11">
        <f>IF(tblData[[#This Row],[Date]]&gt;myData!TestsStart,tblData[[#This Row],[Date]]-myData!TestsStart,"")</f>
        <v>161</v>
      </c>
      <c r="BS101" s="11">
        <f>IF(AND(tblData[[#This Row],[NSW Test Day Number]]&gt;0,ISNUMBER(tblData[[#This Row],[NSW Test Day Number]])),betaTests/(deltaTests+betaPodeltaTests*EXP(-betaTests*tblData[[#This Row],[NSW Test Day Number]])),"")</f>
        <v>107543.02659464032</v>
      </c>
      <c r="BT101" s="11" t="str">
        <f>IF(tblData[Tests]&gt;0,(tblData[[#This Row],[Tests]]-tblData[[#This Row],[NSW Test Logi]])^2,"")</f>
        <v/>
      </c>
      <c r="BU101" s="11" t="str">
        <f>IF(ISNUMBER(tblData[Tests]),tblData[Tests]/$BS$9/100,"")</f>
        <v/>
      </c>
      <c r="BV101" s="124">
        <f ca="1">IF(AND(tblData[[#This Row],[NSW Test Day Number]]&gt;0,ISNUMBER(tblData[[#This Row],[NSW Test Day Number]])),TestsLogestB*TestsLogestM^tblData[[#This Row],[NSW Test Day Number]],"")</f>
        <v>14160994439362.502</v>
      </c>
      <c r="BW101" s="11" t="str">
        <f>IF(AND(tblData[[#This Row],[NSW Test Day Number]]&gt;0,ISNUMBER(tblData[Tests])),(tblData[Tests]-tblData[[#This Row],[NSW Test Per Capita]])^2,"")</f>
        <v/>
      </c>
      <c r="BX101" s="124"/>
      <c r="BY101" s="11"/>
      <c r="BZ101"/>
      <c r="CB101" s="25"/>
      <c r="CD101" s="25"/>
      <c r="CK101"/>
      <c r="CL101"/>
      <c r="CO101" s="25"/>
      <c r="CZ101" s="25"/>
      <c r="DA101" s="25"/>
      <c r="DC101"/>
      <c r="DD101"/>
      <c r="DG101" s="25"/>
      <c r="DH101" s="25"/>
      <c r="DV101"/>
      <c r="DW101"/>
      <c r="DX101"/>
      <c r="DY101" s="25" t="s">
        <v>176</v>
      </c>
      <c r="DZ101" s="76">
        <v>43912.862349537034</v>
      </c>
      <c r="EA101" s="26">
        <v>43852</v>
      </c>
      <c r="EB101" s="26">
        <v>43852</v>
      </c>
      <c r="EC101">
        <v>4</v>
      </c>
      <c r="ED101">
        <v>0.2221429979133962</v>
      </c>
      <c r="EE101" s="79">
        <v>2.7437378104594008E-6</v>
      </c>
      <c r="EF101">
        <v>1537.6493038446686</v>
      </c>
      <c r="EG101" s="96">
        <v>80963.639115430429</v>
      </c>
      <c r="EH101" s="25">
        <v>2060.6222776666727</v>
      </c>
      <c r="EI101" s="25">
        <v>1.4172548372006768E-4</v>
      </c>
      <c r="EJ101" s="98">
        <v>2.743737810459401E-3</v>
      </c>
      <c r="EK101" s="26">
        <v>43911</v>
      </c>
      <c r="EL101" t="s">
        <v>1051</v>
      </c>
      <c r="EM101" s="25">
        <v>80963.638867120171</v>
      </c>
      <c r="EN101" s="98">
        <v>81349</v>
      </c>
      <c r="EO101" s="25" t="s">
        <v>1148</v>
      </c>
      <c r="EP101" s="26">
        <v>43912</v>
      </c>
      <c r="EQ101" s="25">
        <v>61</v>
      </c>
      <c r="ER101" t="s">
        <v>1149</v>
      </c>
      <c r="ET101" t="s">
        <v>1150</v>
      </c>
      <c r="EV101" t="s">
        <v>1151</v>
      </c>
      <c r="EW101" s="25">
        <v>565.1890238767237</v>
      </c>
      <c r="EX101" s="82">
        <v>43912</v>
      </c>
      <c r="EY101" s="25">
        <v>0</v>
      </c>
      <c r="EZ101" s="82">
        <v>43883</v>
      </c>
      <c r="FA101">
        <v>29</v>
      </c>
      <c r="FC101" s="25"/>
      <c r="FD101" s="25"/>
      <c r="FE101" s="25"/>
      <c r="FF101" s="25"/>
      <c r="FG101" s="25"/>
      <c r="FH101" s="25"/>
    </row>
    <row r="102" spans="2:195" x14ac:dyDescent="0.25">
      <c r="B102" s="26">
        <f t="shared" si="9"/>
        <v>44063</v>
      </c>
      <c r="D102" s="25"/>
      <c r="L102" s="12" t="str">
        <f>IF(ISNUMBER(tblData[[#This Row],[NSW]]),tblData[[#This Row],[New South Wales]]/$L$9,"")</f>
        <v/>
      </c>
      <c r="M102" s="25"/>
      <c r="N102" s="46" t="str">
        <f>IF(ISNUMBER(tblData[Italy]),tblData[Italy]/$N$9,"")</f>
        <v/>
      </c>
      <c r="O102" s="25"/>
      <c r="P102" s="124" t="str">
        <f>IF(ISNUMBER(tblData[US]),tblData[US]/$P$9,"")</f>
        <v/>
      </c>
      <c r="Q102" s="46"/>
      <c r="R102" s="19" t="str">
        <f>IF(ISNUMBER(tblData[SKorea]),tblData[SKorea]/$R$9,"")</f>
        <v/>
      </c>
      <c r="S102" s="46"/>
      <c r="T102" s="12" t="str">
        <f>IF(ISNUMBER(tblData[UK]),tblData[UK]/$T$9,"")</f>
        <v/>
      </c>
      <c r="U102" s="25"/>
      <c r="V102" s="20" t="str">
        <f>IF(ISNUMBER(tblData[China]),tblData[China]/$V$9,"")</f>
        <v/>
      </c>
      <c r="W102" s="20"/>
      <c r="X102" s="20" t="str">
        <f>IF(ISNUMBER(tblData[Singapore]),tblData[Singapore]/$X$9,"")</f>
        <v/>
      </c>
      <c r="Y102" s="20"/>
      <c r="Z102" s="20" t="str">
        <f>IF(AND(LEN(tblData[Generic])&gt;0,ISNUMBER(tblData[Generic])),tblData[Generic]/$Z$9,"")</f>
        <v/>
      </c>
      <c r="AA102" s="25">
        <f>IF(tblData[[#This Row],[Date]]&lt;ItalyStart,"",tblData[[#This Row],[Date]]-ItalyStart)</f>
        <v>203</v>
      </c>
      <c r="AB102" s="25">
        <f>IF(tblData[[#This Row],[Date]]&lt;USStart,"",tblData[[#This Row],[Date]]-USStart)</f>
        <v>211</v>
      </c>
      <c r="AC102" s="25">
        <f>IF(tblData[[#This Row],[Date]]&lt;ChinaStart,"",tblData[[#This Row],[Date]]-ChinaStart)</f>
        <v>211</v>
      </c>
      <c r="AD102" s="25">
        <f>IF(tblData[[#This Row],[Date]]&lt;StartDt2Korea,"",tblData[[#This Row],[Date]]-StartDt2Korea)</f>
        <v>183</v>
      </c>
      <c r="AE102" s="25">
        <f>IF(tblData[[#This Row],[Date]]&lt;UKStart,"",tblData[[#This Row],[Date]]-UKStart)</f>
        <v>203</v>
      </c>
      <c r="AF102" s="25">
        <f>IF(tblData[[#This Row],[Date]]&lt;SingaporeStart,"",tblData[[#This Row],[Date]]-SingaporeStart)</f>
        <v>210</v>
      </c>
      <c r="AG102" s="25">
        <f>IF(tblData[[#This Row],[Date]]&lt;GenStart,"",tblData[[#This Row],[Date]]-GenStart)</f>
        <v>211</v>
      </c>
      <c r="AH102">
        <f>IF(tblData[Date]&gt;=StartDt2Au,tblData[Date]-StartDt2Au,"")</f>
        <v>208</v>
      </c>
      <c r="AI102" s="25" t="str">
        <f>IF(tblData[New South Wales]&gt;0,SUM(tblData[[#This Row],[Australian Capital Territory]:[Western Australia]]),"")</f>
        <v/>
      </c>
      <c r="AJ102" s="12" t="str">
        <f>IF(ISNUMBER(tblData[Au]),tblData[Au]/$AE$9,"")</f>
        <v/>
      </c>
      <c r="AK102" s="41">
        <f>IF(ISNUMBER(tblData[[#This Row],[Day'# Aust]]),betaAu/(deltaAu+betaPodeltaAu*EXP(-betaAu*tblData[[#This Row],[Day'# Aust]])),"")</f>
        <v>7036.4105996678427</v>
      </c>
      <c r="AL102" s="67">
        <f>IF(ISNUMBER(tblData[Day'# Aust]),tblData[Au LogiP(t)]/$AJ$9,"")</f>
        <v>2774.1722913057256</v>
      </c>
      <c r="AM102" s="11" t="str">
        <f>IF(AND(tblData[Date]&gt;=StartDt2Au,ISNUMBER(tblData[NSW])),(tblData[[#This Row],[Au LogiP(t)]]-tblData[[#This Row],[Au]])^2,"")</f>
        <v/>
      </c>
      <c r="AN102">
        <f>IF(tblData[Date]&gt;StartDt2NSW,tblData[Date]-StartDt2NSW,"")</f>
        <v>208</v>
      </c>
      <c r="AO102" s="25" t="str">
        <f t="shared" si="7"/>
        <v/>
      </c>
      <c r="AP102" s="11">
        <f>IF(tblData[Date]&gt;StartDt2NSW,betaNSW/(deltaNSW+betaPodeltaNSW*EXP(-betaNSW*tblData[[#This Row],[Day '# NSW]])),"")</f>
        <v>9599.8215448262436</v>
      </c>
      <c r="AQ102" s="12" t="str">
        <f>IF(AND(ISNUMBER(tblData[NSW]),tblData[Date]&gt;StartDt2NSW),(tblData[[#This Row],[NSW LogiP(t)]]-tblData[[#This Row],[NSW]])^2,"")</f>
        <v/>
      </c>
      <c r="AR102" s="41">
        <f>IF(AND(tblData[Date]&gt;StartDt2NSW,ISNUMBER(tblData[Day'# Aust])),tblData[NSW LogiP(t)]/$AQ$9,"")</f>
        <v>11880.96725844832</v>
      </c>
      <c r="AS102" s="11">
        <f>IF(AND(tblData[Date]&gt;StartDt2Italy,ISNUMBER(tblData[Days'# Italy])),betaItaly/(deltaItaly+betaPodeltaItaly*EXP(-betaItaly*tblData[Days'# Italy])),"")</f>
        <v>76058.397470454249</v>
      </c>
      <c r="AT102" s="11" t="str">
        <f>IF(AND(tblData[Date]&gt;StartDt2Italy,ISNUMBER(tblData[Italy])),(tblData[[#This Row],[Italy LogiP(t)]]-tblData[[#This Row],[Italy]])^2,"")</f>
        <v/>
      </c>
      <c r="AU102" s="41">
        <f>IF(AND(tblData[Date]&gt;StartDt2Italy,ISNUMBER(tblData[Days'# Italy])),tblData[[#This Row],[Italy LogiP(t)]]/$AT$9,"")</f>
        <v>12574.753653046913</v>
      </c>
      <c r="AV102" s="20">
        <f>IF(ISNUMBER(tblData[[#This Row],[Days'# US]]),betaUS/(deltaUS+betaPodeltaUS*EXP(-betaUS*tblData[Days'# US])),"")</f>
        <v>187367.55385189413</v>
      </c>
      <c r="AW102" s="11" t="str">
        <f>IF(AND(tblData[Date]&gt;=StartDt2US,ISNUMBER(tblData[US])),(tblData[[#This Row],[US LogiP(t)]]-tblData[US])^2,"")</f>
        <v/>
      </c>
      <c r="AX102" s="20">
        <f>IF(ISNUMBER(tblData[[#This Row],[Days'# US]]),tblData[[#This Row],[US LogiP(t)]]/$AW$9,"")</f>
        <v>5691.1228208540524</v>
      </c>
      <c r="AY102" s="20">
        <f>IF(tblData[Date]&gt;=StartDt2Korea,betaSKorea/(deltaSKorea+betaPodeltaSKorea*EXP(-betaSKorea*(tblData[Date]-StartDt2Korea))),"")</f>
        <v>8607.5560837730773</v>
      </c>
      <c r="AZ102" s="20" t="str">
        <f>IF(AND(tblData[Date]&gt;=StartDt2Korea,ISNUMBER(tblData[SKorea])),(tblData[[#This Row],[SKorea LogiP(t)]]-tblData[[#This Row],[SKorea]])^2,"")</f>
        <v/>
      </c>
      <c r="BA102" s="20">
        <f>IF(tblData[Date]&gt;=StartDt2Korea,tblData[[#This Row],[SKorea LogiP(t)]]/$AZ$9,"")</f>
        <v>1674.6218061815327</v>
      </c>
      <c r="BB102" s="79">
        <f>IF(ISNUMBER(tblData[Days'# UK]),betaUK/(deltaUK+betaPodeltaUK*EXP(-betaUK*tblData[Days'# UK])),"")</f>
        <v>22028.341869461925</v>
      </c>
      <c r="BC102" s="79" t="str">
        <f>IF(ISNUMBER(tblData[UK]),(tblData[[#This Row],[UK LogiP(t)]]-tblData[[#This Row],[UK]])^2,"")</f>
        <v/>
      </c>
      <c r="BD102" s="79">
        <f>IF(ISNUMBER(tblData[Days'# UK]),tblData[[#This Row],[UK LogiP(t)]]/$BC$9,"")</f>
        <v>3315.5240622308738</v>
      </c>
      <c r="BE102" s="11">
        <f>IF(ISNUMBER(tblData[Days'# China]),betaChina/(deltaChina+betaPodeltaChina*EXP(-betaChina*tblData[Days'# China])),"")</f>
        <v>81015.961191981085</v>
      </c>
      <c r="BF102" s="11" t="str">
        <f>IF(ISNUMBER(tblData[China]),(tblData[[#This Row],[China LogiP(t)]]-tblData[[#This Row],[China]])^2,"")</f>
        <v/>
      </c>
      <c r="BG102" s="11">
        <f>tblData[[#This Row],[China LogiP(t)]]/$BF$9</f>
        <v>562.87516778977385</v>
      </c>
      <c r="BH102" s="11">
        <f>IF(ISNUMBER(tblData[Day'# Singapore]),betaSingapore/(deltaSingapore+betaPodeltaSingapore*EXP(-betaSingapore*tblData[Day'# Singapore])),"")</f>
        <v>34669966.417771511</v>
      </c>
      <c r="BI102" s="11" t="str">
        <f>IF(AND(ISNUMBER(tblData[Singapore]),tblData[Date]&gt;=StartDt2Singapore),(tblData[[#This Row],[Singapore LogiP(t)]]-tblData[[#This Row],[Singapore]])^2,"")</f>
        <v/>
      </c>
      <c r="BJ102" s="11">
        <f>IF(ISNUMBER(tblData[Day'# Singapore]),tblData[Singapore LogiP(t)]/$BI$9,"")</f>
        <v>59264899.859438486</v>
      </c>
      <c r="BK102" s="11">
        <f>IF(ISNUMBER(tblData[Day'# Generic]),betaGeneric/(deltaGeneric+betaPodeltaGeneric*EXP(-betaGeneric*tblData[Day'# Generic])),"")</f>
        <v>67309.099344964648</v>
      </c>
      <c r="BL102" s="11" t="str">
        <f>IF(AND(ISNUMBER(tblData[Generic]),tblData[Date]&gt;=StartDt2Generic),(tblData[Generic LogiP(t)]-tblData[[#This Row],[Generic]])^2,"")</f>
        <v/>
      </c>
      <c r="BM102" s="11">
        <f>IF(ISNUMBER(tblData[Day'# Generic]),tblData[Generic LogiP(t)]/$BL$9,"")</f>
        <v>11505.828947857206</v>
      </c>
      <c r="BN102" s="11"/>
      <c r="BO102" s="11"/>
      <c r="BP102" s="11" t="str">
        <f>IF(ISNUMBER(tblData[[#This Row],[Tests]]),tblData[[#This Row],[Tests]]-BP101,"")</f>
        <v/>
      </c>
      <c r="BQ102" s="11" t="str">
        <f>IF(ISNUMBER(tblData[[#This Row],[NSW Under Investigation'']]),tblData[[#This Row],[NSW Under Investigation'']]-BO101,"")</f>
        <v/>
      </c>
      <c r="BR102" s="11">
        <f>IF(tblData[[#This Row],[Date]]&gt;myData!TestsStart,tblData[[#This Row],[Date]]-myData!TestsStart,"")</f>
        <v>168</v>
      </c>
      <c r="BS102" s="11">
        <f>IF(AND(tblData[[#This Row],[NSW Test Day Number]]&gt;0,ISNUMBER(tblData[[#This Row],[NSW Test Day Number]])),betaTests/(deltaTests+betaPodeltaTests*EXP(-betaTests*tblData[[#This Row],[NSW Test Day Number]])),"")</f>
        <v>107543.02659465971</v>
      </c>
      <c r="BT102" s="11" t="str">
        <f>IF(tblData[Tests]&gt;0,(tblData[[#This Row],[Tests]]-tblData[[#This Row],[NSW Test Logi]])^2,"")</f>
        <v/>
      </c>
      <c r="BU102" s="11" t="str">
        <f>IF(ISNUMBER(tblData[Tests]),tblData[Tests]/$BS$9/100,"")</f>
        <v/>
      </c>
      <c r="BV102" s="124">
        <f ca="1">IF(AND(tblData[[#This Row],[NSW Test Day Number]]&gt;0,ISNUMBER(tblData[[#This Row],[NSW Test Day Number]])),TestsLogestB*TestsLogestM^tblData[[#This Row],[NSW Test Day Number]],"")</f>
        <v>36459047076584.039</v>
      </c>
      <c r="BW102" s="11" t="str">
        <f>IF(AND(tblData[[#This Row],[NSW Test Day Number]]&gt;0,ISNUMBER(tblData[Tests])),(tblData[Tests]-tblData[[#This Row],[NSW Test Per Capita]])^2,"")</f>
        <v/>
      </c>
      <c r="BX102" s="124"/>
      <c r="BY102" s="11"/>
      <c r="BZ102"/>
      <c r="CB102" s="25"/>
      <c r="CD102" s="25"/>
      <c r="CK102"/>
      <c r="CL102"/>
      <c r="CO102" s="25"/>
      <c r="CZ102" s="25"/>
      <c r="DA102" s="25"/>
      <c r="DC102"/>
      <c r="DD102"/>
      <c r="DG102" s="25"/>
      <c r="DH102" s="25"/>
      <c r="DV102"/>
      <c r="DW102"/>
      <c r="DX102"/>
      <c r="DY102" s="25" t="s">
        <v>176</v>
      </c>
      <c r="DZ102" s="76">
        <v>43913.581712962965</v>
      </c>
      <c r="EA102" s="26">
        <v>43852</v>
      </c>
      <c r="EB102" s="26">
        <v>43852</v>
      </c>
      <c r="EC102">
        <v>4</v>
      </c>
      <c r="ED102">
        <v>0.2221429979133962</v>
      </c>
      <c r="EE102" s="95">
        <v>2.7437378104594008E-6</v>
      </c>
      <c r="EF102">
        <v>1537.6493038446686</v>
      </c>
      <c r="EG102" s="96">
        <v>80963.639115430429</v>
      </c>
      <c r="EH102">
        <v>2077.1062416181903</v>
      </c>
      <c r="EI102">
        <v>1.4172548372006768E-4</v>
      </c>
      <c r="EJ102" s="98">
        <v>2.743737810459401E-3</v>
      </c>
      <c r="EK102" s="26">
        <v>43911</v>
      </c>
      <c r="EL102" t="s">
        <v>1051</v>
      </c>
      <c r="EM102" s="25">
        <v>80963.638867120171</v>
      </c>
      <c r="EN102" s="99">
        <v>81305</v>
      </c>
      <c r="EO102" s="25" t="s">
        <v>1148</v>
      </c>
      <c r="EP102" s="26">
        <v>43911</v>
      </c>
      <c r="EQ102" s="25">
        <v>60</v>
      </c>
      <c r="ER102" t="s">
        <v>1149</v>
      </c>
      <c r="ET102" t="s">
        <v>1150</v>
      </c>
      <c r="EV102" t="s">
        <v>1311</v>
      </c>
      <c r="EW102" s="25">
        <v>564.88332476486516</v>
      </c>
      <c r="EX102" s="82">
        <v>43912</v>
      </c>
      <c r="EY102" s="25">
        <v>-1</v>
      </c>
      <c r="EZ102" s="82">
        <v>43913</v>
      </c>
      <c r="FA102">
        <v>1</v>
      </c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</row>
    <row r="103" spans="2:195" x14ac:dyDescent="0.25">
      <c r="B103" s="26">
        <f t="shared" si="9"/>
        <v>44070</v>
      </c>
      <c r="D103" s="25"/>
      <c r="L103" s="12" t="str">
        <f>IF(ISNUMBER(tblData[[#This Row],[NSW]]),tblData[[#This Row],[New South Wales]]/$L$9,"")</f>
        <v/>
      </c>
      <c r="M103" s="25"/>
      <c r="N103" s="46" t="str">
        <f>IF(ISNUMBER(tblData[Italy]),tblData[Italy]/$N$9,"")</f>
        <v/>
      </c>
      <c r="O103" s="25"/>
      <c r="P103" s="124" t="str">
        <f>IF(ISNUMBER(tblData[US]),tblData[US]/$P$9,"")</f>
        <v/>
      </c>
      <c r="Q103" s="46"/>
      <c r="R103" s="19" t="str">
        <f>IF(ISNUMBER(tblData[SKorea]),tblData[SKorea]/$R$9,"")</f>
        <v/>
      </c>
      <c r="S103" s="46"/>
      <c r="T103" s="12" t="str">
        <f>IF(ISNUMBER(tblData[UK]),tblData[UK]/$T$9,"")</f>
        <v/>
      </c>
      <c r="U103" s="25"/>
      <c r="V103" s="20" t="str">
        <f>IF(ISNUMBER(tblData[China]),tblData[China]/$V$9,"")</f>
        <v/>
      </c>
      <c r="W103" s="20"/>
      <c r="X103" s="20" t="str">
        <f>IF(ISNUMBER(tblData[Singapore]),tblData[Singapore]/$X$9,"")</f>
        <v/>
      </c>
      <c r="Y103" s="20"/>
      <c r="Z103" s="20" t="str">
        <f>IF(AND(LEN(tblData[Generic])&gt;0,ISNUMBER(tblData[Generic])),tblData[Generic]/$Z$9,"")</f>
        <v/>
      </c>
      <c r="AA103" s="25">
        <f>IF(tblData[[#This Row],[Date]]&lt;ItalyStart,"",tblData[[#This Row],[Date]]-ItalyStart)</f>
        <v>210</v>
      </c>
      <c r="AB103" s="25">
        <f>IF(tblData[[#This Row],[Date]]&lt;USStart,"",tblData[[#This Row],[Date]]-USStart)</f>
        <v>218</v>
      </c>
      <c r="AC103" s="25">
        <f>IF(tblData[[#This Row],[Date]]&lt;ChinaStart,"",tblData[[#This Row],[Date]]-ChinaStart)</f>
        <v>218</v>
      </c>
      <c r="AD103" s="25">
        <f>IF(tblData[[#This Row],[Date]]&lt;StartDt2Korea,"",tblData[[#This Row],[Date]]-StartDt2Korea)</f>
        <v>190</v>
      </c>
      <c r="AE103" s="25">
        <f>IF(tblData[[#This Row],[Date]]&lt;UKStart,"",tblData[[#This Row],[Date]]-UKStart)</f>
        <v>210</v>
      </c>
      <c r="AF103" s="25">
        <f>IF(tblData[[#This Row],[Date]]&lt;SingaporeStart,"",tblData[[#This Row],[Date]]-SingaporeStart)</f>
        <v>217</v>
      </c>
      <c r="AG103" s="25">
        <f>IF(tblData[[#This Row],[Date]]&lt;GenStart,"",tblData[[#This Row],[Date]]-GenStart)</f>
        <v>218</v>
      </c>
      <c r="AH103">
        <f>IF(tblData[Date]&gt;=StartDt2Au,tblData[Date]-StartDt2Au,"")</f>
        <v>215</v>
      </c>
      <c r="AI103" s="25" t="str">
        <f>IF(tblData[New South Wales]&gt;0,SUM(tblData[[#This Row],[Australian Capital Territory]:[Western Australia]]),"")</f>
        <v/>
      </c>
      <c r="AJ103" s="12" t="str">
        <f>IF(ISNUMBER(tblData[Au]),tblData[Au]/$AE$9,"")</f>
        <v/>
      </c>
      <c r="AK103" s="41">
        <f>IF(ISNUMBER(tblData[[#This Row],[Day'# Aust]]),betaAu/(deltaAu+betaPodeltaAu*EXP(-betaAu*tblData[[#This Row],[Day'# Aust]])),"")</f>
        <v>7036.4105996678436</v>
      </c>
      <c r="AL103" s="67">
        <f>IF(ISNUMBER(tblData[Day'# Aust]),tblData[Au LogiP(t)]/$AJ$9,"")</f>
        <v>2774.172291305726</v>
      </c>
      <c r="AM103" s="11" t="str">
        <f>IF(AND(tblData[Date]&gt;=StartDt2Au,ISNUMBER(tblData[NSW])),(tblData[[#This Row],[Au LogiP(t)]]-tblData[[#This Row],[Au]])^2,"")</f>
        <v/>
      </c>
      <c r="AN103">
        <f>IF(tblData[Date]&gt;StartDt2NSW,tblData[Date]-StartDt2NSW,"")</f>
        <v>215</v>
      </c>
      <c r="AO103" s="25" t="str">
        <f t="shared" si="7"/>
        <v/>
      </c>
      <c r="AP103" s="11">
        <f>IF(tblData[Date]&gt;StartDt2NSW,betaNSW/(deltaNSW+betaPodeltaNSW*EXP(-betaNSW*tblData[[#This Row],[Day '# NSW]])),"")</f>
        <v>9599.8215448286956</v>
      </c>
      <c r="AQ103" s="12" t="str">
        <f>IF(AND(ISNUMBER(tblData[NSW]),tblData[Date]&gt;StartDt2NSW),(tblData[[#This Row],[NSW LogiP(t)]]-tblData[[#This Row],[NSW]])^2,"")</f>
        <v/>
      </c>
      <c r="AR103" s="41">
        <f>IF(AND(tblData[Date]&gt;StartDt2NSW,ISNUMBER(tblData[Day'# Aust])),tblData[NSW LogiP(t)]/$AQ$9,"")</f>
        <v>11880.967258451356</v>
      </c>
      <c r="AS103" s="11">
        <f>IF(AND(tblData[Date]&gt;StartDt2Italy,ISNUMBER(tblData[Days'# Italy])),betaItaly/(deltaItaly+betaPodeltaItaly*EXP(-betaItaly*tblData[Days'# Italy])),"")</f>
        <v>76058.397470454249</v>
      </c>
      <c r="AT103" s="11" t="str">
        <f>IF(AND(tblData[Date]&gt;StartDt2Italy,ISNUMBER(tblData[Italy])),(tblData[[#This Row],[Italy LogiP(t)]]-tblData[[#This Row],[Italy]])^2,"")</f>
        <v/>
      </c>
      <c r="AU103" s="41">
        <f>IF(AND(tblData[Date]&gt;StartDt2Italy,ISNUMBER(tblData[Days'# Italy])),tblData[[#This Row],[Italy LogiP(t)]]/$AT$9,"")</f>
        <v>12574.753653046913</v>
      </c>
      <c r="AV103" s="20">
        <f>IF(ISNUMBER(tblData[[#This Row],[Days'# US]]),betaUS/(deltaUS+betaPodeltaUS*EXP(-betaUS*tblData[Days'# US])),"")</f>
        <v>187367.55385189413</v>
      </c>
      <c r="AW103" s="11" t="str">
        <f>IF(AND(tblData[Date]&gt;=StartDt2US,ISNUMBER(tblData[US])),(tblData[[#This Row],[US LogiP(t)]]-tblData[US])^2,"")</f>
        <v/>
      </c>
      <c r="AX103" s="20">
        <f>IF(ISNUMBER(tblData[[#This Row],[Days'# US]]),tblData[[#This Row],[US LogiP(t)]]/$AW$9,"")</f>
        <v>5691.1228208540524</v>
      </c>
      <c r="AY103" s="20">
        <f>IF(tblData[Date]&gt;=StartDt2Korea,betaSKorea/(deltaSKorea+betaPodeltaSKorea*EXP(-betaSKorea*(tblData[Date]-StartDt2Korea))),"")</f>
        <v>8607.5560837730773</v>
      </c>
      <c r="AZ103" s="20" t="str">
        <f>IF(AND(tblData[Date]&gt;=StartDt2Korea,ISNUMBER(tblData[SKorea])),(tblData[[#This Row],[SKorea LogiP(t)]]-tblData[[#This Row],[SKorea]])^2,"")</f>
        <v/>
      </c>
      <c r="BA103" s="20">
        <f>IF(tblData[Date]&gt;=StartDt2Korea,tblData[[#This Row],[SKorea LogiP(t)]]/$AZ$9,"")</f>
        <v>1674.6218061815327</v>
      </c>
      <c r="BB103" s="79">
        <f>IF(ISNUMBER(tblData[Days'# UK]),betaUK/(deltaUK+betaPodeltaUK*EXP(-betaUK*tblData[Days'# UK])),"")</f>
        <v>22028.341869461939</v>
      </c>
      <c r="BC103" s="79" t="str">
        <f>IF(ISNUMBER(tblData[UK]),(tblData[[#This Row],[UK LogiP(t)]]-tblData[[#This Row],[UK]])^2,"")</f>
        <v/>
      </c>
      <c r="BD103" s="79">
        <f>IF(ISNUMBER(tblData[Days'# UK]),tblData[[#This Row],[UK LogiP(t)]]/$BC$9,"")</f>
        <v>3315.5240622308756</v>
      </c>
      <c r="BE103" s="11">
        <f>IF(ISNUMBER(tblData[Days'# China]),betaChina/(deltaChina+betaPodeltaChina*EXP(-betaChina*tblData[Days'# China])),"")</f>
        <v>81015.961191981085</v>
      </c>
      <c r="BF103" s="11" t="str">
        <f>IF(ISNUMBER(tblData[China]),(tblData[[#This Row],[China LogiP(t)]]-tblData[[#This Row],[China]])^2,"")</f>
        <v/>
      </c>
      <c r="BG103" s="11">
        <f>tblData[[#This Row],[China LogiP(t)]]/$BF$9</f>
        <v>562.87516778977385</v>
      </c>
      <c r="BH103" s="11">
        <f>IF(ISNUMBER(tblData[Day'# Singapore]),betaSingapore/(deltaSingapore+betaPodeltaSingapore*EXP(-betaSingapore*tblData[Day'# Singapore])),"")</f>
        <v>58375568.744294353</v>
      </c>
      <c r="BI103" s="11" t="str">
        <f>IF(AND(ISNUMBER(tblData[Singapore]),tblData[Date]&gt;=StartDt2Singapore),(tblData[[#This Row],[Singapore LogiP(t)]]-tblData[[#This Row],[Singapore]])^2,"")</f>
        <v/>
      </c>
      <c r="BJ103" s="11">
        <f>IF(ISNUMBER(tblData[Day'# Singapore]),tblData[Singapore LogiP(t)]/$BI$9,"")</f>
        <v>99787296.998793766</v>
      </c>
      <c r="BK103" s="11">
        <f>IF(ISNUMBER(tblData[Day'# Generic]),betaGeneric/(deltaGeneric+betaPodeltaGeneric*EXP(-betaGeneric*tblData[Day'# Generic])),"")</f>
        <v>67309.099344964648</v>
      </c>
      <c r="BL103" s="11" t="str">
        <f>IF(AND(ISNUMBER(tblData[Generic]),tblData[Date]&gt;=StartDt2Generic),(tblData[Generic LogiP(t)]-tblData[[#This Row],[Generic]])^2,"")</f>
        <v/>
      </c>
      <c r="BM103" s="11">
        <f>IF(ISNUMBER(tblData[Day'# Generic]),tblData[Generic LogiP(t)]/$BL$9,"")</f>
        <v>11505.828947857206</v>
      </c>
      <c r="BN103" s="11"/>
      <c r="BO103" s="11"/>
      <c r="BP103" s="11" t="str">
        <f>IF(ISNUMBER(tblData[[#This Row],[Tests]]),tblData[[#This Row],[Tests]]-BP102,"")</f>
        <v/>
      </c>
      <c r="BQ103" s="11" t="str">
        <f>IF(ISNUMBER(tblData[[#This Row],[NSW Under Investigation'']]),tblData[[#This Row],[NSW Under Investigation'']]-BO102,"")</f>
        <v/>
      </c>
      <c r="BR103" s="11">
        <f>IF(tblData[[#This Row],[Date]]&gt;myData!TestsStart,tblData[[#This Row],[Date]]-myData!TestsStart,"")</f>
        <v>175</v>
      </c>
      <c r="BS103" s="11">
        <f>IF(AND(tblData[[#This Row],[NSW Test Day Number]]&gt;0,ISNUMBER(tblData[[#This Row],[NSW Test Day Number]])),betaTests/(deltaTests+betaPodeltaTests*EXP(-betaTests*tblData[[#This Row],[NSW Test Day Number]])),"")</f>
        <v>107543.02659466441</v>
      </c>
      <c r="BT103" s="11" t="str">
        <f>IF(tblData[Tests]&gt;0,(tblData[[#This Row],[Tests]]-tblData[[#This Row],[NSW Test Logi]])^2,"")</f>
        <v/>
      </c>
      <c r="BU103" s="11" t="str">
        <f>IF(ISNUMBER(tblData[Tests]),tblData[Tests]/$BS$9/100,"")</f>
        <v/>
      </c>
      <c r="BV103" s="124">
        <f ca="1">IF(AND(tblData[[#This Row],[NSW Test Day Number]]&gt;0,ISNUMBER(tblData[[#This Row],[NSW Test Day Number]])),TestsLogestB*TestsLogestM^tblData[[#This Row],[NSW Test Day Number]],"")</f>
        <v>93867850836640.25</v>
      </c>
      <c r="BW103" s="11" t="str">
        <f>IF(AND(tblData[[#This Row],[NSW Test Day Number]]&gt;0,ISNUMBER(tblData[Tests])),(tblData[Tests]-tblData[[#This Row],[NSW Test Per Capita]])^2,"")</f>
        <v/>
      </c>
      <c r="BX103" s="124"/>
      <c r="BY103" s="11"/>
      <c r="BZ103"/>
      <c r="CB103" s="25"/>
      <c r="CD103" s="25"/>
      <c r="CK103"/>
      <c r="CL103"/>
      <c r="CO103" s="25"/>
      <c r="CZ103" s="25"/>
      <c r="DA103" s="25"/>
      <c r="DC103"/>
      <c r="DD103"/>
      <c r="DG103" s="25"/>
      <c r="DH103" s="25"/>
      <c r="DV103"/>
      <c r="DW103"/>
      <c r="DX103"/>
      <c r="DY103" s="25" t="s">
        <v>176</v>
      </c>
      <c r="DZ103" s="76">
        <v>43913.686747685184</v>
      </c>
      <c r="EA103" s="26">
        <v>43852</v>
      </c>
      <c r="EB103" s="26">
        <v>43852</v>
      </c>
      <c r="EC103">
        <v>4</v>
      </c>
      <c r="ED103">
        <v>0.2221429979133962</v>
      </c>
      <c r="EE103" s="95">
        <v>2.7436905724700776E-6</v>
      </c>
      <c r="EF103">
        <v>1537.6493038446686</v>
      </c>
      <c r="EG103" s="96">
        <v>80965.033062531642</v>
      </c>
      <c r="EH103">
        <v>2060.7809258065713</v>
      </c>
      <c r="EI103">
        <v>1.4172553095805702E-4</v>
      </c>
      <c r="EJ103" s="98">
        <v>2.7436905724700774E-3</v>
      </c>
      <c r="EK103" s="26">
        <v>43912</v>
      </c>
      <c r="EL103" s="25" t="s">
        <v>1051</v>
      </c>
      <c r="EM103">
        <v>80965.03281421274</v>
      </c>
      <c r="EN103" s="99">
        <v>81397</v>
      </c>
      <c r="EO103" s="25" t="s">
        <v>1148</v>
      </c>
      <c r="EP103" s="26">
        <v>43912</v>
      </c>
      <c r="EQ103" s="25">
        <v>61</v>
      </c>
      <c r="ER103" t="s">
        <v>1149</v>
      </c>
      <c r="ET103" t="s">
        <v>1150</v>
      </c>
      <c r="EV103" t="s">
        <v>1151</v>
      </c>
      <c r="EW103" s="25">
        <v>565.52251381693293</v>
      </c>
      <c r="EX103" s="82">
        <v>43912</v>
      </c>
      <c r="EY103" s="25">
        <v>-1</v>
      </c>
      <c r="EZ103" s="82">
        <v>43913</v>
      </c>
      <c r="FA103" s="25">
        <v>0</v>
      </c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</row>
    <row r="104" spans="2:195" x14ac:dyDescent="0.25">
      <c r="B104" s="26">
        <f t="shared" si="9"/>
        <v>44077</v>
      </c>
      <c r="D104" s="25"/>
      <c r="L104" s="12" t="str">
        <f>IF(ISNUMBER(tblData[[#This Row],[NSW]]),tblData[[#This Row],[New South Wales]]/$L$9,"")</f>
        <v/>
      </c>
      <c r="M104" s="25"/>
      <c r="N104" s="46" t="str">
        <f>IF(ISNUMBER(tblData[Italy]),tblData[Italy]/$N$9,"")</f>
        <v/>
      </c>
      <c r="O104" s="25"/>
      <c r="P104" s="124" t="str">
        <f>IF(ISNUMBER(tblData[US]),tblData[US]/$P$9,"")</f>
        <v/>
      </c>
      <c r="Q104" s="46"/>
      <c r="R104" s="19" t="str">
        <f>IF(ISNUMBER(tblData[SKorea]),tblData[SKorea]/$R$9,"")</f>
        <v/>
      </c>
      <c r="S104" s="46"/>
      <c r="T104" s="12" t="str">
        <f>IF(ISNUMBER(tblData[UK]),tblData[UK]/$T$9,"")</f>
        <v/>
      </c>
      <c r="U104" s="25"/>
      <c r="V104" s="20" t="str">
        <f>IF(ISNUMBER(tblData[China]),tblData[China]/$V$9,"")</f>
        <v/>
      </c>
      <c r="W104" s="20"/>
      <c r="X104" s="20" t="str">
        <f>IF(ISNUMBER(tblData[Singapore]),tblData[Singapore]/$X$9,"")</f>
        <v/>
      </c>
      <c r="Y104" s="20"/>
      <c r="Z104" s="20" t="str">
        <f>IF(AND(LEN(tblData[Generic])&gt;0,ISNUMBER(tblData[Generic])),tblData[Generic]/$Z$9,"")</f>
        <v/>
      </c>
      <c r="AA104" s="25">
        <f>IF(tblData[[#This Row],[Date]]&lt;ItalyStart,"",tblData[[#This Row],[Date]]-ItalyStart)</f>
        <v>217</v>
      </c>
      <c r="AB104" s="25">
        <f>IF(tblData[[#This Row],[Date]]&lt;USStart,"",tblData[[#This Row],[Date]]-USStart)</f>
        <v>225</v>
      </c>
      <c r="AC104" s="25">
        <f>IF(tblData[[#This Row],[Date]]&lt;ChinaStart,"",tblData[[#This Row],[Date]]-ChinaStart)</f>
        <v>225</v>
      </c>
      <c r="AD104" s="25">
        <f>IF(tblData[[#This Row],[Date]]&lt;StartDt2Korea,"",tblData[[#This Row],[Date]]-StartDt2Korea)</f>
        <v>197</v>
      </c>
      <c r="AE104" s="25">
        <f>IF(tblData[[#This Row],[Date]]&lt;UKStart,"",tblData[[#This Row],[Date]]-UKStart)</f>
        <v>217</v>
      </c>
      <c r="AF104" s="25">
        <f>IF(tblData[[#This Row],[Date]]&lt;SingaporeStart,"",tblData[[#This Row],[Date]]-SingaporeStart)</f>
        <v>224</v>
      </c>
      <c r="AG104" s="25">
        <f>IF(tblData[[#This Row],[Date]]&lt;GenStart,"",tblData[[#This Row],[Date]]-GenStart)</f>
        <v>225</v>
      </c>
      <c r="AH104">
        <f>IF(tblData[Date]&gt;=StartDt2Au,tblData[Date]-StartDt2Au,"")</f>
        <v>222</v>
      </c>
      <c r="AI104" s="25" t="str">
        <f>IF(tblData[New South Wales]&gt;0,SUM(tblData[[#This Row],[Australian Capital Territory]:[Western Australia]]),"")</f>
        <v/>
      </c>
      <c r="AJ104" s="12" t="str">
        <f>IF(ISNUMBER(tblData[Au]),tblData[Au]/$AE$9,"")</f>
        <v/>
      </c>
      <c r="AK104" s="41">
        <f>IF(ISNUMBER(tblData[[#This Row],[Day'# Aust]]),betaAu/(deltaAu+betaPodeltaAu*EXP(-betaAu*tblData[[#This Row],[Day'# Aust]])),"")</f>
        <v>7036.4105996678436</v>
      </c>
      <c r="AL104" s="67">
        <f>IF(ISNUMBER(tblData[Day'# Aust]),tblData[Au LogiP(t)]/$AJ$9,"")</f>
        <v>2774.172291305726</v>
      </c>
      <c r="AM104" s="11" t="str">
        <f>IF(AND(tblData[Date]&gt;=StartDt2Au,ISNUMBER(tblData[NSW])),(tblData[[#This Row],[Au LogiP(t)]]-tblData[[#This Row],[Au]])^2,"")</f>
        <v/>
      </c>
      <c r="AN104">
        <f>IF(tblData[Date]&gt;StartDt2NSW,tblData[Date]-StartDt2NSW,"")</f>
        <v>222</v>
      </c>
      <c r="AO104" s="25" t="str">
        <f t="shared" si="7"/>
        <v/>
      </c>
      <c r="AP104" s="11">
        <f>IF(tblData[Date]&gt;StartDt2NSW,betaNSW/(deltaNSW+betaPodeltaNSW*EXP(-betaNSW*tblData[[#This Row],[Day '# NSW]])),"")</f>
        <v>9599.8215448292649</v>
      </c>
      <c r="AQ104" s="12" t="str">
        <f>IF(AND(ISNUMBER(tblData[NSW]),tblData[Date]&gt;StartDt2NSW),(tblData[[#This Row],[NSW LogiP(t)]]-tblData[[#This Row],[NSW]])^2,"")</f>
        <v/>
      </c>
      <c r="AR104" s="41">
        <f>IF(AND(tblData[Date]&gt;StartDt2NSW,ISNUMBER(tblData[Day'# Aust])),tblData[NSW LogiP(t)]/$AQ$9,"")</f>
        <v>11880.967258452059</v>
      </c>
      <c r="AS104" s="11">
        <f>IF(AND(tblData[Date]&gt;StartDt2Italy,ISNUMBER(tblData[Days'# Italy])),betaItaly/(deltaItaly+betaPodeltaItaly*EXP(-betaItaly*tblData[Days'# Italy])),"")</f>
        <v>76058.397470454249</v>
      </c>
      <c r="AT104" s="11" t="str">
        <f>IF(AND(tblData[Date]&gt;StartDt2Italy,ISNUMBER(tblData[Italy])),(tblData[[#This Row],[Italy LogiP(t)]]-tblData[[#This Row],[Italy]])^2,"")</f>
        <v/>
      </c>
      <c r="AU104" s="41">
        <f>IF(AND(tblData[Date]&gt;StartDt2Italy,ISNUMBER(tblData[Days'# Italy])),tblData[[#This Row],[Italy LogiP(t)]]/$AT$9,"")</f>
        <v>12574.753653046913</v>
      </c>
      <c r="AV104" s="20">
        <f>IF(ISNUMBER(tblData[[#This Row],[Days'# US]]),betaUS/(deltaUS+betaPodeltaUS*EXP(-betaUS*tblData[Days'# US])),"")</f>
        <v>187367.55385189413</v>
      </c>
      <c r="AW104" s="11" t="str">
        <f>IF(AND(tblData[Date]&gt;=StartDt2US,ISNUMBER(tblData[US])),(tblData[[#This Row],[US LogiP(t)]]-tblData[US])^2,"")</f>
        <v/>
      </c>
      <c r="AX104" s="20">
        <f>IF(ISNUMBER(tblData[[#This Row],[Days'# US]]),tblData[[#This Row],[US LogiP(t)]]/$AW$9,"")</f>
        <v>5691.1228208540524</v>
      </c>
      <c r="AY104" s="20">
        <f>IF(tblData[Date]&gt;=StartDt2Korea,betaSKorea/(deltaSKorea+betaPodeltaSKorea*EXP(-betaSKorea*(tblData[Date]-StartDt2Korea))),"")</f>
        <v>8607.5560837730773</v>
      </c>
      <c r="AZ104" s="20" t="str">
        <f>IF(AND(tblData[Date]&gt;=StartDt2Korea,ISNUMBER(tblData[SKorea])),(tblData[[#This Row],[SKorea LogiP(t)]]-tblData[[#This Row],[SKorea]])^2,"")</f>
        <v/>
      </c>
      <c r="BA104" s="20">
        <f>IF(tblData[Date]&gt;=StartDt2Korea,tblData[[#This Row],[SKorea LogiP(t)]]/$AZ$9,"")</f>
        <v>1674.6218061815327</v>
      </c>
      <c r="BB104" s="79">
        <f>IF(ISNUMBER(tblData[Days'# UK]),betaUK/(deltaUK+betaPodeltaUK*EXP(-betaUK*tblData[Days'# UK])),"")</f>
        <v>22028.341869461943</v>
      </c>
      <c r="BC104" s="79" t="str">
        <f>IF(ISNUMBER(tblData[UK]),(tblData[[#This Row],[UK LogiP(t)]]-tblData[[#This Row],[UK]])^2,"")</f>
        <v/>
      </c>
      <c r="BD104" s="79">
        <f>IF(ISNUMBER(tblData[Days'# UK]),tblData[[#This Row],[UK LogiP(t)]]/$BC$9,"")</f>
        <v>3315.5240622308766</v>
      </c>
      <c r="BE104" s="11">
        <f>IF(ISNUMBER(tblData[Days'# China]),betaChina/(deltaChina+betaPodeltaChina*EXP(-betaChina*tblData[Days'# China])),"")</f>
        <v>81015.961191981085</v>
      </c>
      <c r="BF104" s="11" t="str">
        <f>IF(ISNUMBER(tblData[China]),(tblData[[#This Row],[China LogiP(t)]]-tblData[[#This Row],[China]])^2,"")</f>
        <v/>
      </c>
      <c r="BG104" s="11">
        <f>tblData[[#This Row],[China LogiP(t)]]/$BF$9</f>
        <v>562.87516778977385</v>
      </c>
      <c r="BH104" s="11">
        <f>IF(ISNUMBER(tblData[Day'# Singapore]),betaSingapore/(deltaSingapore+betaPodeltaSingapore*EXP(-betaSingapore*tblData[Day'# Singapore])),"")</f>
        <v>98268489.027903318</v>
      </c>
      <c r="BI104" s="11" t="str">
        <f>IF(AND(ISNUMBER(tblData[Singapore]),tblData[Date]&gt;=StartDt2Singapore),(tblData[[#This Row],[Singapore LogiP(t)]]-tblData[[#This Row],[Singapore]])^2,"")</f>
        <v/>
      </c>
      <c r="BJ104" s="11">
        <f>IF(ISNUMBER(tblData[Day'# Singapore]),tblData[Singapore LogiP(t)]/$BI$9,"")</f>
        <v>167980323.12462106</v>
      </c>
      <c r="BK104" s="11">
        <f>IF(ISNUMBER(tblData[Day'# Generic]),betaGeneric/(deltaGeneric+betaPodeltaGeneric*EXP(-betaGeneric*tblData[Day'# Generic])),"")</f>
        <v>67309.099344964648</v>
      </c>
      <c r="BL104" s="11" t="str">
        <f>IF(AND(ISNUMBER(tblData[Generic]),tblData[Date]&gt;=StartDt2Generic),(tblData[Generic LogiP(t)]-tblData[[#This Row],[Generic]])^2,"")</f>
        <v/>
      </c>
      <c r="BM104" s="11">
        <f>IF(ISNUMBER(tblData[Day'# Generic]),tblData[Generic LogiP(t)]/$BL$9,"")</f>
        <v>11505.828947857206</v>
      </c>
      <c r="BN104" s="11"/>
      <c r="BO104" s="11"/>
      <c r="BP104" s="11" t="str">
        <f>IF(ISNUMBER(tblData[[#This Row],[Tests]]),tblData[[#This Row],[Tests]]-BP103,"")</f>
        <v/>
      </c>
      <c r="BQ104" s="11" t="str">
        <f>IF(ISNUMBER(tblData[[#This Row],[NSW Under Investigation'']]),tblData[[#This Row],[NSW Under Investigation'']]-BO103,"")</f>
        <v/>
      </c>
      <c r="BR104" s="11">
        <f>IF(tblData[[#This Row],[Date]]&gt;myData!TestsStart,tblData[[#This Row],[Date]]-myData!TestsStart,"")</f>
        <v>182</v>
      </c>
      <c r="BS104" s="11">
        <f>IF(AND(tblData[[#This Row],[NSW Test Day Number]]&gt;0,ISNUMBER(tblData[[#This Row],[NSW Test Day Number]])),betaTests/(deltaTests+betaPodeltaTests*EXP(-betaTests*tblData[[#This Row],[NSW Test Day Number]])),"")</f>
        <v>107543.02659466554</v>
      </c>
      <c r="BT104" s="11" t="str">
        <f>IF(tblData[Tests]&gt;0,(tblData[[#This Row],[Tests]]-tblData[[#This Row],[NSW Test Logi]])^2,"")</f>
        <v/>
      </c>
      <c r="BU104" s="11" t="str">
        <f>IF(ISNUMBER(tblData[Tests]),tblData[Tests]/$BS$9/100,"")</f>
        <v/>
      </c>
      <c r="BV104" s="124">
        <f ca="1">IF(AND(tblData[[#This Row],[NSW Test Day Number]]&gt;0,ISNUMBER(tblData[[#This Row],[NSW Test Day Number]])),TestsLogestB*TestsLogestM^tblData[[#This Row],[NSW Test Day Number]],"")</f>
        <v>241673168313517.28</v>
      </c>
      <c r="BW104" s="11" t="str">
        <f>IF(AND(tblData[[#This Row],[NSW Test Day Number]]&gt;0,ISNUMBER(tblData[Tests])),(tblData[Tests]-tblData[[#This Row],[NSW Test Per Capita]])^2,"")</f>
        <v/>
      </c>
      <c r="BX104" s="124"/>
      <c r="BY104" s="11"/>
      <c r="BZ104"/>
      <c r="CB104" s="25"/>
      <c r="CD104" s="25"/>
      <c r="CK104"/>
      <c r="CL104"/>
      <c r="CO104" s="25"/>
      <c r="CZ104" s="25"/>
      <c r="DA104" s="25"/>
      <c r="DC104"/>
      <c r="DD104"/>
      <c r="DG104" s="25"/>
      <c r="DH104" s="25"/>
      <c r="DV104"/>
      <c r="DW104"/>
      <c r="DX104"/>
      <c r="DY104" t="s">
        <v>176</v>
      </c>
      <c r="DZ104" s="76">
        <v>43913.916203703702</v>
      </c>
      <c r="EA104" s="26">
        <v>43852</v>
      </c>
      <c r="EB104" s="26">
        <v>43852</v>
      </c>
      <c r="EC104">
        <v>4</v>
      </c>
      <c r="ED104">
        <v>0.2221429979133962</v>
      </c>
      <c r="EE104" s="25">
        <v>2.7432177917623539E-6</v>
      </c>
      <c r="EF104">
        <v>1537.6493038446686</v>
      </c>
      <c r="EG104" s="95">
        <v>80978.987005870425</v>
      </c>
      <c r="EH104" s="25">
        <v>2045.0311506785802</v>
      </c>
      <c r="EI104" s="25">
        <v>1.4172600373876473E-4</v>
      </c>
      <c r="EJ104" s="97">
        <v>2.7432177917623541E-3</v>
      </c>
      <c r="EK104" s="26">
        <v>43912</v>
      </c>
      <c r="EL104" t="s">
        <v>1051</v>
      </c>
      <c r="EM104" s="25">
        <v>80978.9867574651</v>
      </c>
      <c r="EN104" s="98">
        <v>81454</v>
      </c>
      <c r="EO104" t="s">
        <v>1148</v>
      </c>
      <c r="EP104" s="26">
        <v>43913</v>
      </c>
      <c r="EQ104" s="25">
        <v>62</v>
      </c>
      <c r="ER104" t="s">
        <v>1149</v>
      </c>
      <c r="ET104" t="s">
        <v>1150</v>
      </c>
      <c r="EV104" t="s">
        <v>1390</v>
      </c>
      <c r="EW104">
        <v>565.91853312093133</v>
      </c>
      <c r="EX104" s="82">
        <v>43912</v>
      </c>
      <c r="EY104" s="25">
        <v>-1</v>
      </c>
      <c r="EZ104" s="82">
        <v>43913</v>
      </c>
      <c r="FA104">
        <v>0</v>
      </c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</row>
    <row r="105" spans="2:195" x14ac:dyDescent="0.25">
      <c r="B105" s="26">
        <f t="shared" si="9"/>
        <v>44084</v>
      </c>
      <c r="D105" s="25"/>
      <c r="L105" s="12" t="str">
        <f>IF(ISNUMBER(tblData[[#This Row],[NSW]]),tblData[[#This Row],[New South Wales]]/$L$9,"")</f>
        <v/>
      </c>
      <c r="M105" s="25"/>
      <c r="N105" s="46" t="str">
        <f>IF(ISNUMBER(tblData[Italy]),tblData[Italy]/$N$9,"")</f>
        <v/>
      </c>
      <c r="O105" s="25"/>
      <c r="P105" s="124" t="str">
        <f>IF(ISNUMBER(tblData[US]),tblData[US]/$P$9,"")</f>
        <v/>
      </c>
      <c r="Q105" s="46"/>
      <c r="R105" s="19" t="str">
        <f>IF(ISNUMBER(tblData[SKorea]),tblData[SKorea]/$R$9,"")</f>
        <v/>
      </c>
      <c r="S105" s="46"/>
      <c r="T105" s="12" t="str">
        <f>IF(ISNUMBER(tblData[UK]),tblData[UK]/$T$9,"")</f>
        <v/>
      </c>
      <c r="U105" s="25"/>
      <c r="V105" s="20" t="str">
        <f>IF(ISNUMBER(tblData[China]),tblData[China]/$V$9,"")</f>
        <v/>
      </c>
      <c r="W105" s="20"/>
      <c r="X105" s="20" t="str">
        <f>IF(ISNUMBER(tblData[Singapore]),tblData[Singapore]/$X$9,"")</f>
        <v/>
      </c>
      <c r="Y105" s="20"/>
      <c r="Z105" s="20" t="str">
        <f>IF(AND(LEN(tblData[Generic])&gt;0,ISNUMBER(tblData[Generic])),tblData[Generic]/$Z$9,"")</f>
        <v/>
      </c>
      <c r="AA105" s="25">
        <f>IF(tblData[[#This Row],[Date]]&lt;ItalyStart,"",tblData[[#This Row],[Date]]-ItalyStart)</f>
        <v>224</v>
      </c>
      <c r="AB105" s="25">
        <f>IF(tblData[[#This Row],[Date]]&lt;USStart,"",tblData[[#This Row],[Date]]-USStart)</f>
        <v>232</v>
      </c>
      <c r="AC105" s="25">
        <f>IF(tblData[[#This Row],[Date]]&lt;ChinaStart,"",tblData[[#This Row],[Date]]-ChinaStart)</f>
        <v>232</v>
      </c>
      <c r="AD105" s="25">
        <f>IF(tblData[[#This Row],[Date]]&lt;StartDt2Korea,"",tblData[[#This Row],[Date]]-StartDt2Korea)</f>
        <v>204</v>
      </c>
      <c r="AE105" s="25">
        <f>IF(tblData[[#This Row],[Date]]&lt;UKStart,"",tblData[[#This Row],[Date]]-UKStart)</f>
        <v>224</v>
      </c>
      <c r="AF105" s="25">
        <f>IF(tblData[[#This Row],[Date]]&lt;SingaporeStart,"",tblData[[#This Row],[Date]]-SingaporeStart)</f>
        <v>231</v>
      </c>
      <c r="AG105" s="25">
        <f>IF(tblData[[#This Row],[Date]]&lt;GenStart,"",tblData[[#This Row],[Date]]-GenStart)</f>
        <v>232</v>
      </c>
      <c r="AH105">
        <f>IF(tblData[Date]&gt;=StartDt2Au,tblData[Date]-StartDt2Au,"")</f>
        <v>229</v>
      </c>
      <c r="AI105" s="25" t="str">
        <f>IF(tblData[New South Wales]&gt;0,SUM(tblData[[#This Row],[Australian Capital Territory]:[Western Australia]]),"")</f>
        <v/>
      </c>
      <c r="AJ105" s="12" t="str">
        <f>IF(ISNUMBER(tblData[Au]),tblData[Au]/$AE$9,"")</f>
        <v/>
      </c>
      <c r="AK105" s="41">
        <f>IF(ISNUMBER(tblData[[#This Row],[Day'# Aust]]),betaAu/(deltaAu+betaPodeltaAu*EXP(-betaAu*tblData[[#This Row],[Day'# Aust]])),"")</f>
        <v>7036.4105996678436</v>
      </c>
      <c r="AL105" s="67">
        <f>IF(ISNUMBER(tblData[Day'# Aust]),tblData[Au LogiP(t)]/$AJ$9,"")</f>
        <v>2774.172291305726</v>
      </c>
      <c r="AM105" s="11" t="str">
        <f>IF(AND(tblData[Date]&gt;=StartDt2Au,ISNUMBER(tblData[NSW])),(tblData[[#This Row],[Au LogiP(t)]]-tblData[[#This Row],[Au]])^2,"")</f>
        <v/>
      </c>
      <c r="AN105">
        <f>IF(tblData[Date]&gt;StartDt2NSW,tblData[Date]-StartDt2NSW,"")</f>
        <v>229</v>
      </c>
      <c r="AO105" s="25" t="str">
        <f t="shared" si="7"/>
        <v/>
      </c>
      <c r="AP105" s="11">
        <f>IF(tblData[Date]&gt;StartDt2NSW,betaNSW/(deltaNSW+betaPodeltaNSW*EXP(-betaNSW*tblData[[#This Row],[Day '# NSW]])),"")</f>
        <v>9599.8215448293959</v>
      </c>
      <c r="AQ105" s="12" t="str">
        <f>IF(AND(ISNUMBER(tblData[NSW]),tblData[Date]&gt;StartDt2NSW),(tblData[[#This Row],[NSW LogiP(t)]]-tblData[[#This Row],[NSW]])^2,"")</f>
        <v/>
      </c>
      <c r="AR105" s="41">
        <f>IF(AND(tblData[Date]&gt;StartDt2NSW,ISNUMBER(tblData[Day'# Aust])),tblData[NSW LogiP(t)]/$AQ$9,"")</f>
        <v>11880.967258452221</v>
      </c>
      <c r="AS105" s="11">
        <f>IF(AND(tblData[Date]&gt;StartDt2Italy,ISNUMBER(tblData[Days'# Italy])),betaItaly/(deltaItaly+betaPodeltaItaly*EXP(-betaItaly*tblData[Days'# Italy])),"")</f>
        <v>76058.397470454249</v>
      </c>
      <c r="AT105" s="11" t="str">
        <f>IF(AND(tblData[Date]&gt;StartDt2Italy,ISNUMBER(tblData[Italy])),(tblData[[#This Row],[Italy LogiP(t)]]-tblData[[#This Row],[Italy]])^2,"")</f>
        <v/>
      </c>
      <c r="AU105" s="41">
        <f>IF(AND(tblData[Date]&gt;StartDt2Italy,ISNUMBER(tblData[Days'# Italy])),tblData[[#This Row],[Italy LogiP(t)]]/$AT$9,"")</f>
        <v>12574.753653046913</v>
      </c>
      <c r="AV105" s="20">
        <f>IF(ISNUMBER(tblData[[#This Row],[Days'# US]]),betaUS/(deltaUS+betaPodeltaUS*EXP(-betaUS*tblData[Days'# US])),"")</f>
        <v>187367.55385189413</v>
      </c>
      <c r="AW105" s="11" t="str">
        <f>IF(AND(tblData[Date]&gt;=StartDt2US,ISNUMBER(tblData[US])),(tblData[[#This Row],[US LogiP(t)]]-tblData[US])^2,"")</f>
        <v/>
      </c>
      <c r="AX105" s="20">
        <f>IF(ISNUMBER(tblData[[#This Row],[Days'# US]]),tblData[[#This Row],[US LogiP(t)]]/$AW$9,"")</f>
        <v>5691.1228208540524</v>
      </c>
      <c r="AY105" s="20">
        <f>IF(tblData[Date]&gt;=StartDt2Korea,betaSKorea/(deltaSKorea+betaPodeltaSKorea*EXP(-betaSKorea*(tblData[Date]-StartDt2Korea))),"")</f>
        <v>8607.5560837730773</v>
      </c>
      <c r="AZ105" s="20" t="str">
        <f>IF(AND(tblData[Date]&gt;=StartDt2Korea,ISNUMBER(tblData[SKorea])),(tblData[[#This Row],[SKorea LogiP(t)]]-tblData[[#This Row],[SKorea]])^2,"")</f>
        <v/>
      </c>
      <c r="BA105" s="20">
        <f>IF(tblData[Date]&gt;=StartDt2Korea,tblData[[#This Row],[SKorea LogiP(t)]]/$AZ$9,"")</f>
        <v>1674.6218061815327</v>
      </c>
      <c r="BB105" s="79">
        <f>IF(ISNUMBER(tblData[Days'# UK]),betaUK/(deltaUK+betaPodeltaUK*EXP(-betaUK*tblData[Days'# UK])),"")</f>
        <v>22028.341869461943</v>
      </c>
      <c r="BC105" s="79" t="str">
        <f>IF(ISNUMBER(tblData[UK]),(tblData[[#This Row],[UK LogiP(t)]]-tblData[[#This Row],[UK]])^2,"")</f>
        <v/>
      </c>
      <c r="BD105" s="79">
        <f>IF(ISNUMBER(tblData[Days'# UK]),tblData[[#This Row],[UK LogiP(t)]]/$BC$9,"")</f>
        <v>3315.5240622308766</v>
      </c>
      <c r="BE105" s="11">
        <f>IF(ISNUMBER(tblData[Days'# China]),betaChina/(deltaChina+betaPodeltaChina*EXP(-betaChina*tblData[Days'# China])),"")</f>
        <v>81015.961191981085</v>
      </c>
      <c r="BF105" s="11" t="str">
        <f>IF(ISNUMBER(tblData[China]),(tblData[[#This Row],[China LogiP(t)]]-tblData[[#This Row],[China]])^2,"")</f>
        <v/>
      </c>
      <c r="BG105" s="11">
        <f>tblData[[#This Row],[China LogiP(t)]]/$BF$9</f>
        <v>562.87516778977385</v>
      </c>
      <c r="BH105" s="11">
        <f>IF(ISNUMBER(tblData[Day'# Singapore]),betaSingapore/(deltaSingapore+betaPodeltaSingapore*EXP(-betaSingapore*tblData[Day'# Singapore])),"")</f>
        <v>165363008.37401995</v>
      </c>
      <c r="BI105" s="11" t="str">
        <f>IF(AND(ISNUMBER(tblData[Singapore]),tblData[Date]&gt;=StartDt2Singapore),(tblData[[#This Row],[Singapore LogiP(t)]]-tblData[[#This Row],[Singapore]])^2,"")</f>
        <v/>
      </c>
      <c r="BJ105" s="11">
        <f>IF(ISNUMBER(tblData[Day'# Singapore]),tblData[Singapore LogiP(t)]/$BI$9,"")</f>
        <v>282671809.18635893</v>
      </c>
      <c r="BK105" s="11">
        <f>IF(ISNUMBER(tblData[Day'# Generic]),betaGeneric/(deltaGeneric+betaPodeltaGeneric*EXP(-betaGeneric*tblData[Day'# Generic])),"")</f>
        <v>67309.099344964648</v>
      </c>
      <c r="BL105" s="11" t="str">
        <f>IF(AND(ISNUMBER(tblData[Generic]),tblData[Date]&gt;=StartDt2Generic),(tblData[Generic LogiP(t)]-tblData[[#This Row],[Generic]])^2,"")</f>
        <v/>
      </c>
      <c r="BM105" s="11">
        <f>IF(ISNUMBER(tblData[Day'# Generic]),tblData[Generic LogiP(t)]/$BL$9,"")</f>
        <v>11505.828947857206</v>
      </c>
      <c r="BN105" s="11"/>
      <c r="BO105" s="11"/>
      <c r="BP105" s="11" t="str">
        <f>IF(ISNUMBER(tblData[[#This Row],[Tests]]),tblData[[#This Row],[Tests]]-BP104,"")</f>
        <v/>
      </c>
      <c r="BQ105" s="11" t="str">
        <f>IF(ISNUMBER(tblData[[#This Row],[NSW Under Investigation'']]),tblData[[#This Row],[NSW Under Investigation'']]-BO104,"")</f>
        <v/>
      </c>
      <c r="BR105" s="11">
        <f>IF(tblData[[#This Row],[Date]]&gt;myData!TestsStart,tblData[[#This Row],[Date]]-myData!TestsStart,"")</f>
        <v>189</v>
      </c>
      <c r="BS105" s="11">
        <f>IF(AND(tblData[[#This Row],[NSW Test Day Number]]&gt;0,ISNUMBER(tblData[[#This Row],[NSW Test Day Number]])),betaTests/(deltaTests+betaPodeltaTests*EXP(-betaTests*tblData[[#This Row],[NSW Test Day Number]])),"")</f>
        <v>107543.02659466582</v>
      </c>
      <c r="BT105" s="11" t="str">
        <f>IF(tblData[Tests]&gt;0,(tblData[[#This Row],[Tests]]-tblData[[#This Row],[NSW Test Logi]])^2,"")</f>
        <v/>
      </c>
      <c r="BU105" s="11" t="str">
        <f>IF(ISNUMBER(tblData[Tests]),tblData[Tests]/$BS$9/100,"")</f>
        <v/>
      </c>
      <c r="BV105" s="124">
        <f ca="1">IF(AND(tblData[[#This Row],[NSW Test Day Number]]&gt;0,ISNUMBER(tblData[[#This Row],[NSW Test Day Number]])),TestsLogestB*TestsLogestM^tblData[[#This Row],[NSW Test Day Number]],"")</f>
        <v>622214312590776.25</v>
      </c>
      <c r="BW105" s="11" t="str">
        <f>IF(AND(tblData[[#This Row],[NSW Test Day Number]]&gt;0,ISNUMBER(tblData[Tests])),(tblData[Tests]-tblData[[#This Row],[NSW Test Per Capita]])^2,"")</f>
        <v/>
      </c>
      <c r="BX105" s="124"/>
      <c r="BY105" s="11"/>
      <c r="BZ105"/>
      <c r="CB105" s="25"/>
      <c r="CD105" s="25"/>
      <c r="CK105"/>
      <c r="CL105"/>
      <c r="CO105" s="25"/>
      <c r="CZ105" s="25"/>
      <c r="DA105" s="25"/>
      <c r="DC105"/>
      <c r="DD105"/>
      <c r="DG105" s="25"/>
      <c r="DH105" s="25"/>
      <c r="DV105"/>
      <c r="DW105"/>
      <c r="DX105"/>
      <c r="DY105" s="25" t="s">
        <v>176</v>
      </c>
      <c r="DZ105" s="76">
        <v>43914.307893518519</v>
      </c>
      <c r="EA105" s="26">
        <v>43852</v>
      </c>
      <c r="EB105" s="26">
        <v>43852</v>
      </c>
      <c r="EC105">
        <v>4</v>
      </c>
      <c r="ED105">
        <v>0.2221429979133962</v>
      </c>
      <c r="EE105" s="25">
        <v>2.7432177917623539E-6</v>
      </c>
      <c r="EF105">
        <v>1537.6493038446686</v>
      </c>
      <c r="EG105" s="95">
        <v>80978.987005870425</v>
      </c>
      <c r="EH105" s="25">
        <v>2060.8075886844472</v>
      </c>
      <c r="EI105" s="25">
        <v>1.4172600373876473E-4</v>
      </c>
      <c r="EJ105" s="97">
        <v>2.7432177917623541E-3</v>
      </c>
      <c r="EK105" s="26">
        <v>43912</v>
      </c>
      <c r="EL105" t="s">
        <v>1051</v>
      </c>
      <c r="EM105">
        <v>80978.9867574651</v>
      </c>
      <c r="EN105" s="98">
        <v>81397</v>
      </c>
      <c r="EO105" t="s">
        <v>1148</v>
      </c>
      <c r="EP105" s="26">
        <v>43912</v>
      </c>
      <c r="EQ105" s="25">
        <v>61</v>
      </c>
      <c r="ER105" t="s">
        <v>1149</v>
      </c>
      <c r="ET105" t="s">
        <v>1150</v>
      </c>
      <c r="EV105" s="25" t="s">
        <v>1151</v>
      </c>
      <c r="EW105">
        <v>565.52251381693293</v>
      </c>
      <c r="EX105" s="82">
        <v>43912</v>
      </c>
      <c r="EY105" s="25">
        <v>-1</v>
      </c>
      <c r="EZ105" s="82">
        <v>43913</v>
      </c>
      <c r="FA105">
        <v>0</v>
      </c>
      <c r="FC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</row>
    <row r="106" spans="2:195" x14ac:dyDescent="0.25">
      <c r="B106" s="26">
        <f t="shared" si="9"/>
        <v>44091</v>
      </c>
      <c r="D106" s="25"/>
      <c r="L106" s="12" t="str">
        <f>IF(ISNUMBER(tblData[[#This Row],[NSW]]),tblData[[#This Row],[New South Wales]]/$L$9,"")</f>
        <v/>
      </c>
      <c r="M106" s="25"/>
      <c r="N106" s="46" t="str">
        <f>IF(ISNUMBER(tblData[Italy]),tblData[Italy]/$N$9,"")</f>
        <v/>
      </c>
      <c r="O106" s="25"/>
      <c r="P106" s="124" t="str">
        <f>IF(ISNUMBER(tblData[US]),tblData[US]/$P$9,"")</f>
        <v/>
      </c>
      <c r="Q106" s="46"/>
      <c r="R106" s="19" t="str">
        <f>IF(ISNUMBER(tblData[SKorea]),tblData[SKorea]/$R$9,"")</f>
        <v/>
      </c>
      <c r="S106" s="46"/>
      <c r="T106" s="12" t="str">
        <f>IF(ISNUMBER(tblData[UK]),tblData[UK]/$T$9,"")</f>
        <v/>
      </c>
      <c r="U106" s="25"/>
      <c r="V106" s="20" t="str">
        <f>IF(ISNUMBER(tblData[China]),tblData[China]/$V$9,"")</f>
        <v/>
      </c>
      <c r="W106" s="20"/>
      <c r="X106" s="20" t="str">
        <f>IF(ISNUMBER(tblData[Singapore]),tblData[Singapore]/$X$9,"")</f>
        <v/>
      </c>
      <c r="Y106" s="20"/>
      <c r="Z106" s="20" t="str">
        <f>IF(AND(LEN(tblData[Generic])&gt;0,ISNUMBER(tblData[Generic])),tblData[Generic]/$Z$9,"")</f>
        <v/>
      </c>
      <c r="AA106" s="25">
        <f>IF(tblData[[#This Row],[Date]]&lt;ItalyStart,"",tblData[[#This Row],[Date]]-ItalyStart)</f>
        <v>231</v>
      </c>
      <c r="AB106" s="25">
        <f>IF(tblData[[#This Row],[Date]]&lt;USStart,"",tblData[[#This Row],[Date]]-USStart)</f>
        <v>239</v>
      </c>
      <c r="AC106" s="25">
        <f>IF(tblData[[#This Row],[Date]]&lt;ChinaStart,"",tblData[[#This Row],[Date]]-ChinaStart)</f>
        <v>239</v>
      </c>
      <c r="AD106" s="25">
        <f>IF(tblData[[#This Row],[Date]]&lt;StartDt2Korea,"",tblData[[#This Row],[Date]]-StartDt2Korea)</f>
        <v>211</v>
      </c>
      <c r="AE106" s="25">
        <f>IF(tblData[[#This Row],[Date]]&lt;UKStart,"",tblData[[#This Row],[Date]]-UKStart)</f>
        <v>231</v>
      </c>
      <c r="AF106" s="25">
        <f>IF(tblData[[#This Row],[Date]]&lt;SingaporeStart,"",tblData[[#This Row],[Date]]-SingaporeStart)</f>
        <v>238</v>
      </c>
      <c r="AG106" s="25">
        <f>IF(tblData[[#This Row],[Date]]&lt;GenStart,"",tblData[[#This Row],[Date]]-GenStart)</f>
        <v>239</v>
      </c>
      <c r="AH106">
        <f>IF(tblData[Date]&gt;=StartDt2Au,tblData[Date]-StartDt2Au,"")</f>
        <v>236</v>
      </c>
      <c r="AI106" s="25" t="str">
        <f>IF(tblData[New South Wales]&gt;0,SUM(tblData[[#This Row],[Australian Capital Territory]:[Western Australia]]),"")</f>
        <v/>
      </c>
      <c r="AJ106" s="12" t="str">
        <f>IF(ISNUMBER(tblData[Au]),tblData[Au]/$AE$9,"")</f>
        <v/>
      </c>
      <c r="AK106" s="41">
        <f>IF(ISNUMBER(tblData[[#This Row],[Day'# Aust]]),betaAu/(deltaAu+betaPodeltaAu*EXP(-betaAu*tblData[[#This Row],[Day'# Aust]])),"")</f>
        <v>7036.4105996678436</v>
      </c>
      <c r="AL106" s="67">
        <f>IF(ISNUMBER(tblData[Day'# Aust]),tblData[Au LogiP(t)]/$AJ$9,"")</f>
        <v>2774.172291305726</v>
      </c>
      <c r="AM106" s="11" t="str">
        <f>IF(AND(tblData[Date]&gt;=StartDt2Au,ISNUMBER(tblData[NSW])),(tblData[[#This Row],[Au LogiP(t)]]-tblData[[#This Row],[Au]])^2,"")</f>
        <v/>
      </c>
      <c r="AN106">
        <f>IF(tblData[Date]&gt;StartDt2NSW,tblData[Date]-StartDt2NSW,"")</f>
        <v>236</v>
      </c>
      <c r="AO106" s="25" t="str">
        <f t="shared" si="7"/>
        <v/>
      </c>
      <c r="AP106" s="11">
        <f>IF(tblData[Date]&gt;StartDt2NSW,betaNSW/(deltaNSW+betaPodeltaNSW*EXP(-betaNSW*tblData[[#This Row],[Day '# NSW]])),"")</f>
        <v>9599.8215448294268</v>
      </c>
      <c r="AQ106" s="12" t="str">
        <f>IF(AND(ISNUMBER(tblData[NSW]),tblData[Date]&gt;StartDt2NSW),(tblData[[#This Row],[NSW LogiP(t)]]-tblData[[#This Row],[NSW]])^2,"")</f>
        <v/>
      </c>
      <c r="AR106" s="41">
        <f>IF(AND(tblData[Date]&gt;StartDt2NSW,ISNUMBER(tblData[Day'# Aust])),tblData[NSW LogiP(t)]/$AQ$9,"")</f>
        <v>11880.96725845226</v>
      </c>
      <c r="AS106" s="11">
        <f>IF(AND(tblData[Date]&gt;StartDt2Italy,ISNUMBER(tblData[Days'# Italy])),betaItaly/(deltaItaly+betaPodeltaItaly*EXP(-betaItaly*tblData[Days'# Italy])),"")</f>
        <v>76058.397470454249</v>
      </c>
      <c r="AT106" s="11" t="str">
        <f>IF(AND(tblData[Date]&gt;StartDt2Italy,ISNUMBER(tblData[Italy])),(tblData[[#This Row],[Italy LogiP(t)]]-tblData[[#This Row],[Italy]])^2,"")</f>
        <v/>
      </c>
      <c r="AU106" s="41">
        <f>IF(AND(tblData[Date]&gt;StartDt2Italy,ISNUMBER(tblData[Days'# Italy])),tblData[[#This Row],[Italy LogiP(t)]]/$AT$9,"")</f>
        <v>12574.753653046913</v>
      </c>
      <c r="AV106" s="20">
        <f>IF(ISNUMBER(tblData[[#This Row],[Days'# US]]),betaUS/(deltaUS+betaPodeltaUS*EXP(-betaUS*tblData[Days'# US])),"")</f>
        <v>187367.55385189413</v>
      </c>
      <c r="AW106" s="11" t="str">
        <f>IF(AND(tblData[Date]&gt;=StartDt2US,ISNUMBER(tblData[US])),(tblData[[#This Row],[US LogiP(t)]]-tblData[US])^2,"")</f>
        <v/>
      </c>
      <c r="AX106" s="20">
        <f>IF(ISNUMBER(tblData[[#This Row],[Days'# US]]),tblData[[#This Row],[US LogiP(t)]]/$AW$9,"")</f>
        <v>5691.1228208540524</v>
      </c>
      <c r="AY106" s="20">
        <f>IF(tblData[Date]&gt;=StartDt2Korea,betaSKorea/(deltaSKorea+betaPodeltaSKorea*EXP(-betaSKorea*(tblData[Date]-StartDt2Korea))),"")</f>
        <v>8607.5560837730773</v>
      </c>
      <c r="AZ106" s="20" t="str">
        <f>IF(AND(tblData[Date]&gt;=StartDt2Korea,ISNUMBER(tblData[SKorea])),(tblData[[#This Row],[SKorea LogiP(t)]]-tblData[[#This Row],[SKorea]])^2,"")</f>
        <v/>
      </c>
      <c r="BA106" s="20">
        <f>IF(tblData[Date]&gt;=StartDt2Korea,tblData[[#This Row],[SKorea LogiP(t)]]/$AZ$9,"")</f>
        <v>1674.6218061815327</v>
      </c>
      <c r="BB106" s="79">
        <f>IF(ISNUMBER(tblData[Days'# UK]),betaUK/(deltaUK+betaPodeltaUK*EXP(-betaUK*tblData[Days'# UK])),"")</f>
        <v>22028.341869461943</v>
      </c>
      <c r="BC106" s="79" t="str">
        <f>IF(ISNUMBER(tblData[UK]),(tblData[[#This Row],[UK LogiP(t)]]-tblData[[#This Row],[UK]])^2,"")</f>
        <v/>
      </c>
      <c r="BD106" s="79">
        <f>IF(ISNUMBER(tblData[Days'# UK]),tblData[[#This Row],[UK LogiP(t)]]/$BC$9,"")</f>
        <v>3315.5240622308766</v>
      </c>
      <c r="BE106" s="11">
        <f>IF(ISNUMBER(tblData[Days'# China]),betaChina/(deltaChina+betaPodeltaChina*EXP(-betaChina*tblData[Days'# China])),"")</f>
        <v>81015.961191981085</v>
      </c>
      <c r="BF106" s="11" t="str">
        <f>IF(ISNUMBER(tblData[China]),(tblData[[#This Row],[China LogiP(t)]]-tblData[[#This Row],[China]])^2,"")</f>
        <v/>
      </c>
      <c r="BG106" s="11">
        <f>tblData[[#This Row],[China LogiP(t)]]/$BF$9</f>
        <v>562.87516778977385</v>
      </c>
      <c r="BH106" s="11">
        <f>IF(ISNUMBER(tblData[Day'# Singapore]),betaSingapore/(deltaSingapore+betaPodeltaSingapore*EXP(-betaSingapore*tblData[Day'# Singapore])),"")</f>
        <v>278096198.54430616</v>
      </c>
      <c r="BI106" s="11" t="str">
        <f>IF(AND(ISNUMBER(tblData[Singapore]),tblData[Date]&gt;=StartDt2Singapore),(tblData[[#This Row],[Singapore LogiP(t)]]-tblData[[#This Row],[Singapore]])^2,"")</f>
        <v/>
      </c>
      <c r="BJ106" s="11">
        <f>IF(ISNUMBER(tblData[Day'# Singapore]),tblData[Singapore LogiP(t)]/$BI$9,"")</f>
        <v>475378117.16975415</v>
      </c>
      <c r="BK106" s="11">
        <f>IF(ISNUMBER(tblData[Day'# Generic]),betaGeneric/(deltaGeneric+betaPodeltaGeneric*EXP(-betaGeneric*tblData[Day'# Generic])),"")</f>
        <v>67309.099344964648</v>
      </c>
      <c r="BL106" s="11" t="str">
        <f>IF(AND(ISNUMBER(tblData[Generic]),tblData[Date]&gt;=StartDt2Generic),(tblData[Generic LogiP(t)]-tblData[[#This Row],[Generic]])^2,"")</f>
        <v/>
      </c>
      <c r="BM106" s="11">
        <f>IF(ISNUMBER(tblData[Day'# Generic]),tblData[Generic LogiP(t)]/$BL$9,"")</f>
        <v>11505.828947857206</v>
      </c>
      <c r="BN106" s="11"/>
      <c r="BO106" s="11"/>
      <c r="BP106" s="11" t="str">
        <f>IF(ISNUMBER(tblData[[#This Row],[Tests]]),tblData[[#This Row],[Tests]]-BP105,"")</f>
        <v/>
      </c>
      <c r="BQ106" s="11" t="str">
        <f>IF(ISNUMBER(tblData[[#This Row],[NSW Under Investigation'']]),tblData[[#This Row],[NSW Under Investigation'']]-BO105,"")</f>
        <v/>
      </c>
      <c r="BR106" s="11">
        <f>IF(tblData[[#This Row],[Date]]&gt;myData!TestsStart,tblData[[#This Row],[Date]]-myData!TestsStart,"")</f>
        <v>196</v>
      </c>
      <c r="BS106" s="11">
        <f>IF(AND(tblData[[#This Row],[NSW Test Day Number]]&gt;0,ISNUMBER(tblData[[#This Row],[NSW Test Day Number]])),betaTests/(deltaTests+betaPodeltaTests*EXP(-betaTests*tblData[[#This Row],[NSW Test Day Number]])),"")</f>
        <v>107543.02659466589</v>
      </c>
      <c r="BT106" s="11" t="str">
        <f>IF(tblData[Tests]&gt;0,(tblData[[#This Row],[Tests]]-tblData[[#This Row],[NSW Test Logi]])^2,"")</f>
        <v/>
      </c>
      <c r="BU106" s="11" t="str">
        <f>IF(ISNUMBER(tblData[Tests]),tblData[Tests]/$BS$9/100,"")</f>
        <v/>
      </c>
      <c r="BV106" s="124">
        <f ca="1">IF(AND(tblData[[#This Row],[NSW Test Day Number]]&gt;0,ISNUMBER(tblData[[#This Row],[NSW Test Day Number]])),TestsLogestB*TestsLogestM^tblData[[#This Row],[NSW Test Day Number]],"")</f>
        <v>1601959594830032</v>
      </c>
      <c r="BW106" s="11" t="str">
        <f>IF(AND(tblData[[#This Row],[NSW Test Day Number]]&gt;0,ISNUMBER(tblData[Tests])),(tblData[Tests]-tblData[[#This Row],[NSW Test Per Capita]])^2,"")</f>
        <v/>
      </c>
      <c r="BX106" s="124"/>
      <c r="BY106" s="11"/>
      <c r="BZ106"/>
      <c r="CB106" s="25"/>
      <c r="CD106" s="25"/>
      <c r="CK106"/>
      <c r="CL106"/>
      <c r="CO106" s="25"/>
      <c r="CZ106" s="25"/>
      <c r="DA106" s="25"/>
      <c r="DC106"/>
      <c r="DD106"/>
      <c r="DG106" s="25"/>
      <c r="DH106" s="25"/>
      <c r="DV106"/>
      <c r="DW106"/>
      <c r="DX106"/>
      <c r="DY106" s="26" t="s">
        <v>176</v>
      </c>
      <c r="DZ106" s="76">
        <v>43914.462754629632</v>
      </c>
      <c r="EA106" s="26">
        <v>43852</v>
      </c>
      <c r="EB106" s="26">
        <v>43852</v>
      </c>
      <c r="EC106">
        <v>4</v>
      </c>
      <c r="ED106">
        <v>0.2221429979133962</v>
      </c>
      <c r="EE106" s="25">
        <v>2.7432177917623539E-6</v>
      </c>
      <c r="EF106">
        <v>1537.6493038446686</v>
      </c>
      <c r="EG106" s="95">
        <v>80978.987005870425</v>
      </c>
      <c r="EH106">
        <v>2060.8075886844472</v>
      </c>
      <c r="EI106">
        <v>1.4172600373876473E-4</v>
      </c>
      <c r="EJ106" s="97">
        <v>2.7432177917623541E-3</v>
      </c>
      <c r="EK106" s="26">
        <v>43912</v>
      </c>
      <c r="EL106" t="s">
        <v>1051</v>
      </c>
      <c r="EM106">
        <v>80978.9867574651</v>
      </c>
      <c r="EN106" s="25">
        <v>81397</v>
      </c>
      <c r="EO106" s="98" t="s">
        <v>1148</v>
      </c>
      <c r="EP106" s="26">
        <v>43912</v>
      </c>
      <c r="EQ106" s="25">
        <v>61</v>
      </c>
      <c r="ER106" t="s">
        <v>1149</v>
      </c>
      <c r="ET106" t="s">
        <v>1150</v>
      </c>
      <c r="EV106" s="25" t="s">
        <v>1151</v>
      </c>
      <c r="EW106" s="82">
        <v>565.52251381693293</v>
      </c>
      <c r="EX106" s="82">
        <v>43912</v>
      </c>
      <c r="EY106" s="25">
        <v>-2</v>
      </c>
      <c r="EZ106" s="25">
        <v>43913</v>
      </c>
      <c r="FA106">
        <v>0</v>
      </c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</row>
    <row r="107" spans="2:195" x14ac:dyDescent="0.25">
      <c r="B107" s="26">
        <f t="shared" si="9"/>
        <v>44098</v>
      </c>
      <c r="D107" s="25"/>
      <c r="L107" s="12" t="str">
        <f>IF(ISNUMBER(tblData[[#This Row],[NSW]]),tblData[[#This Row],[New South Wales]]/$L$9,"")</f>
        <v/>
      </c>
      <c r="M107" s="25"/>
      <c r="N107" s="46" t="str">
        <f>IF(ISNUMBER(tblData[Italy]),tblData[Italy]/$N$9,"")</f>
        <v/>
      </c>
      <c r="O107" s="25"/>
      <c r="P107" s="124" t="str">
        <f>IF(ISNUMBER(tblData[US]),tblData[US]/$P$9,"")</f>
        <v/>
      </c>
      <c r="Q107" s="46"/>
      <c r="R107" s="19" t="str">
        <f>IF(ISNUMBER(tblData[SKorea]),tblData[SKorea]/$R$9,"")</f>
        <v/>
      </c>
      <c r="S107" s="46"/>
      <c r="T107" s="12" t="str">
        <f>IF(ISNUMBER(tblData[UK]),tblData[UK]/$T$9,"")</f>
        <v/>
      </c>
      <c r="U107" s="25"/>
      <c r="V107" s="20" t="str">
        <f>IF(ISNUMBER(tblData[China]),tblData[China]/$V$9,"")</f>
        <v/>
      </c>
      <c r="W107" s="20"/>
      <c r="X107" s="20" t="str">
        <f>IF(ISNUMBER(tblData[Singapore]),tblData[Singapore]/$X$9,"")</f>
        <v/>
      </c>
      <c r="Y107" s="20"/>
      <c r="Z107" s="20" t="str">
        <f>IF(AND(LEN(tblData[Generic])&gt;0,ISNUMBER(tblData[Generic])),tblData[Generic]/$Z$9,"")</f>
        <v/>
      </c>
      <c r="AA107" s="25">
        <f>IF(tblData[[#This Row],[Date]]&lt;ItalyStart,"",tblData[[#This Row],[Date]]-ItalyStart)</f>
        <v>238</v>
      </c>
      <c r="AB107" s="25">
        <f>IF(tblData[[#This Row],[Date]]&lt;USStart,"",tblData[[#This Row],[Date]]-USStart)</f>
        <v>246</v>
      </c>
      <c r="AC107" s="25">
        <f>IF(tblData[[#This Row],[Date]]&lt;ChinaStart,"",tblData[[#This Row],[Date]]-ChinaStart)</f>
        <v>246</v>
      </c>
      <c r="AD107" s="25">
        <f>IF(tblData[[#This Row],[Date]]&lt;StartDt2Korea,"",tblData[[#This Row],[Date]]-StartDt2Korea)</f>
        <v>218</v>
      </c>
      <c r="AE107" s="25">
        <f>IF(tblData[[#This Row],[Date]]&lt;UKStart,"",tblData[[#This Row],[Date]]-UKStart)</f>
        <v>238</v>
      </c>
      <c r="AF107" s="25">
        <f>IF(tblData[[#This Row],[Date]]&lt;SingaporeStart,"",tblData[[#This Row],[Date]]-SingaporeStart)</f>
        <v>245</v>
      </c>
      <c r="AG107" s="25">
        <f>IF(tblData[[#This Row],[Date]]&lt;GenStart,"",tblData[[#This Row],[Date]]-GenStart)</f>
        <v>246</v>
      </c>
      <c r="AH107">
        <f>IF(tblData[Date]&gt;=StartDt2Au,tblData[Date]-StartDt2Au,"")</f>
        <v>243</v>
      </c>
      <c r="AI107" s="25" t="str">
        <f>IF(tblData[New South Wales]&gt;0,SUM(tblData[[#This Row],[Australian Capital Territory]:[Western Australia]]),"")</f>
        <v/>
      </c>
      <c r="AJ107" s="12" t="str">
        <f>IF(ISNUMBER(tblData[Au]),tblData[Au]/$AE$9,"")</f>
        <v/>
      </c>
      <c r="AK107" s="41">
        <f>IF(ISNUMBER(tblData[[#This Row],[Day'# Aust]]),betaAu/(deltaAu+betaPodeltaAu*EXP(-betaAu*tblData[[#This Row],[Day'# Aust]])),"")</f>
        <v>7036.4105996678436</v>
      </c>
      <c r="AL107" s="67">
        <f>IF(ISNUMBER(tblData[Day'# Aust]),tblData[Au LogiP(t)]/$AJ$9,"")</f>
        <v>2774.172291305726</v>
      </c>
      <c r="AM107" s="11" t="str">
        <f>IF(AND(tblData[Date]&gt;=StartDt2Au,ISNUMBER(tblData[NSW])),(tblData[[#This Row],[Au LogiP(t)]]-tblData[[#This Row],[Au]])^2,"")</f>
        <v/>
      </c>
      <c r="AN107">
        <f>IF(tblData[Date]&gt;StartDt2NSW,tblData[Date]-StartDt2NSW,"")</f>
        <v>243</v>
      </c>
      <c r="AO107" s="25" t="str">
        <f t="shared" si="7"/>
        <v/>
      </c>
      <c r="AP107" s="11">
        <f>IF(tblData[Date]&gt;StartDt2NSW,betaNSW/(deltaNSW+betaPodeltaNSW*EXP(-betaNSW*tblData[[#This Row],[Day '# NSW]])),"")</f>
        <v>9599.8215448294341</v>
      </c>
      <c r="AQ107" s="12" t="str">
        <f>IF(AND(ISNUMBER(tblData[NSW]),tblData[Date]&gt;StartDt2NSW),(tblData[[#This Row],[NSW LogiP(t)]]-tblData[[#This Row],[NSW]])^2,"")</f>
        <v/>
      </c>
      <c r="AR107" s="41">
        <f>IF(AND(tblData[Date]&gt;StartDt2NSW,ISNUMBER(tblData[Day'# Aust])),tblData[NSW LogiP(t)]/$AQ$9,"")</f>
        <v>11880.967258452269</v>
      </c>
      <c r="AS107" s="11">
        <f>IF(AND(tblData[Date]&gt;StartDt2Italy,ISNUMBER(tblData[Days'# Italy])),betaItaly/(deltaItaly+betaPodeltaItaly*EXP(-betaItaly*tblData[Days'# Italy])),"")</f>
        <v>76058.397470454249</v>
      </c>
      <c r="AT107" s="11" t="str">
        <f>IF(AND(tblData[Date]&gt;StartDt2Italy,ISNUMBER(tblData[Italy])),(tblData[[#This Row],[Italy LogiP(t)]]-tblData[[#This Row],[Italy]])^2,"")</f>
        <v/>
      </c>
      <c r="AU107" s="41">
        <f>IF(AND(tblData[Date]&gt;StartDt2Italy,ISNUMBER(tblData[Days'# Italy])),tblData[[#This Row],[Italy LogiP(t)]]/$AT$9,"")</f>
        <v>12574.753653046913</v>
      </c>
      <c r="AV107" s="20">
        <f>IF(ISNUMBER(tblData[[#This Row],[Days'# US]]),betaUS/(deltaUS+betaPodeltaUS*EXP(-betaUS*tblData[Days'# US])),"")</f>
        <v>187367.55385189413</v>
      </c>
      <c r="AW107" s="11" t="str">
        <f>IF(AND(tblData[Date]&gt;=StartDt2US,ISNUMBER(tblData[US])),(tblData[[#This Row],[US LogiP(t)]]-tblData[US])^2,"")</f>
        <v/>
      </c>
      <c r="AX107" s="20">
        <f>IF(ISNUMBER(tblData[[#This Row],[Days'# US]]),tblData[[#This Row],[US LogiP(t)]]/$AW$9,"")</f>
        <v>5691.1228208540524</v>
      </c>
      <c r="AY107" s="20">
        <f>IF(tblData[Date]&gt;=StartDt2Korea,betaSKorea/(deltaSKorea+betaPodeltaSKorea*EXP(-betaSKorea*(tblData[Date]-StartDt2Korea))),"")</f>
        <v>8607.5560837730773</v>
      </c>
      <c r="AZ107" s="20" t="str">
        <f>IF(AND(tblData[Date]&gt;=StartDt2Korea,ISNUMBER(tblData[SKorea])),(tblData[[#This Row],[SKorea LogiP(t)]]-tblData[[#This Row],[SKorea]])^2,"")</f>
        <v/>
      </c>
      <c r="BA107" s="20">
        <f>IF(tblData[Date]&gt;=StartDt2Korea,tblData[[#This Row],[SKorea LogiP(t)]]/$AZ$9,"")</f>
        <v>1674.6218061815327</v>
      </c>
      <c r="BB107" s="79">
        <f>IF(ISNUMBER(tblData[Days'# UK]),betaUK/(deltaUK+betaPodeltaUK*EXP(-betaUK*tblData[Days'# UK])),"")</f>
        <v>22028.341869461943</v>
      </c>
      <c r="BC107" s="79" t="str">
        <f>IF(ISNUMBER(tblData[UK]),(tblData[[#This Row],[UK LogiP(t)]]-tblData[[#This Row],[UK]])^2,"")</f>
        <v/>
      </c>
      <c r="BD107" s="79">
        <f>IF(ISNUMBER(tblData[Days'# UK]),tblData[[#This Row],[UK LogiP(t)]]/$BC$9,"")</f>
        <v>3315.5240622308766</v>
      </c>
      <c r="BE107" s="11">
        <f>IF(ISNUMBER(tblData[Days'# China]),betaChina/(deltaChina+betaPodeltaChina*EXP(-betaChina*tblData[Days'# China])),"")</f>
        <v>81015.961191981085</v>
      </c>
      <c r="BF107" s="11" t="str">
        <f>IF(ISNUMBER(tblData[China]),(tblData[[#This Row],[China LogiP(t)]]-tblData[[#This Row],[China]])^2,"")</f>
        <v/>
      </c>
      <c r="BG107" s="11">
        <f>tblData[[#This Row],[China LogiP(t)]]/$BF$9</f>
        <v>562.87516778977385</v>
      </c>
      <c r="BH107" s="11">
        <f>IF(ISNUMBER(tblData[Day'# Singapore]),betaSingapore/(deltaSingapore+betaPodeltaSingapore*EXP(-betaSingapore*tblData[Day'# Singapore])),"")</f>
        <v>467199988.51417083</v>
      </c>
      <c r="BI107" s="11" t="str">
        <f>IF(AND(ISNUMBER(tblData[Singapore]),tblData[Date]&gt;=StartDt2Singapore),(tblData[[#This Row],[Singapore LogiP(t)]]-tblData[[#This Row],[Singapore]])^2,"")</f>
        <v/>
      </c>
      <c r="BJ107" s="11">
        <f>IF(ISNUMBER(tblData[Day'# Singapore]),tblData[Singapore LogiP(t)]/$BI$9,"")</f>
        <v>798632458.9985826</v>
      </c>
      <c r="BK107" s="11">
        <f>IF(ISNUMBER(tblData[Day'# Generic]),betaGeneric/(deltaGeneric+betaPodeltaGeneric*EXP(-betaGeneric*tblData[Day'# Generic])),"")</f>
        <v>67309.099344964648</v>
      </c>
      <c r="BL107" s="11" t="str">
        <f>IF(AND(ISNUMBER(tblData[Generic]),tblData[Date]&gt;=StartDt2Generic),(tblData[Generic LogiP(t)]-tblData[[#This Row],[Generic]])^2,"")</f>
        <v/>
      </c>
      <c r="BM107" s="11">
        <f>IF(ISNUMBER(tblData[Day'# Generic]),tblData[Generic LogiP(t)]/$BL$9,"")</f>
        <v>11505.828947857206</v>
      </c>
      <c r="BN107" s="11"/>
      <c r="BO107" s="11"/>
      <c r="BP107" s="11" t="str">
        <f>IF(ISNUMBER(tblData[[#This Row],[Tests]]),tblData[[#This Row],[Tests]]-BP106,"")</f>
        <v/>
      </c>
      <c r="BQ107" s="11" t="str">
        <f>IF(ISNUMBER(tblData[[#This Row],[NSW Under Investigation'']]),tblData[[#This Row],[NSW Under Investigation'']]-BO106,"")</f>
        <v/>
      </c>
      <c r="BR107" s="11">
        <f>IF(tblData[[#This Row],[Date]]&gt;myData!TestsStart,tblData[[#This Row],[Date]]-myData!TestsStart,"")</f>
        <v>203</v>
      </c>
      <c r="BS107" s="11">
        <f>IF(AND(tblData[[#This Row],[NSW Test Day Number]]&gt;0,ISNUMBER(tblData[[#This Row],[NSW Test Day Number]])),betaTests/(deltaTests+betaPodeltaTests*EXP(-betaTests*tblData[[#This Row],[NSW Test Day Number]])),"")</f>
        <v>107543.02659466591</v>
      </c>
      <c r="BT107" s="11" t="str">
        <f>IF(tblData[Tests]&gt;0,(tblData[[#This Row],[Tests]]-tblData[[#This Row],[NSW Test Logi]])^2,"")</f>
        <v/>
      </c>
      <c r="BU107" s="11" t="str">
        <f>IF(ISNUMBER(tblData[Tests]),tblData[Tests]/$BS$9/100,"")</f>
        <v/>
      </c>
      <c r="BV107" s="124">
        <f ca="1">IF(AND(tblData[[#This Row],[NSW Test Day Number]]&gt;0,ISNUMBER(tblData[[#This Row],[NSW Test Day Number]])),TestsLogestB*TestsLogestM^tblData[[#This Row],[NSW Test Day Number]],"")</f>
        <v>4124422231276785</v>
      </c>
      <c r="BW107" s="11" t="str">
        <f>IF(AND(tblData[[#This Row],[NSW Test Day Number]]&gt;0,ISNUMBER(tblData[Tests])),(tblData[Tests]-tblData[[#This Row],[NSW Test Per Capita]])^2,"")</f>
        <v/>
      </c>
      <c r="BX107" s="124"/>
      <c r="BY107" s="11"/>
      <c r="BZ107"/>
      <c r="CB107" s="25"/>
      <c r="CD107" s="25"/>
      <c r="CK107"/>
      <c r="CL107"/>
      <c r="CO107" s="25"/>
      <c r="CZ107" s="25"/>
      <c r="DA107" s="25"/>
      <c r="DC107"/>
      <c r="DD107"/>
      <c r="DG107" s="25"/>
      <c r="DH107" s="25"/>
      <c r="DV107"/>
      <c r="DW107"/>
      <c r="DX107"/>
      <c r="DY107" s="26" t="s">
        <v>176</v>
      </c>
      <c r="DZ107" s="76">
        <v>43915.87363425926</v>
      </c>
      <c r="EA107" s="26">
        <v>43852</v>
      </c>
      <c r="EB107" s="26">
        <v>43852</v>
      </c>
      <c r="EC107">
        <v>4</v>
      </c>
      <c r="ED107">
        <v>0.2221429979133962</v>
      </c>
      <c r="EE107" s="25">
        <v>2.7432177917623539E-6</v>
      </c>
      <c r="EF107">
        <v>1537.6493038446686</v>
      </c>
      <c r="EG107" s="95">
        <v>80978.987005870425</v>
      </c>
      <c r="EH107">
        <v>2044.3563776813351</v>
      </c>
      <c r="EI107">
        <v>1.4172600373876473E-4</v>
      </c>
      <c r="EJ107" s="97">
        <v>2.7432177917623541E-3</v>
      </c>
      <c r="EK107" s="26">
        <v>43914</v>
      </c>
      <c r="EL107" s="26" t="s">
        <v>1051</v>
      </c>
      <c r="EM107">
        <v>80978.9867574651</v>
      </c>
      <c r="EN107" s="25">
        <v>81397</v>
      </c>
      <c r="EO107" s="98" t="s">
        <v>1148</v>
      </c>
      <c r="EP107" s="26">
        <v>43913</v>
      </c>
      <c r="EQ107" s="25">
        <v>62</v>
      </c>
      <c r="ER107" t="s">
        <v>1149</v>
      </c>
      <c r="ET107" t="s">
        <v>1150</v>
      </c>
      <c r="EV107" t="s">
        <v>1390</v>
      </c>
      <c r="EW107" s="82">
        <v>565.52251381693293</v>
      </c>
      <c r="EX107" s="25">
        <v>43912</v>
      </c>
      <c r="EY107" s="82">
        <v>-3</v>
      </c>
      <c r="EZ107" s="25">
        <v>43912</v>
      </c>
      <c r="FA107">
        <v>-3</v>
      </c>
      <c r="FC107" s="25"/>
      <c r="FD107" s="25"/>
      <c r="FE107" s="25"/>
      <c r="FF107" s="25"/>
      <c r="FG107" s="25"/>
      <c r="FH107" s="25"/>
      <c r="FI107" s="25"/>
      <c r="FJ107" s="25"/>
      <c r="FK107" s="25"/>
      <c r="FL107" s="25"/>
      <c r="FM107" s="25"/>
      <c r="FN107" s="25"/>
      <c r="FO107" s="25"/>
      <c r="FP107" s="25"/>
      <c r="FQ107" s="25"/>
      <c r="FR107" s="25"/>
      <c r="FS107" s="25"/>
      <c r="FT107" s="25"/>
      <c r="FU107" s="25"/>
      <c r="FV107" s="25"/>
      <c r="FW107" s="25"/>
      <c r="FX107" s="25"/>
      <c r="FY107" s="25"/>
      <c r="FZ107" s="25"/>
      <c r="GA107" s="25"/>
      <c r="GB107" s="25"/>
      <c r="GC107" s="25"/>
      <c r="GD107" s="25"/>
      <c r="GE107" s="25"/>
      <c r="GF107" s="25"/>
      <c r="GG107" s="25"/>
      <c r="GH107" s="25"/>
      <c r="GI107" s="25"/>
      <c r="GJ107" s="25"/>
      <c r="GK107" s="25"/>
      <c r="GL107" s="25"/>
    </row>
    <row r="108" spans="2:195" s="25" customFormat="1" x14ac:dyDescent="0.25">
      <c r="B108" s="26">
        <f t="shared" si="9"/>
        <v>44105</v>
      </c>
      <c r="L108" s="12" t="str">
        <f>IF(ISNUMBER(tblData[[#This Row],[NSW]]),tblData[[#This Row],[New South Wales]]/$L$9,"")</f>
        <v/>
      </c>
      <c r="N108" s="46" t="str">
        <f>IF(ISNUMBER(tblData[Italy]),tblData[Italy]/$N$9,"")</f>
        <v/>
      </c>
      <c r="P108" s="124" t="str">
        <f>IF(ISNUMBER(tblData[US]),tblData[US]/$P$9,"")</f>
        <v/>
      </c>
      <c r="Q108" s="46"/>
      <c r="R108" s="19" t="str">
        <f>IF(ISNUMBER(tblData[SKorea]),tblData[SKorea]/$R$9,"")</f>
        <v/>
      </c>
      <c r="S108" s="46"/>
      <c r="T108" s="12" t="str">
        <f>IF(ISNUMBER(tblData[UK]),tblData[UK]/$T$9,"")</f>
        <v/>
      </c>
      <c r="V108" s="20" t="str">
        <f>IF(ISNUMBER(tblData[China]),tblData[China]/$V$9,"")</f>
        <v/>
      </c>
      <c r="W108" s="20"/>
      <c r="X108" s="20" t="str">
        <f>IF(ISNUMBER(tblData[Singapore]),tblData[Singapore]/$X$9,"")</f>
        <v/>
      </c>
      <c r="Y108" s="20"/>
      <c r="Z108" s="20" t="str">
        <f>IF(AND(LEN(tblData[Generic])&gt;0,ISNUMBER(tblData[Generic])),tblData[Generic]/$Z$9,"")</f>
        <v/>
      </c>
      <c r="AA108" s="25">
        <f>IF(tblData[[#This Row],[Date]]&lt;ItalyStart,"",tblData[[#This Row],[Date]]-ItalyStart)</f>
        <v>245</v>
      </c>
      <c r="AB108" s="25">
        <f>IF(tblData[[#This Row],[Date]]&lt;USStart,"",tblData[[#This Row],[Date]]-USStart)</f>
        <v>253</v>
      </c>
      <c r="AC108" s="25">
        <f>IF(tblData[[#This Row],[Date]]&lt;ChinaStart,"",tblData[[#This Row],[Date]]-ChinaStart)</f>
        <v>253</v>
      </c>
      <c r="AD108" s="25">
        <f>IF(tblData[[#This Row],[Date]]&lt;StartDt2Korea,"",tblData[[#This Row],[Date]]-StartDt2Korea)</f>
        <v>225</v>
      </c>
      <c r="AE108" s="25">
        <f>IF(tblData[[#This Row],[Date]]&lt;UKStart,"",tblData[[#This Row],[Date]]-UKStart)</f>
        <v>245</v>
      </c>
      <c r="AF108" s="25">
        <f>IF(tblData[[#This Row],[Date]]&lt;SingaporeStart,"",tblData[[#This Row],[Date]]-SingaporeStart)</f>
        <v>252</v>
      </c>
      <c r="AG108" s="25">
        <f>IF(tblData[[#This Row],[Date]]&lt;GenStart,"",tblData[[#This Row],[Date]]-GenStart)</f>
        <v>253</v>
      </c>
      <c r="AH108" s="25">
        <f>IF(tblData[Date]&gt;=StartDt2Au,tblData[Date]-StartDt2Au,"")</f>
        <v>250</v>
      </c>
      <c r="AI108" s="25" t="str">
        <f>IF(tblData[New South Wales]&gt;0,SUM(tblData[[#This Row],[Australian Capital Territory]:[Western Australia]]),"")</f>
        <v/>
      </c>
      <c r="AJ108" s="12" t="str">
        <f>IF(ISNUMBER(tblData[Au]),tblData[Au]/$AE$9,"")</f>
        <v/>
      </c>
      <c r="AK108" s="41">
        <f>IF(ISNUMBER(tblData[[#This Row],[Day'# Aust]]),betaAu/(deltaAu+betaPodeltaAu*EXP(-betaAu*tblData[[#This Row],[Day'# Aust]])),"")</f>
        <v>7036.4105996678436</v>
      </c>
      <c r="AL108" s="67">
        <f>IF(ISNUMBER(tblData[Day'# Aust]),tblData[Au LogiP(t)]/$AJ$9,"")</f>
        <v>2774.172291305726</v>
      </c>
      <c r="AM108" s="11" t="str">
        <f>IF(AND(tblData[Date]&gt;=StartDt2Au,ISNUMBER(tblData[NSW])),(tblData[[#This Row],[Au LogiP(t)]]-tblData[[#This Row],[Au]])^2,"")</f>
        <v/>
      </c>
      <c r="AN108" s="25">
        <f>IF(tblData[Date]&gt;StartDt2NSW,tblData[Date]-StartDt2NSW,"")</f>
        <v>250</v>
      </c>
      <c r="AO108" s="25" t="str">
        <f t="shared" si="7"/>
        <v/>
      </c>
      <c r="AP108" s="11">
        <f>IF(tblData[Date]&gt;StartDt2NSW,betaNSW/(deltaNSW+betaPodeltaNSW*EXP(-betaNSW*tblData[[#This Row],[Day '# NSW]])),"")</f>
        <v>9599.8215448294359</v>
      </c>
      <c r="AQ108" s="12" t="str">
        <f>IF(AND(ISNUMBER(tblData[NSW]),tblData[Date]&gt;StartDt2NSW),(tblData[[#This Row],[NSW LogiP(t)]]-tblData[[#This Row],[NSW]])^2,"")</f>
        <v/>
      </c>
      <c r="AR108" s="41">
        <f>IF(AND(tblData[Date]&gt;StartDt2NSW,ISNUMBER(tblData[Day'# Aust])),tblData[NSW LogiP(t)]/$AQ$9,"")</f>
        <v>11880.96725845227</v>
      </c>
      <c r="AS108" s="11">
        <f>IF(AND(tblData[Date]&gt;StartDt2Italy,ISNUMBER(tblData[Days'# Italy])),betaItaly/(deltaItaly+betaPodeltaItaly*EXP(-betaItaly*tblData[Days'# Italy])),"")</f>
        <v>76058.397470454249</v>
      </c>
      <c r="AT108" s="11" t="str">
        <f>IF(AND(tblData[Date]&gt;StartDt2Italy,ISNUMBER(tblData[Italy])),(tblData[[#This Row],[Italy LogiP(t)]]-tblData[[#This Row],[Italy]])^2,"")</f>
        <v/>
      </c>
      <c r="AU108" s="41">
        <f>IF(AND(tblData[Date]&gt;StartDt2Italy,ISNUMBER(tblData[Days'# Italy])),tblData[[#This Row],[Italy LogiP(t)]]/$AT$9,"")</f>
        <v>12574.753653046913</v>
      </c>
      <c r="AV108" s="20">
        <f>IF(ISNUMBER(tblData[[#This Row],[Days'# US]]),betaUS/(deltaUS+betaPodeltaUS*EXP(-betaUS*tblData[Days'# US])),"")</f>
        <v>187367.55385189413</v>
      </c>
      <c r="AW108" s="11" t="str">
        <f>IF(AND(tblData[Date]&gt;=StartDt2US,ISNUMBER(tblData[US])),(tblData[[#This Row],[US LogiP(t)]]-tblData[US])^2,"")</f>
        <v/>
      </c>
      <c r="AX108" s="20">
        <f>IF(ISNUMBER(tblData[[#This Row],[Days'# US]]),tblData[[#This Row],[US LogiP(t)]]/$AW$9,"")</f>
        <v>5691.1228208540524</v>
      </c>
      <c r="AY108" s="20">
        <f>IF(tblData[Date]&gt;=StartDt2Korea,betaSKorea/(deltaSKorea+betaPodeltaSKorea*EXP(-betaSKorea*(tblData[Date]-StartDt2Korea))),"")</f>
        <v>8607.5560837730773</v>
      </c>
      <c r="AZ108" s="20" t="str">
        <f>IF(AND(tblData[Date]&gt;=StartDt2Korea,ISNUMBER(tblData[SKorea])),(tblData[[#This Row],[SKorea LogiP(t)]]-tblData[[#This Row],[SKorea]])^2,"")</f>
        <v/>
      </c>
      <c r="BA108" s="20">
        <f>IF(tblData[Date]&gt;=StartDt2Korea,tblData[[#This Row],[SKorea LogiP(t)]]/$AZ$9,"")</f>
        <v>1674.6218061815327</v>
      </c>
      <c r="BB108" s="79">
        <f>IF(ISNUMBER(tblData[Days'# UK]),betaUK/(deltaUK+betaPodeltaUK*EXP(-betaUK*tblData[Days'# UK])),"")</f>
        <v>22028.341869461943</v>
      </c>
      <c r="BC108" s="79" t="str">
        <f>IF(ISNUMBER(tblData[UK]),(tblData[[#This Row],[UK LogiP(t)]]-tblData[[#This Row],[UK]])^2,"")</f>
        <v/>
      </c>
      <c r="BD108" s="79">
        <f>IF(ISNUMBER(tblData[Days'# UK]),tblData[[#This Row],[UK LogiP(t)]]/$BC$9,"")</f>
        <v>3315.5240622308766</v>
      </c>
      <c r="BE108" s="11">
        <f>IF(ISNUMBER(tblData[Days'# China]),betaChina/(deltaChina+betaPodeltaChina*EXP(-betaChina*tblData[Days'# China])),"")</f>
        <v>81015.961191981085</v>
      </c>
      <c r="BF108" s="11" t="str">
        <f>IF(ISNUMBER(tblData[China]),(tblData[[#This Row],[China LogiP(t)]]-tblData[[#This Row],[China]])^2,"")</f>
        <v/>
      </c>
      <c r="BG108" s="11">
        <f>tblData[[#This Row],[China LogiP(t)]]/$BF$9</f>
        <v>562.87516778977385</v>
      </c>
      <c r="BH108" s="11">
        <f>IF(ISNUMBER(tblData[Day'# Singapore]),betaSingapore/(deltaSingapore+betaPodeltaSingapore*EXP(-betaSingapore*tblData[Day'# Singapore])),"")</f>
        <v>783535362.84865844</v>
      </c>
      <c r="BI108" s="11" t="str">
        <f>IF(AND(ISNUMBER(tblData[Singapore]),tblData[Date]&gt;=StartDt2Singapore),(tblData[[#This Row],[Singapore LogiP(t)]]-tblData[[#This Row],[Singapore]])^2,"")</f>
        <v/>
      </c>
      <c r="BJ108" s="11">
        <f>IF(ISNUMBER(tblData[Day'# Singapore]),tblData[Singapore LogiP(t)]/$BI$9,"")</f>
        <v>1339376688.6301854</v>
      </c>
      <c r="BK108" s="11">
        <f>IF(ISNUMBER(tblData[Day'# Generic]),betaGeneric/(deltaGeneric+betaPodeltaGeneric*EXP(-betaGeneric*tblData[Day'# Generic])),"")</f>
        <v>67309.099344964648</v>
      </c>
      <c r="BL108" s="11" t="str">
        <f>IF(AND(ISNUMBER(tblData[Generic]),tblData[Date]&gt;=StartDt2Generic),(tblData[Generic LogiP(t)]-tblData[[#This Row],[Generic]])^2,"")</f>
        <v/>
      </c>
      <c r="BM108" s="11">
        <f>IF(ISNUMBER(tblData[Day'# Generic]),tblData[Generic LogiP(t)]/$BL$9,"")</f>
        <v>11505.828947857206</v>
      </c>
      <c r="BN108" s="11"/>
      <c r="BO108" s="11"/>
      <c r="BP108" s="11" t="str">
        <f>IF(ISNUMBER(tblData[[#This Row],[Tests]]),tblData[[#This Row],[Tests]]-BP107,"")</f>
        <v/>
      </c>
      <c r="BQ108" s="11" t="str">
        <f>IF(ISNUMBER(tblData[[#This Row],[NSW Under Investigation'']]),tblData[[#This Row],[NSW Under Investigation'']]-BO107,"")</f>
        <v/>
      </c>
      <c r="BR108" s="11">
        <f>IF(tblData[[#This Row],[Date]]&gt;myData!TestsStart,tblData[[#This Row],[Date]]-myData!TestsStart,"")</f>
        <v>210</v>
      </c>
      <c r="BS108" s="11">
        <f>IF(AND(tblData[[#This Row],[NSW Test Day Number]]&gt;0,ISNUMBER(tblData[[#This Row],[NSW Test Day Number]])),betaTests/(deltaTests+betaPodeltaTests*EXP(-betaTests*tblData[[#This Row],[NSW Test Day Number]])),"")</f>
        <v>107543.02659466591</v>
      </c>
      <c r="BT108" s="11" t="str">
        <f>IF(tblData[Tests]&gt;0,(tblData[[#This Row],[Tests]]-tblData[[#This Row],[NSW Test Logi]])^2,"")</f>
        <v/>
      </c>
      <c r="BU108" s="11" t="str">
        <f>IF(ISNUMBER(tblData[Tests]),tblData[Tests]/$BS$9/100,"")</f>
        <v/>
      </c>
      <c r="BV108" s="124">
        <f ca="1">IF(AND(tblData[[#This Row],[NSW Test Day Number]]&gt;0,ISNUMBER(tblData[[#This Row],[NSW Test Day Number]])),TestsLogestB*TestsLogestM^tblData[[#This Row],[NSW Test Day Number]],"")</f>
        <v>1.0618781395454E+16</v>
      </c>
      <c r="BW108" s="11" t="str">
        <f>IF(AND(tblData[[#This Row],[NSW Test Day Number]]&gt;0,ISNUMBER(tblData[Tests])),(tblData[Tests]-tblData[[#This Row],[NSW Test Per Capita]])^2,"")</f>
        <v/>
      </c>
      <c r="BX108" s="124"/>
      <c r="BY108" s="11"/>
      <c r="CA108"/>
      <c r="CC108"/>
      <c r="CE108"/>
      <c r="CF108"/>
      <c r="CG108"/>
      <c r="CH108"/>
      <c r="CI108"/>
      <c r="CJ108"/>
      <c r="CK108"/>
      <c r="CL108"/>
      <c r="CM108"/>
      <c r="CN108"/>
      <c r="CP108"/>
      <c r="CQ108"/>
      <c r="CR108"/>
      <c r="CS108"/>
      <c r="CT108"/>
      <c r="CU108"/>
      <c r="CV108"/>
      <c r="CW108"/>
      <c r="CX108"/>
      <c r="CY108"/>
      <c r="DB108"/>
      <c r="DC108"/>
      <c r="DD108"/>
      <c r="DI108"/>
      <c r="DJ108"/>
      <c r="DK108"/>
      <c r="DL108"/>
      <c r="DM108"/>
      <c r="DN108"/>
      <c r="DO108"/>
      <c r="DP108"/>
      <c r="DY108" s="26" t="s">
        <v>176</v>
      </c>
      <c r="DZ108" s="76">
        <v>43916.89912037037</v>
      </c>
      <c r="EA108" s="26">
        <v>43852</v>
      </c>
      <c r="EB108" s="26">
        <v>43852</v>
      </c>
      <c r="EC108">
        <v>4</v>
      </c>
      <c r="ED108" s="25">
        <v>0.2221429979133962</v>
      </c>
      <c r="EE108" s="95">
        <v>2.7419658379043434E-6</v>
      </c>
      <c r="EF108" s="25">
        <v>1537.6493038446686</v>
      </c>
      <c r="EG108" s="25">
        <v>81015.961191981085</v>
      </c>
      <c r="EH108" s="97">
        <v>2021.5829170643694</v>
      </c>
      <c r="EI108" s="26">
        <v>1.4172725569262275E-4</v>
      </c>
      <c r="EJ108" s="25">
        <v>2.7419658379043434E-3</v>
      </c>
      <c r="EK108" s="26">
        <v>43915</v>
      </c>
      <c r="EL108" s="98" t="s">
        <v>1051</v>
      </c>
      <c r="EM108" s="25">
        <v>81015.961191981085</v>
      </c>
      <c r="EN108" s="26">
        <v>81661</v>
      </c>
      <c r="EO108" t="s">
        <v>1148</v>
      </c>
      <c r="EP108" s="26">
        <v>43915</v>
      </c>
      <c r="EQ108" s="25">
        <v>64</v>
      </c>
      <c r="ER108" s="25" t="s">
        <v>1149</v>
      </c>
      <c r="ES108"/>
      <c r="ET108" s="82" t="s">
        <v>1150</v>
      </c>
      <c r="EU108"/>
      <c r="EV108" s="82" t="s">
        <v>1879</v>
      </c>
      <c r="EW108">
        <v>567.35670848808377</v>
      </c>
      <c r="EX108" s="25">
        <v>43912</v>
      </c>
      <c r="EY108" s="25">
        <v>-4</v>
      </c>
      <c r="EZ108" s="25">
        <v>43912</v>
      </c>
      <c r="FA108">
        <v>-4</v>
      </c>
      <c r="FB108"/>
      <c r="FD108"/>
      <c r="FE108"/>
      <c r="FF108"/>
      <c r="FG108"/>
      <c r="FH108"/>
    </row>
    <row r="109" spans="2:195" s="25" customFormat="1" x14ac:dyDescent="0.25">
      <c r="B109" s="26">
        <f t="shared" si="9"/>
        <v>44112</v>
      </c>
      <c r="L109" s="12" t="str">
        <f>IF(ISNUMBER(tblData[[#This Row],[NSW]]),tblData[[#This Row],[New South Wales]]/$L$9,"")</f>
        <v/>
      </c>
      <c r="N109" s="46" t="str">
        <f>IF(ISNUMBER(tblData[Italy]),tblData[Italy]/$N$9,"")</f>
        <v/>
      </c>
      <c r="P109" s="124" t="str">
        <f>IF(ISNUMBER(tblData[US]),tblData[US]/$P$9,"")</f>
        <v/>
      </c>
      <c r="Q109" s="46"/>
      <c r="R109" s="19" t="str">
        <f>IF(ISNUMBER(tblData[SKorea]),tblData[SKorea]/$R$9,"")</f>
        <v/>
      </c>
      <c r="S109" s="46"/>
      <c r="T109" s="12" t="str">
        <f>IF(ISNUMBER(tblData[UK]),tblData[UK]/$T$9,"")</f>
        <v/>
      </c>
      <c r="V109" s="20" t="str">
        <f>IF(ISNUMBER(tblData[China]),tblData[China]/$V$9,"")</f>
        <v/>
      </c>
      <c r="W109" s="20"/>
      <c r="X109" s="20" t="str">
        <f>IF(ISNUMBER(tblData[Singapore]),tblData[Singapore]/$X$9,"")</f>
        <v/>
      </c>
      <c r="Y109" s="20"/>
      <c r="Z109" s="20" t="str">
        <f>IF(AND(LEN(tblData[Generic])&gt;0,ISNUMBER(tblData[Generic])),tblData[Generic]/$Z$9,"")</f>
        <v/>
      </c>
      <c r="AA109" s="25">
        <f>IF(tblData[[#This Row],[Date]]&lt;ItalyStart,"",tblData[[#This Row],[Date]]-ItalyStart)</f>
        <v>252</v>
      </c>
      <c r="AB109" s="25">
        <f>IF(tblData[[#This Row],[Date]]&lt;USStart,"",tblData[[#This Row],[Date]]-USStart)</f>
        <v>260</v>
      </c>
      <c r="AC109" s="25">
        <f>IF(tblData[[#This Row],[Date]]&lt;ChinaStart,"",tblData[[#This Row],[Date]]-ChinaStart)</f>
        <v>260</v>
      </c>
      <c r="AD109" s="25">
        <f>IF(tblData[[#This Row],[Date]]&lt;StartDt2Korea,"",tblData[[#This Row],[Date]]-StartDt2Korea)</f>
        <v>232</v>
      </c>
      <c r="AE109" s="25">
        <f>IF(tblData[[#This Row],[Date]]&lt;UKStart,"",tblData[[#This Row],[Date]]-UKStart)</f>
        <v>252</v>
      </c>
      <c r="AF109" s="25">
        <f>IF(tblData[[#This Row],[Date]]&lt;SingaporeStart,"",tblData[[#This Row],[Date]]-SingaporeStart)</f>
        <v>259</v>
      </c>
      <c r="AG109" s="25">
        <f>IF(tblData[[#This Row],[Date]]&lt;GenStart,"",tblData[[#This Row],[Date]]-GenStart)</f>
        <v>260</v>
      </c>
      <c r="AH109" s="25">
        <f>IF(tblData[Date]&gt;=StartDt2Au,tblData[Date]-StartDt2Au,"")</f>
        <v>257</v>
      </c>
      <c r="AI109" s="25" t="str">
        <f>IF(tblData[New South Wales]&gt;0,SUM(tblData[[#This Row],[Australian Capital Territory]:[Western Australia]]),"")</f>
        <v/>
      </c>
      <c r="AJ109" s="12" t="str">
        <f>IF(ISNUMBER(tblData[Au]),tblData[Au]/$AE$9,"")</f>
        <v/>
      </c>
      <c r="AK109" s="41">
        <f>IF(ISNUMBER(tblData[[#This Row],[Day'# Aust]]),betaAu/(deltaAu+betaPodeltaAu*EXP(-betaAu*tblData[[#This Row],[Day'# Aust]])),"")</f>
        <v>7036.4105996678436</v>
      </c>
      <c r="AL109" s="67">
        <f>IF(ISNUMBER(tblData[Day'# Aust]),tblData[Au LogiP(t)]/$AJ$9,"")</f>
        <v>2774.172291305726</v>
      </c>
      <c r="AM109" s="11" t="str">
        <f>IF(AND(tblData[Date]&gt;=StartDt2Au,ISNUMBER(tblData[NSW])),(tblData[[#This Row],[Au LogiP(t)]]-tblData[[#This Row],[Au]])^2,"")</f>
        <v/>
      </c>
      <c r="AN109" s="25">
        <f>IF(tblData[Date]&gt;StartDt2NSW,tblData[Date]-StartDt2NSW,"")</f>
        <v>257</v>
      </c>
      <c r="AO109" s="25" t="str">
        <f t="shared" si="7"/>
        <v/>
      </c>
      <c r="AP109" s="11">
        <f>IF(tblData[Date]&gt;StartDt2NSW,betaNSW/(deltaNSW+betaPodeltaNSW*EXP(-betaNSW*tblData[[#This Row],[Day '# NSW]])),"")</f>
        <v>9599.8215448294359</v>
      </c>
      <c r="AQ109" s="12" t="str">
        <f>IF(AND(ISNUMBER(tblData[NSW]),tblData[Date]&gt;StartDt2NSW),(tblData[[#This Row],[NSW LogiP(t)]]-tblData[[#This Row],[NSW]])^2,"")</f>
        <v/>
      </c>
      <c r="AR109" s="41">
        <f>IF(AND(tblData[Date]&gt;StartDt2NSW,ISNUMBER(tblData[Day'# Aust])),tblData[NSW LogiP(t)]/$AQ$9,"")</f>
        <v>11880.96725845227</v>
      </c>
      <c r="AS109" s="11">
        <f>IF(AND(tblData[Date]&gt;StartDt2Italy,ISNUMBER(tblData[Days'# Italy])),betaItaly/(deltaItaly+betaPodeltaItaly*EXP(-betaItaly*tblData[Days'# Italy])),"")</f>
        <v>76058.397470454249</v>
      </c>
      <c r="AT109" s="11" t="str">
        <f>IF(AND(tblData[Date]&gt;StartDt2Italy,ISNUMBER(tblData[Italy])),(tblData[[#This Row],[Italy LogiP(t)]]-tblData[[#This Row],[Italy]])^2,"")</f>
        <v/>
      </c>
      <c r="AU109" s="41">
        <f>IF(AND(tblData[Date]&gt;StartDt2Italy,ISNUMBER(tblData[Days'# Italy])),tblData[[#This Row],[Italy LogiP(t)]]/$AT$9,"")</f>
        <v>12574.753653046913</v>
      </c>
      <c r="AV109" s="20">
        <f>IF(ISNUMBER(tblData[[#This Row],[Days'# US]]),betaUS/(deltaUS+betaPodeltaUS*EXP(-betaUS*tblData[Days'# US])),"")</f>
        <v>187367.55385189413</v>
      </c>
      <c r="AW109" s="11" t="str">
        <f>IF(AND(tblData[Date]&gt;=StartDt2US,ISNUMBER(tblData[US])),(tblData[[#This Row],[US LogiP(t)]]-tblData[US])^2,"")</f>
        <v/>
      </c>
      <c r="AX109" s="20">
        <f>IF(ISNUMBER(tblData[[#This Row],[Days'# US]]),tblData[[#This Row],[US LogiP(t)]]/$AW$9,"")</f>
        <v>5691.1228208540524</v>
      </c>
      <c r="AY109" s="20">
        <f>IF(tblData[Date]&gt;=StartDt2Korea,betaSKorea/(deltaSKorea+betaPodeltaSKorea*EXP(-betaSKorea*(tblData[Date]-StartDt2Korea))),"")</f>
        <v>8607.5560837730773</v>
      </c>
      <c r="AZ109" s="20" t="str">
        <f>IF(AND(tblData[Date]&gt;=StartDt2Korea,ISNUMBER(tblData[SKorea])),(tblData[[#This Row],[SKorea LogiP(t)]]-tblData[[#This Row],[SKorea]])^2,"")</f>
        <v/>
      </c>
      <c r="BA109" s="20">
        <f>IF(tblData[Date]&gt;=StartDt2Korea,tblData[[#This Row],[SKorea LogiP(t)]]/$AZ$9,"")</f>
        <v>1674.6218061815327</v>
      </c>
      <c r="BB109" s="79">
        <f>IF(ISNUMBER(tblData[Days'# UK]),betaUK/(deltaUK+betaPodeltaUK*EXP(-betaUK*tblData[Days'# UK])),"")</f>
        <v>22028.341869461943</v>
      </c>
      <c r="BC109" s="79" t="str">
        <f>IF(ISNUMBER(tblData[UK]),(tblData[[#This Row],[UK LogiP(t)]]-tblData[[#This Row],[UK]])^2,"")</f>
        <v/>
      </c>
      <c r="BD109" s="79">
        <f>IF(ISNUMBER(tblData[Days'# UK]),tblData[[#This Row],[UK LogiP(t)]]/$BC$9,"")</f>
        <v>3315.5240622308766</v>
      </c>
      <c r="BE109" s="11">
        <f>IF(ISNUMBER(tblData[Days'# China]),betaChina/(deltaChina+betaPodeltaChina*EXP(-betaChina*tblData[Days'# China])),"")</f>
        <v>81015.961191981085</v>
      </c>
      <c r="BF109" s="11" t="str">
        <f>IF(ISNUMBER(tblData[China]),(tblData[[#This Row],[China LogiP(t)]]-tblData[[#This Row],[China]])^2,"")</f>
        <v/>
      </c>
      <c r="BG109" s="11">
        <f>tblData[[#This Row],[China LogiP(t)]]/$BF$9</f>
        <v>562.87516778977385</v>
      </c>
      <c r="BH109" s="11">
        <f>IF(ISNUMBER(tblData[Day'# Singapore]),betaSingapore/(deltaSingapore+betaPodeltaSingapore*EXP(-betaSingapore*tblData[Day'# Singapore])),"")</f>
        <v>1310265605.4265249</v>
      </c>
      <c r="BI109" s="11" t="str">
        <f>IF(AND(ISNUMBER(tblData[Singapore]),tblData[Date]&gt;=StartDt2Singapore),(tblData[[#This Row],[Singapore LogiP(t)]]-tblData[[#This Row],[Singapore]])^2,"")</f>
        <v/>
      </c>
      <c r="BJ109" s="11">
        <f>IF(ISNUMBER(tblData[Day'# Singapore]),tblData[Singapore LogiP(t)]/$BI$9,"")</f>
        <v>2239770265.6863675</v>
      </c>
      <c r="BK109" s="11">
        <f>IF(ISNUMBER(tblData[Day'# Generic]),betaGeneric/(deltaGeneric+betaPodeltaGeneric*EXP(-betaGeneric*tblData[Day'# Generic])),"")</f>
        <v>67309.099344964648</v>
      </c>
      <c r="BL109" s="11" t="str">
        <f>IF(AND(ISNUMBER(tblData[Generic]),tblData[Date]&gt;=StartDt2Generic),(tblData[Generic LogiP(t)]-tblData[[#This Row],[Generic]])^2,"")</f>
        <v/>
      </c>
      <c r="BM109" s="11">
        <f>IF(ISNUMBER(tblData[Day'# Generic]),tblData[Generic LogiP(t)]/$BL$9,"")</f>
        <v>11505.828947857206</v>
      </c>
      <c r="BN109" s="11"/>
      <c r="BO109" s="11"/>
      <c r="BP109" s="11" t="str">
        <f>IF(ISNUMBER(tblData[[#This Row],[Tests]]),tblData[[#This Row],[Tests]]-BP108,"")</f>
        <v/>
      </c>
      <c r="BQ109" s="11" t="str">
        <f>IF(ISNUMBER(tblData[[#This Row],[NSW Under Investigation'']]),tblData[[#This Row],[NSW Under Investigation'']]-BO108,"")</f>
        <v/>
      </c>
      <c r="BR109" s="11">
        <f>IF(tblData[[#This Row],[Date]]&gt;myData!TestsStart,tblData[[#This Row],[Date]]-myData!TestsStart,"")</f>
        <v>217</v>
      </c>
      <c r="BS109" s="11">
        <f>IF(AND(tblData[[#This Row],[NSW Test Day Number]]&gt;0,ISNUMBER(tblData[[#This Row],[NSW Test Day Number]])),betaTests/(deltaTests+betaPodeltaTests*EXP(-betaTests*tblData[[#This Row],[NSW Test Day Number]])),"")</f>
        <v>107543.02659466591</v>
      </c>
      <c r="BT109" s="11" t="str">
        <f>IF(tblData[Tests]&gt;0,(tblData[[#This Row],[Tests]]-tblData[[#This Row],[NSW Test Logi]])^2,"")</f>
        <v/>
      </c>
      <c r="BU109" s="11" t="str">
        <f>IF(ISNUMBER(tblData[Tests]),tblData[Tests]/$BS$9/100,"")</f>
        <v/>
      </c>
      <c r="BV109" s="124">
        <f ca="1">IF(AND(tblData[[#This Row],[NSW Test Day Number]]&gt;0,ISNUMBER(tblData[[#This Row],[NSW Test Day Number]])),TestsLogestB*TestsLogestM^tblData[[#This Row],[NSW Test Day Number]],"")</f>
        <v>2.7339227654568652E+16</v>
      </c>
      <c r="BW109" s="11" t="str">
        <f>IF(AND(tblData[[#This Row],[NSW Test Day Number]]&gt;0,ISNUMBER(tblData[Tests])),(tblData[Tests]-tblData[[#This Row],[NSW Test Per Capita]])^2,"")</f>
        <v/>
      </c>
      <c r="BX109" s="124"/>
      <c r="BY109" s="11"/>
      <c r="CA109"/>
      <c r="CC109"/>
      <c r="CE109"/>
      <c r="CF109"/>
      <c r="CG109"/>
      <c r="CH109"/>
      <c r="CI109"/>
      <c r="CJ109"/>
      <c r="CK109"/>
      <c r="CL109"/>
      <c r="CM109"/>
      <c r="CN109"/>
      <c r="CP109"/>
      <c r="CQ109"/>
      <c r="CR109"/>
      <c r="CS109"/>
      <c r="CT109"/>
      <c r="CU109"/>
      <c r="CV109"/>
      <c r="CW109"/>
      <c r="CX109"/>
      <c r="CY109"/>
      <c r="DB109"/>
      <c r="DC109"/>
      <c r="DD109"/>
      <c r="DI109"/>
      <c r="DJ109"/>
      <c r="DK109"/>
      <c r="DL109"/>
      <c r="DM109"/>
      <c r="DN109"/>
      <c r="DO109"/>
      <c r="DP109"/>
      <c r="DY109" s="25" t="s">
        <v>975</v>
      </c>
      <c r="DZ109" s="76">
        <v>43911.866331018522</v>
      </c>
      <c r="EA109" s="26">
        <v>43852</v>
      </c>
      <c r="EB109" s="26">
        <v>43880</v>
      </c>
      <c r="EC109">
        <v>5</v>
      </c>
      <c r="ED109">
        <v>0.32566109072274135</v>
      </c>
      <c r="EE109" s="79">
        <v>3.9144727914542807E-5</v>
      </c>
      <c r="EF109">
        <v>174.6164952155498</v>
      </c>
      <c r="EG109" s="96">
        <v>8319.4112738168697</v>
      </c>
      <c r="EH109" s="19">
        <v>139.72665717739883</v>
      </c>
      <c r="EI109" s="12">
        <v>1.8258628724312283E-3</v>
      </c>
      <c r="EJ109" s="98">
        <v>3.9144727914542807E-2</v>
      </c>
      <c r="EK109" s="26">
        <v>43910</v>
      </c>
      <c r="EL109" s="25" t="s">
        <v>1052</v>
      </c>
      <c r="EM109"/>
      <c r="EN109" s="99">
        <v>8652</v>
      </c>
      <c r="EO109" s="25" t="s">
        <v>1053</v>
      </c>
      <c r="EP109" s="26">
        <v>43910</v>
      </c>
      <c r="EQ109" s="25">
        <v>59</v>
      </c>
      <c r="ER109" t="s">
        <v>1054</v>
      </c>
      <c r="ES109"/>
      <c r="ET109" t="s">
        <v>1055</v>
      </c>
      <c r="EU109" t="s">
        <v>984</v>
      </c>
      <c r="EV109" t="s">
        <v>1078</v>
      </c>
      <c r="EW109" s="25">
        <v>1683.2684824902724</v>
      </c>
      <c r="EX109" s="82">
        <v>43890</v>
      </c>
      <c r="EY109" s="25">
        <v>21</v>
      </c>
      <c r="EZ109" s="82">
        <v>43889</v>
      </c>
      <c r="FA109">
        <v>22</v>
      </c>
      <c r="FB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</row>
    <row r="110" spans="2:195" s="25" customFormat="1" x14ac:dyDescent="0.25">
      <c r="B110" s="26">
        <f t="shared" si="9"/>
        <v>44119</v>
      </c>
      <c r="L110" s="12" t="str">
        <f>IF(ISNUMBER(tblData[[#This Row],[NSW]]),tblData[[#This Row],[New South Wales]]/$L$9,"")</f>
        <v/>
      </c>
      <c r="N110" s="46" t="str">
        <f>IF(ISNUMBER(tblData[Italy]),tblData[Italy]/$N$9,"")</f>
        <v/>
      </c>
      <c r="P110" s="124" t="str">
        <f>IF(ISNUMBER(tblData[US]),tblData[US]/$P$9,"")</f>
        <v/>
      </c>
      <c r="Q110" s="46"/>
      <c r="R110" s="19" t="str">
        <f>IF(ISNUMBER(tblData[SKorea]),tblData[SKorea]/$R$9,"")</f>
        <v/>
      </c>
      <c r="S110" s="46"/>
      <c r="T110" s="12" t="str">
        <f>IF(ISNUMBER(tblData[UK]),tblData[UK]/$T$9,"")</f>
        <v/>
      </c>
      <c r="V110" s="20" t="str">
        <f>IF(ISNUMBER(tblData[China]),tblData[China]/$V$9,"")</f>
        <v/>
      </c>
      <c r="W110" s="20"/>
      <c r="X110" s="20" t="str">
        <f>IF(ISNUMBER(tblData[Singapore]),tblData[Singapore]/$X$9,"")</f>
        <v/>
      </c>
      <c r="Y110" s="20"/>
      <c r="Z110" s="20" t="str">
        <f>IF(AND(LEN(tblData[Generic])&gt;0,ISNUMBER(tblData[Generic])),tblData[Generic]/$Z$9,"")</f>
        <v/>
      </c>
      <c r="AA110" s="25">
        <f>IF(tblData[[#This Row],[Date]]&lt;ItalyStart,"",tblData[[#This Row],[Date]]-ItalyStart)</f>
        <v>259</v>
      </c>
      <c r="AB110" s="25">
        <f>IF(tblData[[#This Row],[Date]]&lt;USStart,"",tblData[[#This Row],[Date]]-USStart)</f>
        <v>267</v>
      </c>
      <c r="AC110" s="25">
        <f>IF(tblData[[#This Row],[Date]]&lt;ChinaStart,"",tblData[[#This Row],[Date]]-ChinaStart)</f>
        <v>267</v>
      </c>
      <c r="AD110" s="25">
        <f>IF(tblData[[#This Row],[Date]]&lt;StartDt2Korea,"",tblData[[#This Row],[Date]]-StartDt2Korea)</f>
        <v>239</v>
      </c>
      <c r="AE110" s="25">
        <f>IF(tblData[[#This Row],[Date]]&lt;UKStart,"",tblData[[#This Row],[Date]]-UKStart)</f>
        <v>259</v>
      </c>
      <c r="AF110" s="25">
        <f>IF(tblData[[#This Row],[Date]]&lt;SingaporeStart,"",tblData[[#This Row],[Date]]-SingaporeStart)</f>
        <v>266</v>
      </c>
      <c r="AG110" s="25">
        <f>IF(tblData[[#This Row],[Date]]&lt;GenStart,"",tblData[[#This Row],[Date]]-GenStart)</f>
        <v>267</v>
      </c>
      <c r="AH110" s="25">
        <f>IF(tblData[Date]&gt;=StartDt2Au,tblData[Date]-StartDt2Au,"")</f>
        <v>264</v>
      </c>
      <c r="AI110" s="25" t="str">
        <f>IF(tblData[New South Wales]&gt;0,SUM(tblData[[#This Row],[Australian Capital Territory]:[Western Australia]]),"")</f>
        <v/>
      </c>
      <c r="AJ110" s="12" t="str">
        <f>IF(ISNUMBER(tblData[Au]),tblData[Au]/$AE$9,"")</f>
        <v/>
      </c>
      <c r="AK110" s="41">
        <f>IF(ISNUMBER(tblData[[#This Row],[Day'# Aust]]),betaAu/(deltaAu+betaPodeltaAu*EXP(-betaAu*tblData[[#This Row],[Day'# Aust]])),"")</f>
        <v>7036.4105996678436</v>
      </c>
      <c r="AL110" s="67">
        <f>IF(ISNUMBER(tblData[Day'# Aust]),tblData[Au LogiP(t)]/$AJ$9,"")</f>
        <v>2774.172291305726</v>
      </c>
      <c r="AM110" s="11" t="str">
        <f>IF(AND(tblData[Date]&gt;=StartDt2Au,ISNUMBER(tblData[NSW])),(tblData[[#This Row],[Au LogiP(t)]]-tblData[[#This Row],[Au]])^2,"")</f>
        <v/>
      </c>
      <c r="AN110" s="25">
        <f>IF(tblData[Date]&gt;StartDt2NSW,tblData[Date]-StartDt2NSW,"")</f>
        <v>264</v>
      </c>
      <c r="AO110" s="25" t="str">
        <f t="shared" si="7"/>
        <v/>
      </c>
      <c r="AP110" s="11">
        <f>IF(tblData[Date]&gt;StartDt2NSW,betaNSW/(deltaNSW+betaPodeltaNSW*EXP(-betaNSW*tblData[[#This Row],[Day '# NSW]])),"")</f>
        <v>9599.8215448294359</v>
      </c>
      <c r="AQ110" s="12" t="str">
        <f>IF(AND(ISNUMBER(tblData[NSW]),tblData[Date]&gt;StartDt2NSW),(tblData[[#This Row],[NSW LogiP(t)]]-tblData[[#This Row],[NSW]])^2,"")</f>
        <v/>
      </c>
      <c r="AR110" s="41">
        <f>IF(AND(tblData[Date]&gt;StartDt2NSW,ISNUMBER(tblData[Day'# Aust])),tblData[NSW LogiP(t)]/$AQ$9,"")</f>
        <v>11880.96725845227</v>
      </c>
      <c r="AS110" s="11">
        <f>IF(AND(tblData[Date]&gt;StartDt2Italy,ISNUMBER(tblData[Days'# Italy])),betaItaly/(deltaItaly+betaPodeltaItaly*EXP(-betaItaly*tblData[Days'# Italy])),"")</f>
        <v>76058.397470454249</v>
      </c>
      <c r="AT110" s="11" t="str">
        <f>IF(AND(tblData[Date]&gt;StartDt2Italy,ISNUMBER(tblData[Italy])),(tblData[[#This Row],[Italy LogiP(t)]]-tblData[[#This Row],[Italy]])^2,"")</f>
        <v/>
      </c>
      <c r="AU110" s="41">
        <f>IF(AND(tblData[Date]&gt;StartDt2Italy,ISNUMBER(tblData[Days'# Italy])),tblData[[#This Row],[Italy LogiP(t)]]/$AT$9,"")</f>
        <v>12574.753653046913</v>
      </c>
      <c r="AV110" s="20">
        <f>IF(ISNUMBER(tblData[[#This Row],[Days'# US]]),betaUS/(deltaUS+betaPodeltaUS*EXP(-betaUS*tblData[Days'# US])),"")</f>
        <v>187367.55385189413</v>
      </c>
      <c r="AW110" s="11" t="str">
        <f>IF(AND(tblData[Date]&gt;=StartDt2US,ISNUMBER(tblData[US])),(tblData[[#This Row],[US LogiP(t)]]-tblData[US])^2,"")</f>
        <v/>
      </c>
      <c r="AX110" s="20">
        <f>IF(ISNUMBER(tblData[[#This Row],[Days'# US]]),tblData[[#This Row],[US LogiP(t)]]/$AW$9,"")</f>
        <v>5691.1228208540524</v>
      </c>
      <c r="AY110" s="20">
        <f>IF(tblData[Date]&gt;=StartDt2Korea,betaSKorea/(deltaSKorea+betaPodeltaSKorea*EXP(-betaSKorea*(tblData[Date]-StartDt2Korea))),"")</f>
        <v>8607.5560837730773</v>
      </c>
      <c r="AZ110" s="20" t="str">
        <f>IF(AND(tblData[Date]&gt;=StartDt2Korea,ISNUMBER(tblData[SKorea])),(tblData[[#This Row],[SKorea LogiP(t)]]-tblData[[#This Row],[SKorea]])^2,"")</f>
        <v/>
      </c>
      <c r="BA110" s="20">
        <f>IF(tblData[Date]&gt;=StartDt2Korea,tblData[[#This Row],[SKorea LogiP(t)]]/$AZ$9,"")</f>
        <v>1674.6218061815327</v>
      </c>
      <c r="BB110" s="79">
        <f>IF(ISNUMBER(tblData[Days'# UK]),betaUK/(deltaUK+betaPodeltaUK*EXP(-betaUK*tblData[Days'# UK])),"")</f>
        <v>22028.341869461943</v>
      </c>
      <c r="BC110" s="79" t="str">
        <f>IF(ISNUMBER(tblData[UK]),(tblData[[#This Row],[UK LogiP(t)]]-tblData[[#This Row],[UK]])^2,"")</f>
        <v/>
      </c>
      <c r="BD110" s="79">
        <f>IF(ISNUMBER(tblData[Days'# UK]),tblData[[#This Row],[UK LogiP(t)]]/$BC$9,"")</f>
        <v>3315.5240622308766</v>
      </c>
      <c r="BE110" s="11">
        <f>IF(ISNUMBER(tblData[Days'# China]),betaChina/(deltaChina+betaPodeltaChina*EXP(-betaChina*tblData[Days'# China])),"")</f>
        <v>81015.961191981085</v>
      </c>
      <c r="BF110" s="11" t="str">
        <f>IF(ISNUMBER(tblData[China]),(tblData[[#This Row],[China LogiP(t)]]-tblData[[#This Row],[China]])^2,"")</f>
        <v/>
      </c>
      <c r="BG110" s="11">
        <f>tblData[[#This Row],[China LogiP(t)]]/$BF$9</f>
        <v>562.87516778977385</v>
      </c>
      <c r="BH110" s="11">
        <f>IF(ISNUMBER(tblData[Day'# Singapore]),betaSingapore/(deltaSingapore+betaPodeltaSingapore*EXP(-betaSingapore*tblData[Day'# Singapore])),"")</f>
        <v>2180611641.8259068</v>
      </c>
      <c r="BI110" s="11" t="str">
        <f>IF(AND(ISNUMBER(tblData[Singapore]),tblData[Date]&gt;=StartDt2Singapore),(tblData[[#This Row],[Singapore LogiP(t)]]-tblData[[#This Row],[Singapore]])^2,"")</f>
        <v/>
      </c>
      <c r="BJ110" s="11">
        <f>IF(ISNUMBER(tblData[Day'# Singapore]),tblData[Singapore LogiP(t)]/$BI$9,"")</f>
        <v>3727541268.0784731</v>
      </c>
      <c r="BK110" s="11">
        <f>IF(ISNUMBER(tblData[Day'# Generic]),betaGeneric/(deltaGeneric+betaPodeltaGeneric*EXP(-betaGeneric*tblData[Day'# Generic])),"")</f>
        <v>67309.099344964648</v>
      </c>
      <c r="BL110" s="11" t="str">
        <f>IF(AND(ISNUMBER(tblData[Generic]),tblData[Date]&gt;=StartDt2Generic),(tblData[Generic LogiP(t)]-tblData[[#This Row],[Generic]])^2,"")</f>
        <v/>
      </c>
      <c r="BM110" s="11">
        <f>IF(ISNUMBER(tblData[Day'# Generic]),tblData[Generic LogiP(t)]/$BL$9,"")</f>
        <v>11505.828947857206</v>
      </c>
      <c r="BN110" s="11"/>
      <c r="BO110" s="11"/>
      <c r="BP110" s="11" t="str">
        <f>IF(ISNUMBER(tblData[[#This Row],[Tests]]),tblData[[#This Row],[Tests]]-BP109,"")</f>
        <v/>
      </c>
      <c r="BQ110" s="11" t="str">
        <f>IF(ISNUMBER(tblData[[#This Row],[NSW Under Investigation'']]),tblData[[#This Row],[NSW Under Investigation'']]-BO109,"")</f>
        <v/>
      </c>
      <c r="BR110" s="11">
        <f>IF(tblData[[#This Row],[Date]]&gt;myData!TestsStart,tblData[[#This Row],[Date]]-myData!TestsStart,"")</f>
        <v>224</v>
      </c>
      <c r="BS110" s="11">
        <f>IF(AND(tblData[[#This Row],[NSW Test Day Number]]&gt;0,ISNUMBER(tblData[[#This Row],[NSW Test Day Number]])),betaTests/(deltaTests+betaPodeltaTests*EXP(-betaTests*tblData[[#This Row],[NSW Test Day Number]])),"")</f>
        <v>107543.02659466591</v>
      </c>
      <c r="BT110" s="11" t="str">
        <f>IF(tblData[Tests]&gt;0,(tblData[[#This Row],[Tests]]-tblData[[#This Row],[NSW Test Logi]])^2,"")</f>
        <v/>
      </c>
      <c r="BU110" s="11" t="str">
        <f>IF(ISNUMBER(tblData[Tests]),tblData[Tests]/$BS$9/100,"")</f>
        <v/>
      </c>
      <c r="BV110" s="124">
        <f ca="1">IF(AND(tblData[[#This Row],[NSW Test Day Number]]&gt;0,ISNUMBER(tblData[[#This Row],[NSW Test Day Number]])),TestsLogestB*TestsLogestM^tblData[[#This Row],[NSW Test Day Number]],"")</f>
        <v>7.0387866640546392E+16</v>
      </c>
      <c r="BW110" s="11" t="str">
        <f>IF(AND(tblData[[#This Row],[NSW Test Day Number]]&gt;0,ISNUMBER(tblData[Tests])),(tblData[Tests]-tblData[[#This Row],[NSW Test Per Capita]])^2,"")</f>
        <v/>
      </c>
      <c r="BX110" s="124"/>
      <c r="BY110" s="11"/>
      <c r="CA110"/>
      <c r="CC110"/>
      <c r="CE110"/>
      <c r="CF110"/>
      <c r="CG110"/>
      <c r="CH110"/>
      <c r="CI110"/>
      <c r="CJ110"/>
      <c r="CK110"/>
      <c r="CL110"/>
      <c r="CM110"/>
      <c r="CN110"/>
      <c r="CP110"/>
      <c r="CQ110"/>
      <c r="CR110"/>
      <c r="CS110"/>
      <c r="CT110"/>
      <c r="CU110"/>
      <c r="CV110"/>
      <c r="CW110"/>
      <c r="CX110"/>
      <c r="CY110"/>
      <c r="DB110"/>
      <c r="DC110"/>
      <c r="DY110" s="25" t="s">
        <v>975</v>
      </c>
      <c r="DZ110" s="76"/>
      <c r="EA110" s="26">
        <v>43852</v>
      </c>
      <c r="EB110" s="26"/>
      <c r="EC110">
        <v>5</v>
      </c>
      <c r="ED110">
        <v>0.33457917057724718</v>
      </c>
      <c r="EE110" s="79">
        <v>4.0721909397092568E-5</v>
      </c>
      <c r="EF110">
        <v>161.50151869158597</v>
      </c>
      <c r="EG110" s="96">
        <v>8216.19554512184</v>
      </c>
      <c r="EH110" s="19">
        <v>148.73667220847148</v>
      </c>
      <c r="EI110" s="12">
        <v>2.0309562598725215E-3</v>
      </c>
      <c r="EJ110" s="98">
        <v>4.0721909397092568E-2</v>
      </c>
      <c r="EK110" s="26">
        <v>43910</v>
      </c>
      <c r="EL110" s="25" t="s">
        <v>1008</v>
      </c>
      <c r="EM110"/>
      <c r="EN110" s="99">
        <v>8652</v>
      </c>
      <c r="EO110" s="25" t="s">
        <v>1009</v>
      </c>
      <c r="EP110" s="26">
        <v>43910</v>
      </c>
      <c r="EQ110" s="25">
        <v>59</v>
      </c>
      <c r="ER110" t="s">
        <v>1010</v>
      </c>
      <c r="ES110"/>
      <c r="ET110" t="s">
        <v>1011</v>
      </c>
      <c r="EU110" t="s">
        <v>984</v>
      </c>
      <c r="EV110" t="s">
        <v>1012</v>
      </c>
      <c r="EW110" s="25">
        <v>1683.2684824902724</v>
      </c>
      <c r="EX110" s="82">
        <v>43890</v>
      </c>
      <c r="EY110" s="25">
        <v>20</v>
      </c>
      <c r="EZ110" s="82">
        <v>43889</v>
      </c>
      <c r="FA110">
        <v>21</v>
      </c>
      <c r="FB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</row>
    <row r="111" spans="2:195" s="25" customFormat="1" x14ac:dyDescent="0.25">
      <c r="B111" s="26">
        <f t="shared" si="9"/>
        <v>44126</v>
      </c>
      <c r="L111" s="12" t="str">
        <f>IF(ISNUMBER(tblData[[#This Row],[NSW]]),tblData[[#This Row],[New South Wales]]/$L$9,"")</f>
        <v/>
      </c>
      <c r="N111" s="46" t="str">
        <f>IF(ISNUMBER(tblData[Italy]),tblData[Italy]/$N$9,"")</f>
        <v/>
      </c>
      <c r="P111" s="124" t="str">
        <f>IF(ISNUMBER(tblData[US]),tblData[US]/$P$9,"")</f>
        <v/>
      </c>
      <c r="Q111" s="46"/>
      <c r="R111" s="19" t="str">
        <f>IF(ISNUMBER(tblData[SKorea]),tblData[SKorea]/$R$9,"")</f>
        <v/>
      </c>
      <c r="S111" s="46"/>
      <c r="T111" s="12" t="str">
        <f>IF(ISNUMBER(tblData[UK]),tblData[UK]/$T$9,"")</f>
        <v/>
      </c>
      <c r="V111" s="20" t="str">
        <f>IF(ISNUMBER(tblData[China]),tblData[China]/$V$9,"")</f>
        <v/>
      </c>
      <c r="W111" s="20"/>
      <c r="X111" s="20" t="str">
        <f>IF(ISNUMBER(tblData[Singapore]),tblData[Singapore]/$X$9,"")</f>
        <v/>
      </c>
      <c r="Y111" s="20"/>
      <c r="Z111" s="20" t="str">
        <f>IF(AND(LEN(tblData[Generic])&gt;0,ISNUMBER(tblData[Generic])),tblData[Generic]/$Z$9,"")</f>
        <v/>
      </c>
      <c r="AA111" s="25">
        <f>IF(tblData[[#This Row],[Date]]&lt;ItalyStart,"",tblData[[#This Row],[Date]]-ItalyStart)</f>
        <v>266</v>
      </c>
      <c r="AB111" s="25">
        <f>IF(tblData[[#This Row],[Date]]&lt;USStart,"",tblData[[#This Row],[Date]]-USStart)</f>
        <v>274</v>
      </c>
      <c r="AC111" s="25">
        <f>IF(tblData[[#This Row],[Date]]&lt;ChinaStart,"",tblData[[#This Row],[Date]]-ChinaStart)</f>
        <v>274</v>
      </c>
      <c r="AD111" s="25">
        <f>IF(tblData[[#This Row],[Date]]&lt;StartDt2Korea,"",tblData[[#This Row],[Date]]-StartDt2Korea)</f>
        <v>246</v>
      </c>
      <c r="AE111" s="25">
        <f>IF(tblData[[#This Row],[Date]]&lt;UKStart,"",tblData[[#This Row],[Date]]-UKStart)</f>
        <v>266</v>
      </c>
      <c r="AF111" s="25">
        <f>IF(tblData[[#This Row],[Date]]&lt;SingaporeStart,"",tblData[[#This Row],[Date]]-SingaporeStart)</f>
        <v>273</v>
      </c>
      <c r="AG111" s="25">
        <f>IF(tblData[[#This Row],[Date]]&lt;GenStart,"",tblData[[#This Row],[Date]]-GenStart)</f>
        <v>274</v>
      </c>
      <c r="AH111" s="25">
        <f>IF(tblData[Date]&gt;=StartDt2Au,tblData[Date]-StartDt2Au,"")</f>
        <v>271</v>
      </c>
      <c r="AI111" s="25" t="str">
        <f>IF(tblData[New South Wales]&gt;0,SUM(tblData[[#This Row],[Australian Capital Territory]:[Western Australia]]),"")</f>
        <v/>
      </c>
      <c r="AJ111" s="12" t="str">
        <f>IF(ISNUMBER(tblData[Au]),tblData[Au]/$AE$9,"")</f>
        <v/>
      </c>
      <c r="AK111" s="41">
        <f>IF(ISNUMBER(tblData[[#This Row],[Day'# Aust]]),betaAu/(deltaAu+betaPodeltaAu*EXP(-betaAu*tblData[[#This Row],[Day'# Aust]])),"")</f>
        <v>7036.4105996678436</v>
      </c>
      <c r="AL111" s="67">
        <f>IF(ISNUMBER(tblData[Day'# Aust]),tblData[Au LogiP(t)]/$AJ$9,"")</f>
        <v>2774.172291305726</v>
      </c>
      <c r="AM111" s="11" t="str">
        <f>IF(AND(tblData[Date]&gt;=StartDt2Au,ISNUMBER(tblData[NSW])),(tblData[[#This Row],[Au LogiP(t)]]-tblData[[#This Row],[Au]])^2,"")</f>
        <v/>
      </c>
      <c r="AN111" s="25">
        <f>IF(tblData[Date]&gt;StartDt2NSW,tblData[Date]-StartDt2NSW,"")</f>
        <v>271</v>
      </c>
      <c r="AO111" s="25" t="str">
        <f t="shared" si="7"/>
        <v/>
      </c>
      <c r="AP111" s="11">
        <f>IF(tblData[Date]&gt;StartDt2NSW,betaNSW/(deltaNSW+betaPodeltaNSW*EXP(-betaNSW*tblData[[#This Row],[Day '# NSW]])),"")</f>
        <v>9599.8215448294359</v>
      </c>
      <c r="AQ111" s="12" t="str">
        <f>IF(AND(ISNUMBER(tblData[NSW]),tblData[Date]&gt;StartDt2NSW),(tblData[[#This Row],[NSW LogiP(t)]]-tblData[[#This Row],[NSW]])^2,"")</f>
        <v/>
      </c>
      <c r="AR111" s="41">
        <f>IF(AND(tblData[Date]&gt;StartDt2NSW,ISNUMBER(tblData[Day'# Aust])),tblData[NSW LogiP(t)]/$AQ$9,"")</f>
        <v>11880.96725845227</v>
      </c>
      <c r="AS111" s="11">
        <f>IF(AND(tblData[Date]&gt;StartDt2Italy,ISNUMBER(tblData[Days'# Italy])),betaItaly/(deltaItaly+betaPodeltaItaly*EXP(-betaItaly*tblData[Days'# Italy])),"")</f>
        <v>76058.397470454249</v>
      </c>
      <c r="AT111" s="11" t="str">
        <f>IF(AND(tblData[Date]&gt;StartDt2Italy,ISNUMBER(tblData[Italy])),(tblData[[#This Row],[Italy LogiP(t)]]-tblData[[#This Row],[Italy]])^2,"")</f>
        <v/>
      </c>
      <c r="AU111" s="41">
        <f>IF(AND(tblData[Date]&gt;StartDt2Italy,ISNUMBER(tblData[Days'# Italy])),tblData[[#This Row],[Italy LogiP(t)]]/$AT$9,"")</f>
        <v>12574.753653046913</v>
      </c>
      <c r="AV111" s="20">
        <f>IF(ISNUMBER(tblData[[#This Row],[Days'# US]]),betaUS/(deltaUS+betaPodeltaUS*EXP(-betaUS*tblData[Days'# US])),"")</f>
        <v>187367.55385189413</v>
      </c>
      <c r="AW111" s="11" t="str">
        <f>IF(AND(tblData[Date]&gt;=StartDt2US,ISNUMBER(tblData[US])),(tblData[[#This Row],[US LogiP(t)]]-tblData[US])^2,"")</f>
        <v/>
      </c>
      <c r="AX111" s="20">
        <f>IF(ISNUMBER(tblData[[#This Row],[Days'# US]]),tblData[[#This Row],[US LogiP(t)]]/$AW$9,"")</f>
        <v>5691.1228208540524</v>
      </c>
      <c r="AY111" s="20">
        <f>IF(tblData[Date]&gt;=StartDt2Korea,betaSKorea/(deltaSKorea+betaPodeltaSKorea*EXP(-betaSKorea*(tblData[Date]-StartDt2Korea))),"")</f>
        <v>8607.5560837730773</v>
      </c>
      <c r="AZ111" s="20" t="str">
        <f>IF(AND(tblData[Date]&gt;=StartDt2Korea,ISNUMBER(tblData[SKorea])),(tblData[[#This Row],[SKorea LogiP(t)]]-tblData[[#This Row],[SKorea]])^2,"")</f>
        <v/>
      </c>
      <c r="BA111" s="20">
        <f>IF(tblData[Date]&gt;=StartDt2Korea,tblData[[#This Row],[SKorea LogiP(t)]]/$AZ$9,"")</f>
        <v>1674.6218061815327</v>
      </c>
      <c r="BB111" s="79">
        <f>IF(ISNUMBER(tblData[Days'# UK]),betaUK/(deltaUK+betaPodeltaUK*EXP(-betaUK*tblData[Days'# UK])),"")</f>
        <v>22028.341869461943</v>
      </c>
      <c r="BC111" s="79" t="str">
        <f>IF(ISNUMBER(tblData[UK]),(tblData[[#This Row],[UK LogiP(t)]]-tblData[[#This Row],[UK]])^2,"")</f>
        <v/>
      </c>
      <c r="BD111" s="79">
        <f>IF(ISNUMBER(tblData[Days'# UK]),tblData[[#This Row],[UK LogiP(t)]]/$BC$9,"")</f>
        <v>3315.5240622308766</v>
      </c>
      <c r="BE111" s="11">
        <f>IF(ISNUMBER(tblData[Days'# China]),betaChina/(deltaChina+betaPodeltaChina*EXP(-betaChina*tblData[Days'# China])),"")</f>
        <v>81015.961191981085</v>
      </c>
      <c r="BF111" s="11" t="str">
        <f>IF(ISNUMBER(tblData[China]),(tblData[[#This Row],[China LogiP(t)]]-tblData[[#This Row],[China]])^2,"")</f>
        <v/>
      </c>
      <c r="BG111" s="11">
        <f>tblData[[#This Row],[China LogiP(t)]]/$BF$9</f>
        <v>562.87516778977385</v>
      </c>
      <c r="BH111" s="11">
        <f>IF(ISNUMBER(tblData[Day'# Singapore]),betaSingapore/(deltaSingapore+betaPodeltaSingapore*EXP(-betaSingapore*tblData[Day'# Singapore])),"")</f>
        <v>3600636093.7680888</v>
      </c>
      <c r="BI111" s="11" t="str">
        <f>IF(AND(ISNUMBER(tblData[Singapore]),tblData[Date]&gt;=StartDt2Singapore),(tblData[[#This Row],[Singapore LogiP(t)]]-tblData[[#This Row],[Singapore]])^2,"")</f>
        <v/>
      </c>
      <c r="BJ111" s="11">
        <f>IF(ISNUMBER(tblData[Day'# Singapore]),tblData[Singapore LogiP(t)]/$BI$9,"")</f>
        <v>6154933493.6206646</v>
      </c>
      <c r="BK111" s="11">
        <f>IF(ISNUMBER(tblData[Day'# Generic]),betaGeneric/(deltaGeneric+betaPodeltaGeneric*EXP(-betaGeneric*tblData[Day'# Generic])),"")</f>
        <v>67309.099344964648</v>
      </c>
      <c r="BL111" s="11" t="str">
        <f>IF(AND(ISNUMBER(tblData[Generic]),tblData[Date]&gt;=StartDt2Generic),(tblData[Generic LogiP(t)]-tblData[[#This Row],[Generic]])^2,"")</f>
        <v/>
      </c>
      <c r="BM111" s="11">
        <f>IF(ISNUMBER(tblData[Day'# Generic]),tblData[Generic LogiP(t)]/$BL$9,"")</f>
        <v>11505.828947857206</v>
      </c>
      <c r="BN111" s="11"/>
      <c r="BO111" s="11"/>
      <c r="BP111" s="11" t="str">
        <f>IF(ISNUMBER(tblData[[#This Row],[Tests]]),tblData[[#This Row],[Tests]]-BP110,"")</f>
        <v/>
      </c>
      <c r="BQ111" s="11" t="str">
        <f>IF(ISNUMBER(tblData[[#This Row],[NSW Under Investigation'']]),tblData[[#This Row],[NSW Under Investigation'']]-BO110,"")</f>
        <v/>
      </c>
      <c r="BR111" s="11">
        <f>IF(tblData[[#This Row],[Date]]&gt;myData!TestsStart,tblData[[#This Row],[Date]]-myData!TestsStart,"")</f>
        <v>231</v>
      </c>
      <c r="BS111" s="11">
        <f>IF(AND(tblData[[#This Row],[NSW Test Day Number]]&gt;0,ISNUMBER(tblData[[#This Row],[NSW Test Day Number]])),betaTests/(deltaTests+betaPodeltaTests*EXP(-betaTests*tblData[[#This Row],[NSW Test Day Number]])),"")</f>
        <v>107543.02659466591</v>
      </c>
      <c r="BT111" s="11" t="str">
        <f>IF(tblData[Tests]&gt;0,(tblData[[#This Row],[Tests]]-tblData[[#This Row],[NSW Test Logi]])^2,"")</f>
        <v/>
      </c>
      <c r="BU111" s="11" t="str">
        <f>IF(ISNUMBER(tblData[Tests]),tblData[Tests]/$BS$9/100,"")</f>
        <v/>
      </c>
      <c r="BV111" s="124">
        <f ca="1">IF(AND(tblData[[#This Row],[NSW Test Day Number]]&gt;0,ISNUMBER(tblData[[#This Row],[NSW Test Day Number]])),TestsLogestB*TestsLogestM^tblData[[#This Row],[NSW Test Day Number]],"")</f>
        <v>1.812213509762192E+17</v>
      </c>
      <c r="BW111" s="11" t="str">
        <f>IF(AND(tblData[[#This Row],[NSW Test Day Number]]&gt;0,ISNUMBER(tblData[Tests])),(tblData[Tests]-tblData[[#This Row],[NSW Test Per Capita]])^2,"")</f>
        <v/>
      </c>
      <c r="BX111" s="124"/>
      <c r="BY111" s="11"/>
      <c r="DY111" s="25" t="s">
        <v>975</v>
      </c>
      <c r="DZ111" s="76">
        <v>43912.32671296296</v>
      </c>
      <c r="EA111" s="26">
        <v>43852</v>
      </c>
      <c r="EB111" s="26">
        <v>43880</v>
      </c>
      <c r="EC111">
        <v>5</v>
      </c>
      <c r="ED111">
        <v>0.32050342361704887</v>
      </c>
      <c r="EE111" s="79">
        <v>3.8255187244755717E-5</v>
      </c>
      <c r="EF111">
        <v>182.78805705771839</v>
      </c>
      <c r="EG111" s="96">
        <v>8378.0382923360467</v>
      </c>
      <c r="EH111">
        <v>160.37089883020292</v>
      </c>
      <c r="EI111">
        <v>1.7151603737940299E-3</v>
      </c>
      <c r="EJ111" s="98">
        <v>3.8255187244755719E-2</v>
      </c>
      <c r="EK111" s="26">
        <v>43911</v>
      </c>
      <c r="EL111" s="25" t="s">
        <v>1097</v>
      </c>
      <c r="EM111"/>
      <c r="EN111" s="99">
        <v>8799</v>
      </c>
      <c r="EO111" s="25" t="s">
        <v>1098</v>
      </c>
      <c r="EP111" s="26">
        <v>43911</v>
      </c>
      <c r="EQ111" s="25">
        <v>60</v>
      </c>
      <c r="ER111" t="s">
        <v>1099</v>
      </c>
      <c r="ES111"/>
      <c r="ET111" t="s">
        <v>1100</v>
      </c>
      <c r="EU111" t="s">
        <v>984</v>
      </c>
      <c r="EV111" t="s">
        <v>1101</v>
      </c>
      <c r="EW111" s="25">
        <v>1711.8677042801557</v>
      </c>
      <c r="EX111" s="82">
        <v>43890</v>
      </c>
      <c r="EY111" s="25">
        <v>21</v>
      </c>
      <c r="EZ111" s="82">
        <v>43889</v>
      </c>
      <c r="FA111">
        <v>23</v>
      </c>
      <c r="FB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</row>
    <row r="112" spans="2:195" x14ac:dyDescent="0.25">
      <c r="B112" s="26">
        <f t="shared" si="9"/>
        <v>44133</v>
      </c>
      <c r="L112" s="12" t="str">
        <f>IF(ISNUMBER(tblData[[#This Row],[NSW]]),tblData[[#This Row],[New South Wales]]/$L$9,"")</f>
        <v/>
      </c>
      <c r="N112" s="46" t="str">
        <f>IF(ISNUMBER(tblData[Italy]),tblData[Italy]/$N$9,"")</f>
        <v/>
      </c>
      <c r="P112" s="124" t="str">
        <f>IF(ISNUMBER(tblData[US]),tblData[US]/$P$9,"")</f>
        <v/>
      </c>
      <c r="Q112" s="46"/>
      <c r="R112" s="19" t="str">
        <f>IF(ISNUMBER(tblData[SKorea]),tblData[SKorea]/$R$9,"")</f>
        <v/>
      </c>
      <c r="S112" s="46"/>
      <c r="T112" s="12" t="str">
        <f>IF(ISNUMBER(tblData[UK]),tblData[UK]/$T$9,"")</f>
        <v/>
      </c>
      <c r="V112" s="20" t="str">
        <f>IF(ISNUMBER(tblData[China]),tblData[China]/$V$9,"")</f>
        <v/>
      </c>
      <c r="W112" s="20"/>
      <c r="X112" s="20" t="str">
        <f>IF(ISNUMBER(tblData[Singapore]),tblData[Singapore]/$X$9,"")</f>
        <v/>
      </c>
      <c r="Y112" s="20"/>
      <c r="Z112" s="20" t="str">
        <f>IF(AND(LEN(tblData[Generic])&gt;0,ISNUMBER(tblData[Generic])),tblData[Generic]/$Z$9,"")</f>
        <v/>
      </c>
      <c r="AA112" s="25">
        <f>IF(tblData[[#This Row],[Date]]&lt;ItalyStart,"",tblData[[#This Row],[Date]]-ItalyStart)</f>
        <v>273</v>
      </c>
      <c r="AB112" s="25">
        <f>IF(tblData[[#This Row],[Date]]&lt;USStart,"",tblData[[#This Row],[Date]]-USStart)</f>
        <v>281</v>
      </c>
      <c r="AC112" s="25">
        <f>IF(tblData[[#This Row],[Date]]&lt;ChinaStart,"",tblData[[#This Row],[Date]]-ChinaStart)</f>
        <v>281</v>
      </c>
      <c r="AD112" s="25">
        <f>IF(tblData[[#This Row],[Date]]&lt;StartDt2Korea,"",tblData[[#This Row],[Date]]-StartDt2Korea)</f>
        <v>253</v>
      </c>
      <c r="AE112" s="25">
        <f>IF(tblData[[#This Row],[Date]]&lt;UKStart,"",tblData[[#This Row],[Date]]-UKStart)</f>
        <v>273</v>
      </c>
      <c r="AF112" s="25">
        <f>IF(tblData[[#This Row],[Date]]&lt;SingaporeStart,"",tblData[[#This Row],[Date]]-SingaporeStart)</f>
        <v>280</v>
      </c>
      <c r="AG112" s="25">
        <f>IF(tblData[[#This Row],[Date]]&lt;GenStart,"",tblData[[#This Row],[Date]]-GenStart)</f>
        <v>281</v>
      </c>
      <c r="AH112">
        <f>IF(tblData[Date]&gt;=StartDt2Au,tblData[Date]-StartDt2Au,"")</f>
        <v>278</v>
      </c>
      <c r="AI112" s="25" t="str">
        <f>IF(tblData[New South Wales]&gt;0,SUM(tblData[[#This Row],[Australian Capital Territory]:[Western Australia]]),"")</f>
        <v/>
      </c>
      <c r="AJ112" s="12" t="str">
        <f>IF(ISNUMBER(tblData[Au]),tblData[Au]/$AE$9,"")</f>
        <v/>
      </c>
      <c r="AK112" s="41">
        <f>IF(ISNUMBER(tblData[[#This Row],[Day'# Aust]]),betaAu/(deltaAu+betaPodeltaAu*EXP(-betaAu*tblData[[#This Row],[Day'# Aust]])),"")</f>
        <v>7036.4105996678436</v>
      </c>
      <c r="AL112" s="67">
        <f>IF(ISNUMBER(tblData[Day'# Aust]),tblData[Au LogiP(t)]/$AJ$9,"")</f>
        <v>2774.172291305726</v>
      </c>
      <c r="AM112" s="11" t="str">
        <f>IF(AND(tblData[Date]&gt;=StartDt2Au,ISNUMBER(tblData[NSW])),(tblData[[#This Row],[Au LogiP(t)]]-tblData[[#This Row],[Au]])^2,"")</f>
        <v/>
      </c>
      <c r="AN112">
        <f>IF(tblData[Date]&gt;StartDt2NSW,tblData[Date]-StartDt2NSW,"")</f>
        <v>278</v>
      </c>
      <c r="AO112" s="25" t="str">
        <f t="shared" si="7"/>
        <v/>
      </c>
      <c r="AP112" s="11">
        <f>IF(tblData[Date]&gt;StartDt2NSW,betaNSW/(deltaNSW+betaPodeltaNSW*EXP(-betaNSW*tblData[[#This Row],[Day '# NSW]])),"")</f>
        <v>9599.8215448294359</v>
      </c>
      <c r="AQ112" s="12" t="str">
        <f>IF(AND(ISNUMBER(tblData[NSW]),tblData[Date]&gt;StartDt2NSW),(tblData[[#This Row],[NSW LogiP(t)]]-tblData[[#This Row],[NSW]])^2,"")</f>
        <v/>
      </c>
      <c r="AR112" s="41">
        <f>IF(AND(tblData[Date]&gt;StartDt2NSW,ISNUMBER(tblData[Day'# Aust])),tblData[NSW LogiP(t)]/$AQ$9,"")</f>
        <v>11880.96725845227</v>
      </c>
      <c r="AS112" s="11">
        <f>IF(AND(tblData[Date]&gt;StartDt2Italy,ISNUMBER(tblData[Days'# Italy])),betaItaly/(deltaItaly+betaPodeltaItaly*EXP(-betaItaly*tblData[Days'# Italy])),"")</f>
        <v>76058.397470454249</v>
      </c>
      <c r="AT112" s="11" t="str">
        <f>IF(AND(tblData[Date]&gt;StartDt2Italy,ISNUMBER(tblData[Italy])),(tblData[[#This Row],[Italy LogiP(t)]]-tblData[[#This Row],[Italy]])^2,"")</f>
        <v/>
      </c>
      <c r="AU112" s="41">
        <f>IF(AND(tblData[Date]&gt;StartDt2Italy,ISNUMBER(tblData[Days'# Italy])),tblData[[#This Row],[Italy LogiP(t)]]/$AT$9,"")</f>
        <v>12574.753653046913</v>
      </c>
      <c r="AV112" s="20">
        <f>IF(ISNUMBER(tblData[[#This Row],[Days'# US]]),betaUS/(deltaUS+betaPodeltaUS*EXP(-betaUS*tblData[Days'# US])),"")</f>
        <v>187367.55385189413</v>
      </c>
      <c r="AW112" s="11" t="str">
        <f>IF(AND(tblData[Date]&gt;=StartDt2US,ISNUMBER(tblData[US])),(tblData[[#This Row],[US LogiP(t)]]-tblData[US])^2,"")</f>
        <v/>
      </c>
      <c r="AX112" s="20">
        <f>IF(ISNUMBER(tblData[[#This Row],[Days'# US]]),tblData[[#This Row],[US LogiP(t)]]/$AW$9,"")</f>
        <v>5691.1228208540524</v>
      </c>
      <c r="AY112" s="20">
        <f>IF(tblData[Date]&gt;=StartDt2Korea,betaSKorea/(deltaSKorea+betaPodeltaSKorea*EXP(-betaSKorea*(tblData[Date]-StartDt2Korea))),"")</f>
        <v>8607.5560837730773</v>
      </c>
      <c r="AZ112" s="20" t="str">
        <f>IF(AND(tblData[Date]&gt;=StartDt2Korea,ISNUMBER(tblData[SKorea])),(tblData[[#This Row],[SKorea LogiP(t)]]-tblData[[#This Row],[SKorea]])^2,"")</f>
        <v/>
      </c>
      <c r="BA112" s="20">
        <f>IF(tblData[Date]&gt;=StartDt2Korea,tblData[[#This Row],[SKorea LogiP(t)]]/$AZ$9,"")</f>
        <v>1674.6218061815327</v>
      </c>
      <c r="BB112" s="79">
        <f>IF(ISNUMBER(tblData[Days'# UK]),betaUK/(deltaUK+betaPodeltaUK*EXP(-betaUK*tblData[Days'# UK])),"")</f>
        <v>22028.341869461943</v>
      </c>
      <c r="BC112" s="79" t="str">
        <f>IF(ISNUMBER(tblData[UK]),(tblData[[#This Row],[UK LogiP(t)]]-tblData[[#This Row],[UK]])^2,"")</f>
        <v/>
      </c>
      <c r="BD112" s="79">
        <f>IF(ISNUMBER(tblData[Days'# UK]),tblData[[#This Row],[UK LogiP(t)]]/$BC$9,"")</f>
        <v>3315.5240622308766</v>
      </c>
      <c r="BE112" s="11">
        <f>IF(ISNUMBER(tblData[Days'# China]),betaChina/(deltaChina+betaPodeltaChina*EXP(-betaChina*tblData[Days'# China])),"")</f>
        <v>81015.961191981085</v>
      </c>
      <c r="BF112" s="11" t="str">
        <f>IF(ISNUMBER(tblData[China]),(tblData[[#This Row],[China LogiP(t)]]-tblData[[#This Row],[China]])^2,"")</f>
        <v/>
      </c>
      <c r="BG112" s="11">
        <f>tblData[[#This Row],[China LogiP(t)]]/$BF$9</f>
        <v>562.87516778977385</v>
      </c>
      <c r="BH112" s="11">
        <f>IF(ISNUMBER(tblData[Day'# Singapore]),betaSingapore/(deltaSingapore+betaPodeltaSingapore*EXP(-betaSingapore*tblData[Day'# Singapore])),"")</f>
        <v>5870301862.0200481</v>
      </c>
      <c r="BI112" s="11" t="str">
        <f>IF(AND(ISNUMBER(tblData[Singapore]),tblData[Date]&gt;=StartDt2Singapore),(tblData[[#This Row],[Singapore LogiP(t)]]-tblData[[#This Row],[Singapore]])^2,"")</f>
        <v/>
      </c>
      <c r="BJ112" s="11">
        <f>IF(ISNUMBER(tblData[Day'# Singapore]),tblData[Singapore LogiP(t)]/$BI$9,"")</f>
        <v>10034704037.641109</v>
      </c>
      <c r="BK112" s="11">
        <f>IF(ISNUMBER(tblData[Day'# Generic]),betaGeneric/(deltaGeneric+betaPodeltaGeneric*EXP(-betaGeneric*tblData[Day'# Generic])),"")</f>
        <v>67309.099344964648</v>
      </c>
      <c r="BL112" s="11" t="str">
        <f>IF(AND(ISNUMBER(tblData[Generic]),tblData[Date]&gt;=StartDt2Generic),(tblData[Generic LogiP(t)]-tblData[[#This Row],[Generic]])^2,"")</f>
        <v/>
      </c>
      <c r="BM112" s="11">
        <f>IF(ISNUMBER(tblData[Day'# Generic]),tblData[Generic LogiP(t)]/$BL$9,"")</f>
        <v>11505.828947857206</v>
      </c>
      <c r="BN112" s="11"/>
      <c r="BO112" s="11"/>
      <c r="BP112" s="11" t="str">
        <f>IF(ISNUMBER(tblData[[#This Row],[Tests]]),tblData[[#This Row],[Tests]]-BP111,"")</f>
        <v/>
      </c>
      <c r="BQ112" s="11" t="str">
        <f>IF(ISNUMBER(tblData[[#This Row],[NSW Under Investigation'']]),tblData[[#This Row],[NSW Under Investigation'']]-BO111,"")</f>
        <v/>
      </c>
      <c r="BR112" s="11">
        <f>IF(tblData[[#This Row],[Date]]&gt;myData!TestsStart,tblData[[#This Row],[Date]]-myData!TestsStart,"")</f>
        <v>238</v>
      </c>
      <c r="BS112" s="11">
        <f>IF(AND(tblData[[#This Row],[NSW Test Day Number]]&gt;0,ISNUMBER(tblData[[#This Row],[NSW Test Day Number]])),betaTests/(deltaTests+betaPodeltaTests*EXP(-betaTests*tblData[[#This Row],[NSW Test Day Number]])),"")</f>
        <v>107543.02659466591</v>
      </c>
      <c r="BT112" s="11" t="str">
        <f>IF(tblData[Tests]&gt;0,(tblData[[#This Row],[Tests]]-tblData[[#This Row],[NSW Test Logi]])^2,"")</f>
        <v/>
      </c>
      <c r="BU112" s="11" t="str">
        <f>IF(ISNUMBER(tblData[Tests]),tblData[Tests]/$BS$9/100,"")</f>
        <v/>
      </c>
      <c r="BV112" s="124">
        <f ca="1">IF(AND(tblData[[#This Row],[NSW Test Day Number]]&gt;0,ISNUMBER(tblData[[#This Row],[NSW Test Day Number]])),TestsLogestB*TestsLogestM^tblData[[#This Row],[NSW Test Day Number]],"")</f>
        <v>4.6657441995447706E+17</v>
      </c>
      <c r="BW112" s="11" t="str">
        <f>IF(AND(tblData[[#This Row],[NSW Test Day Number]]&gt;0,ISNUMBER(tblData[Tests])),(tblData[Tests]-tblData[[#This Row],[NSW Test Per Capita]])^2,"")</f>
        <v/>
      </c>
      <c r="BX112" s="124"/>
      <c r="BY112" s="11"/>
      <c r="BZ112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V112"/>
      <c r="DW112"/>
      <c r="DX112"/>
      <c r="DY112" s="25" t="s">
        <v>975</v>
      </c>
      <c r="DZ112" s="76">
        <v>43912.588761574072</v>
      </c>
      <c r="EA112" s="26">
        <v>43852</v>
      </c>
      <c r="EB112" s="26">
        <v>43880</v>
      </c>
      <c r="EC112">
        <v>5</v>
      </c>
      <c r="ED112" s="25">
        <v>0.32050342361704887</v>
      </c>
      <c r="EE112" s="79">
        <v>3.8255187244755717E-5</v>
      </c>
      <c r="EF112" s="25">
        <v>182.78805705771839</v>
      </c>
      <c r="EG112" s="96">
        <v>8378.0382923360467</v>
      </c>
      <c r="EH112" s="25">
        <v>160.37089883020292</v>
      </c>
      <c r="EI112" s="25">
        <v>1.7151603737940299E-3</v>
      </c>
      <c r="EJ112" s="98">
        <v>3.8255187244755719E-2</v>
      </c>
      <c r="EK112" s="26">
        <v>43911</v>
      </c>
      <c r="EL112" s="25" t="s">
        <v>1097</v>
      </c>
      <c r="EM112" s="25"/>
      <c r="EN112" s="99">
        <v>8799</v>
      </c>
      <c r="EO112" s="25" t="s">
        <v>1098</v>
      </c>
      <c r="EP112" s="26">
        <v>43911</v>
      </c>
      <c r="EQ112" s="25">
        <v>60</v>
      </c>
      <c r="ER112" s="25" t="s">
        <v>1099</v>
      </c>
      <c r="ET112" t="s">
        <v>1100</v>
      </c>
      <c r="EU112" t="s">
        <v>984</v>
      </c>
      <c r="EV112" s="25" t="s">
        <v>1101</v>
      </c>
      <c r="EW112" s="25">
        <v>1711.8677042801557</v>
      </c>
      <c r="EX112" s="82">
        <v>43891</v>
      </c>
      <c r="EY112" s="25">
        <v>21</v>
      </c>
      <c r="EZ112" s="82">
        <v>43890</v>
      </c>
      <c r="FA112">
        <v>22</v>
      </c>
      <c r="FC112" s="25"/>
    </row>
    <row r="113" spans="2:191" x14ac:dyDescent="0.25">
      <c r="B113" s="26">
        <f t="shared" si="9"/>
        <v>44140</v>
      </c>
      <c r="L113" s="12" t="str">
        <f>IF(ISNUMBER(tblData[[#This Row],[NSW]]),tblData[[#This Row],[New South Wales]]/$L$9,"")</f>
        <v/>
      </c>
      <c r="N113" s="46" t="str">
        <f>IF(ISNUMBER(tblData[Italy]),tblData[Italy]/$N$9,"")</f>
        <v/>
      </c>
      <c r="P113" s="124" t="str">
        <f>IF(ISNUMBER(tblData[US]),tblData[US]/$P$9,"")</f>
        <v/>
      </c>
      <c r="Q113" s="46"/>
      <c r="R113" s="19" t="str">
        <f>IF(ISNUMBER(tblData[SKorea]),tblData[SKorea]/$R$9,"")</f>
        <v/>
      </c>
      <c r="S113" s="46"/>
      <c r="T113" s="12" t="str">
        <f>IF(ISNUMBER(tblData[UK]),tblData[UK]/$T$9,"")</f>
        <v/>
      </c>
      <c r="V113" s="20" t="str">
        <f>IF(ISNUMBER(tblData[China]),tblData[China]/$V$9,"")</f>
        <v/>
      </c>
      <c r="W113" s="20"/>
      <c r="X113" s="20" t="str">
        <f>IF(ISNUMBER(tblData[Singapore]),tblData[Singapore]/$X$9,"")</f>
        <v/>
      </c>
      <c r="Y113" s="20"/>
      <c r="Z113" s="20" t="str">
        <f>IF(AND(LEN(tblData[Generic])&gt;0,ISNUMBER(tblData[Generic])),tblData[Generic]/$Z$9,"")</f>
        <v/>
      </c>
      <c r="AA113" s="25">
        <f>IF(tblData[[#This Row],[Date]]&lt;ItalyStart,"",tblData[[#This Row],[Date]]-ItalyStart)</f>
        <v>280</v>
      </c>
      <c r="AB113" s="25">
        <f>IF(tblData[[#This Row],[Date]]&lt;USStart,"",tblData[[#This Row],[Date]]-USStart)</f>
        <v>288</v>
      </c>
      <c r="AC113" s="25">
        <f>IF(tblData[[#This Row],[Date]]&lt;ChinaStart,"",tblData[[#This Row],[Date]]-ChinaStart)</f>
        <v>288</v>
      </c>
      <c r="AD113" s="25">
        <f>IF(tblData[[#This Row],[Date]]&lt;StartDt2Korea,"",tblData[[#This Row],[Date]]-StartDt2Korea)</f>
        <v>260</v>
      </c>
      <c r="AE113" s="25">
        <f>IF(tblData[[#This Row],[Date]]&lt;UKStart,"",tblData[[#This Row],[Date]]-UKStart)</f>
        <v>280</v>
      </c>
      <c r="AF113" s="25">
        <f>IF(tblData[[#This Row],[Date]]&lt;SingaporeStart,"",tblData[[#This Row],[Date]]-SingaporeStart)</f>
        <v>287</v>
      </c>
      <c r="AG113" s="25">
        <f>IF(tblData[[#This Row],[Date]]&lt;GenStart,"",tblData[[#This Row],[Date]]-GenStart)</f>
        <v>288</v>
      </c>
      <c r="AH113">
        <f>IF(tblData[Date]&gt;=StartDt2Au,tblData[Date]-StartDt2Au,"")</f>
        <v>285</v>
      </c>
      <c r="AI113" s="25" t="str">
        <f>IF(tblData[New South Wales]&gt;0,SUM(tblData[[#This Row],[Australian Capital Territory]:[Western Australia]]),"")</f>
        <v/>
      </c>
      <c r="AJ113" s="12" t="str">
        <f>IF(ISNUMBER(tblData[Au]),tblData[Au]/$AE$9,"")</f>
        <v/>
      </c>
      <c r="AK113" s="41">
        <f>IF(ISNUMBER(tblData[[#This Row],[Day'# Aust]]),betaAu/(deltaAu+betaPodeltaAu*EXP(-betaAu*tblData[[#This Row],[Day'# Aust]])),"")</f>
        <v>7036.4105996678436</v>
      </c>
      <c r="AL113" s="67">
        <f>IF(ISNUMBER(tblData[Day'# Aust]),tblData[Au LogiP(t)]/$AJ$9,"")</f>
        <v>2774.172291305726</v>
      </c>
      <c r="AM113" s="11" t="str">
        <f>IF(AND(tblData[Date]&gt;=StartDt2Au,ISNUMBER(tblData[NSW])),(tblData[[#This Row],[Au LogiP(t)]]-tblData[[#This Row],[Au]])^2,"")</f>
        <v/>
      </c>
      <c r="AN113">
        <f>IF(tblData[Date]&gt;StartDt2NSW,tblData[Date]-StartDt2NSW,"")</f>
        <v>285</v>
      </c>
      <c r="AO113" s="25" t="str">
        <f t="shared" si="7"/>
        <v/>
      </c>
      <c r="AP113" s="11">
        <f>IF(tblData[Date]&gt;StartDt2NSW,betaNSW/(deltaNSW+betaPodeltaNSW*EXP(-betaNSW*tblData[[#This Row],[Day '# NSW]])),"")</f>
        <v>9599.8215448294359</v>
      </c>
      <c r="AQ113" s="12" t="str">
        <f>IF(AND(ISNUMBER(tblData[NSW]),tblData[Date]&gt;StartDt2NSW),(tblData[[#This Row],[NSW LogiP(t)]]-tblData[[#This Row],[NSW]])^2,"")</f>
        <v/>
      </c>
      <c r="AR113" s="41">
        <f>IF(AND(tblData[Date]&gt;StartDt2NSW,ISNUMBER(tblData[Day'# Aust])),tblData[NSW LogiP(t)]/$AQ$9,"")</f>
        <v>11880.96725845227</v>
      </c>
      <c r="AS113" s="11">
        <f>IF(AND(tblData[Date]&gt;StartDt2Italy,ISNUMBER(tblData[Days'# Italy])),betaItaly/(deltaItaly+betaPodeltaItaly*EXP(-betaItaly*tblData[Days'# Italy])),"")</f>
        <v>76058.397470454249</v>
      </c>
      <c r="AT113" s="11" t="str">
        <f>IF(AND(tblData[Date]&gt;StartDt2Italy,ISNUMBER(tblData[Italy])),(tblData[[#This Row],[Italy LogiP(t)]]-tblData[[#This Row],[Italy]])^2,"")</f>
        <v/>
      </c>
      <c r="AU113" s="41">
        <f>IF(AND(tblData[Date]&gt;StartDt2Italy,ISNUMBER(tblData[Days'# Italy])),tblData[[#This Row],[Italy LogiP(t)]]/$AT$9,"")</f>
        <v>12574.753653046913</v>
      </c>
      <c r="AV113" s="20">
        <f>IF(ISNUMBER(tblData[[#This Row],[Days'# US]]),betaUS/(deltaUS+betaPodeltaUS*EXP(-betaUS*tblData[Days'# US])),"")</f>
        <v>187367.55385189413</v>
      </c>
      <c r="AW113" s="11" t="str">
        <f>IF(AND(tblData[Date]&gt;=StartDt2US,ISNUMBER(tblData[US])),(tblData[[#This Row],[US LogiP(t)]]-tblData[US])^2,"")</f>
        <v/>
      </c>
      <c r="AX113" s="20">
        <f>IF(ISNUMBER(tblData[[#This Row],[Days'# US]]),tblData[[#This Row],[US LogiP(t)]]/$AW$9,"")</f>
        <v>5691.1228208540524</v>
      </c>
      <c r="AY113" s="20">
        <f>IF(tblData[Date]&gt;=StartDt2Korea,betaSKorea/(deltaSKorea+betaPodeltaSKorea*EXP(-betaSKorea*(tblData[Date]-StartDt2Korea))),"")</f>
        <v>8607.5560837730773</v>
      </c>
      <c r="AZ113" s="20" t="str">
        <f>IF(AND(tblData[Date]&gt;=StartDt2Korea,ISNUMBER(tblData[SKorea])),(tblData[[#This Row],[SKorea LogiP(t)]]-tblData[[#This Row],[SKorea]])^2,"")</f>
        <v/>
      </c>
      <c r="BA113" s="20">
        <f>IF(tblData[Date]&gt;=StartDt2Korea,tblData[[#This Row],[SKorea LogiP(t)]]/$AZ$9,"")</f>
        <v>1674.6218061815327</v>
      </c>
      <c r="BB113" s="79">
        <f>IF(ISNUMBER(tblData[Days'# UK]),betaUK/(deltaUK+betaPodeltaUK*EXP(-betaUK*tblData[Days'# UK])),"")</f>
        <v>22028.341869461943</v>
      </c>
      <c r="BC113" s="79" t="str">
        <f>IF(ISNUMBER(tblData[UK]),(tblData[[#This Row],[UK LogiP(t)]]-tblData[[#This Row],[UK]])^2,"")</f>
        <v/>
      </c>
      <c r="BD113" s="79">
        <f>IF(ISNUMBER(tblData[Days'# UK]),tblData[[#This Row],[UK LogiP(t)]]/$BC$9,"")</f>
        <v>3315.5240622308766</v>
      </c>
      <c r="BE113" s="11">
        <f>IF(ISNUMBER(tblData[Days'# China]),betaChina/(deltaChina+betaPodeltaChina*EXP(-betaChina*tblData[Days'# China])),"")</f>
        <v>81015.961191981085</v>
      </c>
      <c r="BF113" s="11" t="str">
        <f>IF(ISNUMBER(tblData[China]),(tblData[[#This Row],[China LogiP(t)]]-tblData[[#This Row],[China]])^2,"")</f>
        <v/>
      </c>
      <c r="BG113" s="11">
        <f>tblData[[#This Row],[China LogiP(t)]]/$BF$9</f>
        <v>562.87516778977385</v>
      </c>
      <c r="BH113" s="11">
        <f>IF(ISNUMBER(tblData[Day'# Singapore]),betaSingapore/(deltaSingapore+betaPodeltaSingapore*EXP(-betaSingapore*tblData[Day'# Singapore])),"")</f>
        <v>9381288102.9032955</v>
      </c>
      <c r="BI113" s="11" t="str">
        <f>IF(AND(ISNUMBER(tblData[Singapore]),tblData[Date]&gt;=StartDt2Singapore),(tblData[[#This Row],[Singapore LogiP(t)]]-tblData[[#This Row],[Singapore]])^2,"")</f>
        <v/>
      </c>
      <c r="BJ113" s="11">
        <f>IF(ISNUMBER(tblData[Day'# Singapore]),tblData[Singapore LogiP(t)]/$BI$9,"")</f>
        <v>16036389919.492813</v>
      </c>
      <c r="BK113" s="11">
        <f>IF(ISNUMBER(tblData[Day'# Generic]),betaGeneric/(deltaGeneric+betaPodeltaGeneric*EXP(-betaGeneric*tblData[Day'# Generic])),"")</f>
        <v>67309.099344964648</v>
      </c>
      <c r="BL113" s="11" t="str">
        <f>IF(AND(ISNUMBER(tblData[Generic]),tblData[Date]&gt;=StartDt2Generic),(tblData[Generic LogiP(t)]-tblData[[#This Row],[Generic]])^2,"")</f>
        <v/>
      </c>
      <c r="BM113" s="11">
        <f>IF(ISNUMBER(tblData[Day'# Generic]),tblData[Generic LogiP(t)]/$BL$9,"")</f>
        <v>11505.828947857206</v>
      </c>
      <c r="BN113" s="11"/>
      <c r="BO113" s="11"/>
      <c r="BP113" s="11" t="str">
        <f>IF(ISNUMBER(tblData[[#This Row],[Tests]]),tblData[[#This Row],[Tests]]-BP112,"")</f>
        <v/>
      </c>
      <c r="BQ113" s="11" t="str">
        <f>IF(ISNUMBER(tblData[[#This Row],[NSW Under Investigation'']]),tblData[[#This Row],[NSW Under Investigation'']]-BO112,"")</f>
        <v/>
      </c>
      <c r="BR113" s="11">
        <f>IF(tblData[[#This Row],[Date]]&gt;myData!TestsStart,tblData[[#This Row],[Date]]-myData!TestsStart,"")</f>
        <v>245</v>
      </c>
      <c r="BS113" s="11">
        <f>IF(AND(tblData[[#This Row],[NSW Test Day Number]]&gt;0,ISNUMBER(tblData[[#This Row],[NSW Test Day Number]])),betaTests/(deltaTests+betaPodeltaTests*EXP(-betaTests*tblData[[#This Row],[NSW Test Day Number]])),"")</f>
        <v>107543.02659466591</v>
      </c>
      <c r="BT113" s="11" t="str">
        <f>IF(tblData[Tests]&gt;0,(tblData[[#This Row],[Tests]]-tblData[[#This Row],[NSW Test Logi]])^2,"")</f>
        <v/>
      </c>
      <c r="BU113" s="11" t="str">
        <f>IF(ISNUMBER(tblData[Tests]),tblData[Tests]/$BS$9/100,"")</f>
        <v/>
      </c>
      <c r="BV113" s="124">
        <f ca="1">IF(AND(tblData[[#This Row],[NSW Test Day Number]]&gt;0,ISNUMBER(tblData[[#This Row],[NSW Test Day Number]])),TestsLogestB*TestsLogestM^tblData[[#This Row],[NSW Test Day Number]],"")</f>
        <v>1.2012474699210437E+18</v>
      </c>
      <c r="BW113" s="11" t="str">
        <f>IF(AND(tblData[[#This Row],[NSW Test Day Number]]&gt;0,ISNUMBER(tblData[Tests])),(tblData[Tests]-tblData[[#This Row],[NSW Test Per Capita]])^2,"")</f>
        <v/>
      </c>
      <c r="BX113" s="124"/>
      <c r="BY113" s="11"/>
      <c r="BZ113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V113"/>
      <c r="DW113"/>
      <c r="DX113"/>
      <c r="DY113" s="25" t="s">
        <v>975</v>
      </c>
      <c r="DZ113" s="76">
        <v>43913.581724537034</v>
      </c>
      <c r="EA113" s="26">
        <v>43852</v>
      </c>
      <c r="EB113" s="26">
        <v>43880</v>
      </c>
      <c r="EC113">
        <v>5</v>
      </c>
      <c r="ED113">
        <v>0.32049770084288381</v>
      </c>
      <c r="EE113" s="95">
        <v>3.8254432735924097E-5</v>
      </c>
      <c r="EF113">
        <v>182.80037759483983</v>
      </c>
      <c r="EG113" s="96">
        <v>8378.0539383586201</v>
      </c>
      <c r="EH113" s="25">
        <v>160.3709022384939</v>
      </c>
      <c r="EI113" s="25">
        <v>1.7150116439525903E-3</v>
      </c>
      <c r="EJ113" s="98">
        <v>3.8254432735924097E-2</v>
      </c>
      <c r="EK113" s="26">
        <v>43911</v>
      </c>
      <c r="EL113" s="25" t="s">
        <v>1097</v>
      </c>
      <c r="EM113">
        <v>8378.0539383586201</v>
      </c>
      <c r="EN113" s="99">
        <v>8799</v>
      </c>
      <c r="EO113" s="25" t="s">
        <v>1098</v>
      </c>
      <c r="EP113" s="26">
        <v>43911</v>
      </c>
      <c r="EQ113" s="25">
        <v>60</v>
      </c>
      <c r="ER113" t="s">
        <v>1312</v>
      </c>
      <c r="ET113" t="s">
        <v>1100</v>
      </c>
      <c r="EU113" t="s">
        <v>1152</v>
      </c>
      <c r="EV113" t="s">
        <v>1313</v>
      </c>
      <c r="EW113" s="25">
        <v>1711.8677042801557</v>
      </c>
      <c r="EX113" s="82">
        <v>43892</v>
      </c>
      <c r="EY113" s="25">
        <v>21</v>
      </c>
      <c r="EZ113" s="82">
        <v>43891</v>
      </c>
      <c r="FA113" s="25">
        <v>21</v>
      </c>
      <c r="FC113" s="25"/>
    </row>
    <row r="114" spans="2:191" x14ac:dyDescent="0.25">
      <c r="B114" s="26">
        <f t="shared" si="9"/>
        <v>44147</v>
      </c>
      <c r="L114" s="12" t="str">
        <f>IF(ISNUMBER(tblData[[#This Row],[NSW]]),tblData[[#This Row],[New South Wales]]/$L$9,"")</f>
        <v/>
      </c>
      <c r="N114" s="46" t="str">
        <f>IF(ISNUMBER(tblData[Italy]),tblData[Italy]/$N$9,"")</f>
        <v/>
      </c>
      <c r="P114" s="124" t="str">
        <f>IF(ISNUMBER(tblData[US]),tblData[US]/$P$9,"")</f>
        <v/>
      </c>
      <c r="Q114" s="46"/>
      <c r="R114" s="19" t="str">
        <f>IF(ISNUMBER(tblData[SKorea]),tblData[SKorea]/$R$9,"")</f>
        <v/>
      </c>
      <c r="S114" s="46"/>
      <c r="T114" s="12" t="str">
        <f>IF(ISNUMBER(tblData[UK]),tblData[UK]/$T$9,"")</f>
        <v/>
      </c>
      <c r="V114" s="20" t="str">
        <f>IF(ISNUMBER(tblData[China]),tblData[China]/$V$9,"")</f>
        <v/>
      </c>
      <c r="W114" s="20"/>
      <c r="X114" s="20" t="str">
        <f>IF(ISNUMBER(tblData[Singapore]),tblData[Singapore]/$X$9,"")</f>
        <v/>
      </c>
      <c r="Y114" s="20"/>
      <c r="Z114" s="20" t="str">
        <f>IF(AND(LEN(tblData[Generic])&gt;0,ISNUMBER(tblData[Generic])),tblData[Generic]/$Z$9,"")</f>
        <v/>
      </c>
      <c r="AA114" s="25">
        <f>IF(tblData[[#This Row],[Date]]&lt;ItalyStart,"",tblData[[#This Row],[Date]]-ItalyStart)</f>
        <v>287</v>
      </c>
      <c r="AB114" s="25">
        <f>IF(tblData[[#This Row],[Date]]&lt;USStart,"",tblData[[#This Row],[Date]]-USStart)</f>
        <v>295</v>
      </c>
      <c r="AC114" s="25">
        <f>IF(tblData[[#This Row],[Date]]&lt;ChinaStart,"",tblData[[#This Row],[Date]]-ChinaStart)</f>
        <v>295</v>
      </c>
      <c r="AD114" s="25">
        <f>IF(tblData[[#This Row],[Date]]&lt;StartDt2Korea,"",tblData[[#This Row],[Date]]-StartDt2Korea)</f>
        <v>267</v>
      </c>
      <c r="AE114" s="25">
        <f>IF(tblData[[#This Row],[Date]]&lt;UKStart,"",tblData[[#This Row],[Date]]-UKStart)</f>
        <v>287</v>
      </c>
      <c r="AF114" s="25">
        <f>IF(tblData[[#This Row],[Date]]&lt;SingaporeStart,"",tblData[[#This Row],[Date]]-SingaporeStart)</f>
        <v>294</v>
      </c>
      <c r="AG114" s="25">
        <f>IF(tblData[[#This Row],[Date]]&lt;GenStart,"",tblData[[#This Row],[Date]]-GenStart)</f>
        <v>295</v>
      </c>
      <c r="AH114">
        <f>IF(tblData[Date]&gt;=StartDt2Au,tblData[Date]-StartDt2Au,"")</f>
        <v>292</v>
      </c>
      <c r="AI114" s="25" t="str">
        <f>IF(tblData[New South Wales]&gt;0,SUM(tblData[[#This Row],[Australian Capital Territory]:[Western Australia]]),"")</f>
        <v/>
      </c>
      <c r="AJ114" s="12" t="str">
        <f>IF(ISNUMBER(tblData[Au]),tblData[Au]/$AE$9,"")</f>
        <v/>
      </c>
      <c r="AK114" s="41">
        <f>IF(ISNUMBER(tblData[[#This Row],[Day'# Aust]]),betaAu/(deltaAu+betaPodeltaAu*EXP(-betaAu*tblData[[#This Row],[Day'# Aust]])),"")</f>
        <v>7036.4105996678436</v>
      </c>
      <c r="AL114" s="67">
        <f>IF(ISNUMBER(tblData[Day'# Aust]),tblData[Au LogiP(t)]/$AJ$9,"")</f>
        <v>2774.172291305726</v>
      </c>
      <c r="AM114" s="11" t="str">
        <f>IF(AND(tblData[Date]&gt;=StartDt2Au,ISNUMBER(tblData[NSW])),(tblData[[#This Row],[Au LogiP(t)]]-tblData[[#This Row],[Au]])^2,"")</f>
        <v/>
      </c>
      <c r="AN114">
        <f>IF(tblData[Date]&gt;StartDt2NSW,tblData[Date]-StartDt2NSW,"")</f>
        <v>292</v>
      </c>
      <c r="AO114" s="25" t="str">
        <f t="shared" si="7"/>
        <v/>
      </c>
      <c r="AP114" s="11">
        <f>IF(tblData[Date]&gt;StartDt2NSW,betaNSW/(deltaNSW+betaPodeltaNSW*EXP(-betaNSW*tblData[[#This Row],[Day '# NSW]])),"")</f>
        <v>9599.8215448294359</v>
      </c>
      <c r="AQ114" s="12" t="str">
        <f>IF(AND(ISNUMBER(tblData[NSW]),tblData[Date]&gt;StartDt2NSW),(tblData[[#This Row],[NSW LogiP(t)]]-tblData[[#This Row],[NSW]])^2,"")</f>
        <v/>
      </c>
      <c r="AR114" s="41">
        <f>IF(AND(tblData[Date]&gt;StartDt2NSW,ISNUMBER(tblData[Day'# Aust])),tblData[NSW LogiP(t)]/$AQ$9,"")</f>
        <v>11880.96725845227</v>
      </c>
      <c r="AS114" s="11">
        <f>IF(AND(tblData[Date]&gt;StartDt2Italy,ISNUMBER(tblData[Days'# Italy])),betaItaly/(deltaItaly+betaPodeltaItaly*EXP(-betaItaly*tblData[Days'# Italy])),"")</f>
        <v>76058.397470454249</v>
      </c>
      <c r="AT114" s="11" t="str">
        <f>IF(AND(tblData[Date]&gt;StartDt2Italy,ISNUMBER(tblData[Italy])),(tblData[[#This Row],[Italy LogiP(t)]]-tblData[[#This Row],[Italy]])^2,"")</f>
        <v/>
      </c>
      <c r="AU114" s="41">
        <f>IF(AND(tblData[Date]&gt;StartDt2Italy,ISNUMBER(tblData[Days'# Italy])),tblData[[#This Row],[Italy LogiP(t)]]/$AT$9,"")</f>
        <v>12574.753653046913</v>
      </c>
      <c r="AV114" s="20">
        <f>IF(ISNUMBER(tblData[[#This Row],[Days'# US]]),betaUS/(deltaUS+betaPodeltaUS*EXP(-betaUS*tblData[Days'# US])),"")</f>
        <v>187367.55385189413</v>
      </c>
      <c r="AW114" s="11" t="str">
        <f>IF(AND(tblData[Date]&gt;=StartDt2US,ISNUMBER(tblData[US])),(tblData[[#This Row],[US LogiP(t)]]-tblData[US])^2,"")</f>
        <v/>
      </c>
      <c r="AX114" s="20">
        <f>IF(ISNUMBER(tblData[[#This Row],[Days'# US]]),tblData[[#This Row],[US LogiP(t)]]/$AW$9,"")</f>
        <v>5691.1228208540524</v>
      </c>
      <c r="AY114" s="20">
        <f>IF(tblData[Date]&gt;=StartDt2Korea,betaSKorea/(deltaSKorea+betaPodeltaSKorea*EXP(-betaSKorea*(tblData[Date]-StartDt2Korea))),"")</f>
        <v>8607.5560837730773</v>
      </c>
      <c r="AZ114" s="20" t="str">
        <f>IF(AND(tblData[Date]&gt;=StartDt2Korea,ISNUMBER(tblData[SKorea])),(tblData[[#This Row],[SKorea LogiP(t)]]-tblData[[#This Row],[SKorea]])^2,"")</f>
        <v/>
      </c>
      <c r="BA114" s="20">
        <f>IF(tblData[Date]&gt;=StartDt2Korea,tblData[[#This Row],[SKorea LogiP(t)]]/$AZ$9,"")</f>
        <v>1674.6218061815327</v>
      </c>
      <c r="BB114" s="79">
        <f>IF(ISNUMBER(tblData[Days'# UK]),betaUK/(deltaUK+betaPodeltaUK*EXP(-betaUK*tblData[Days'# UK])),"")</f>
        <v>22028.341869461943</v>
      </c>
      <c r="BC114" s="79" t="str">
        <f>IF(ISNUMBER(tblData[UK]),(tblData[[#This Row],[UK LogiP(t)]]-tblData[[#This Row],[UK]])^2,"")</f>
        <v/>
      </c>
      <c r="BD114" s="79">
        <f>IF(ISNUMBER(tblData[Days'# UK]),tblData[[#This Row],[UK LogiP(t)]]/$BC$9,"")</f>
        <v>3315.5240622308766</v>
      </c>
      <c r="BE114" s="11">
        <f>IF(ISNUMBER(tblData[Days'# China]),betaChina/(deltaChina+betaPodeltaChina*EXP(-betaChina*tblData[Days'# China])),"")</f>
        <v>81015.961191981085</v>
      </c>
      <c r="BF114" s="11" t="str">
        <f>IF(ISNUMBER(tblData[China]),(tblData[[#This Row],[China LogiP(t)]]-tblData[[#This Row],[China]])^2,"")</f>
        <v/>
      </c>
      <c r="BG114" s="11">
        <f>tblData[[#This Row],[China LogiP(t)]]/$BF$9</f>
        <v>562.87516778977385</v>
      </c>
      <c r="BH114" s="11">
        <f>IF(ISNUMBER(tblData[Day'# Singapore]),betaSingapore/(deltaSingapore+betaPodeltaSingapore*EXP(-betaSingapore*tblData[Day'# Singapore])),"")</f>
        <v>14546924904.557304</v>
      </c>
      <c r="BI114" s="11" t="str">
        <f>IF(AND(ISNUMBER(tblData[Singapore]),tblData[Date]&gt;=StartDt2Singapore),(tblData[[#This Row],[Singapore LogiP(t)]]-tblData[[#This Row],[Singapore]])^2,"")</f>
        <v/>
      </c>
      <c r="BJ114" s="11">
        <f>IF(ISNUMBER(tblData[Day'# Singapore]),tblData[Singapore LogiP(t)]/$BI$9,"")</f>
        <v>24866538298.388557</v>
      </c>
      <c r="BK114" s="11">
        <f>IF(ISNUMBER(tblData[Day'# Generic]),betaGeneric/(deltaGeneric+betaPodeltaGeneric*EXP(-betaGeneric*tblData[Day'# Generic])),"")</f>
        <v>67309.099344964648</v>
      </c>
      <c r="BL114" s="11" t="str">
        <f>IF(AND(ISNUMBER(tblData[Generic]),tblData[Date]&gt;=StartDt2Generic),(tblData[Generic LogiP(t)]-tblData[[#This Row],[Generic]])^2,"")</f>
        <v/>
      </c>
      <c r="BM114" s="11">
        <f>IF(ISNUMBER(tblData[Day'# Generic]),tblData[Generic LogiP(t)]/$BL$9,"")</f>
        <v>11505.828947857206</v>
      </c>
      <c r="BN114" s="11"/>
      <c r="BO114" s="11"/>
      <c r="BP114" s="11" t="str">
        <f>IF(ISNUMBER(tblData[[#This Row],[Tests]]),tblData[[#This Row],[Tests]]-BP113,"")</f>
        <v/>
      </c>
      <c r="BQ114" s="11" t="str">
        <f>IF(ISNUMBER(tblData[[#This Row],[NSW Under Investigation'']]),tblData[[#This Row],[NSW Under Investigation'']]-BO113,"")</f>
        <v/>
      </c>
      <c r="BR114" s="11">
        <f>IF(tblData[[#This Row],[Date]]&gt;myData!TestsStart,tblData[[#This Row],[Date]]-myData!TestsStart,"")</f>
        <v>252</v>
      </c>
      <c r="BS114" s="11">
        <f>IF(AND(tblData[[#This Row],[NSW Test Day Number]]&gt;0,ISNUMBER(tblData[[#This Row],[NSW Test Day Number]])),betaTests/(deltaTests+betaPodeltaTests*EXP(-betaTests*tblData[[#This Row],[NSW Test Day Number]])),"")</f>
        <v>107543.02659466591</v>
      </c>
      <c r="BT114" s="11" t="str">
        <f>IF(tblData[Tests]&gt;0,(tblData[[#This Row],[Tests]]-tblData[[#This Row],[NSW Test Logi]])^2,"")</f>
        <v/>
      </c>
      <c r="BU114" s="11" t="str">
        <f>IF(ISNUMBER(tblData[Tests]),tblData[Tests]/$BS$9/100,"")</f>
        <v/>
      </c>
      <c r="BV114" s="124">
        <f ca="1">IF(AND(tblData[[#This Row],[NSW Test Day Number]]&gt;0,ISNUMBER(tblData[[#This Row],[NSW Test Day Number]])),TestsLogestB*TestsLogestM^tblData[[#This Row],[NSW Test Day Number]],"")</f>
        <v>3.0927445275128883E+18</v>
      </c>
      <c r="BW114" s="11" t="str">
        <f>IF(AND(tblData[[#This Row],[NSW Test Day Number]]&gt;0,ISNUMBER(tblData[Tests])),(tblData[Tests]-tblData[[#This Row],[NSW Test Per Capita]])^2,"")</f>
        <v/>
      </c>
      <c r="BX114" s="124"/>
      <c r="BY114" s="11"/>
      <c r="BZ114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D114"/>
      <c r="DG114" s="25"/>
      <c r="DH114" s="25"/>
      <c r="DV114"/>
      <c r="DW114"/>
      <c r="DX114"/>
      <c r="DY114" s="25" t="s">
        <v>975</v>
      </c>
      <c r="DZ114" s="76">
        <v>43912.787604166668</v>
      </c>
      <c r="EA114" s="26">
        <v>43852</v>
      </c>
      <c r="EB114" s="26">
        <v>43880</v>
      </c>
      <c r="EC114">
        <v>5</v>
      </c>
      <c r="ED114">
        <v>0.31530859841320269</v>
      </c>
      <c r="EE114" s="79">
        <v>3.7372701209800403E-5</v>
      </c>
      <c r="EF114">
        <v>191.45875124820066</v>
      </c>
      <c r="EG114" s="96">
        <v>8436.8693780827907</v>
      </c>
      <c r="EH114" s="25">
        <v>180.57430626108624</v>
      </c>
      <c r="EI114" s="25">
        <v>1.6095021287865954E-3</v>
      </c>
      <c r="EJ114" s="98">
        <v>3.7372701209800401E-2</v>
      </c>
      <c r="EK114" s="26">
        <v>43912</v>
      </c>
      <c r="EL114" t="s">
        <v>1153</v>
      </c>
      <c r="EM114">
        <v>8436.8693780827907</v>
      </c>
      <c r="EN114" s="99">
        <v>8897</v>
      </c>
      <c r="EO114" t="s">
        <v>1154</v>
      </c>
      <c r="EP114" s="26">
        <v>43912</v>
      </c>
      <c r="EQ114" s="25">
        <v>61</v>
      </c>
      <c r="ER114" t="s">
        <v>1155</v>
      </c>
      <c r="ET114" t="s">
        <v>1156</v>
      </c>
      <c r="EU114" t="s">
        <v>1152</v>
      </c>
      <c r="EV114" s="25" t="s">
        <v>1157</v>
      </c>
      <c r="EW114">
        <v>1730.933852140078</v>
      </c>
      <c r="EX114" s="82">
        <v>43891</v>
      </c>
      <c r="EY114" s="25">
        <v>21</v>
      </c>
      <c r="EZ114" s="82">
        <v>43890</v>
      </c>
      <c r="FA114">
        <v>22</v>
      </c>
      <c r="FC114" s="25"/>
    </row>
    <row r="115" spans="2:191" x14ac:dyDescent="0.25">
      <c r="B115" s="26">
        <f t="shared" si="9"/>
        <v>44154</v>
      </c>
      <c r="L115" s="12" t="str">
        <f>IF(ISNUMBER(tblData[[#This Row],[NSW]]),tblData[[#This Row],[New South Wales]]/$L$9,"")</f>
        <v/>
      </c>
      <c r="N115" s="46" t="str">
        <f>IF(ISNUMBER(tblData[Italy]),tblData[Italy]/$N$9,"")</f>
        <v/>
      </c>
      <c r="P115" s="124" t="str">
        <f>IF(ISNUMBER(tblData[US]),tblData[US]/$P$9,"")</f>
        <v/>
      </c>
      <c r="Q115" s="46"/>
      <c r="R115" s="19" t="str">
        <f>IF(ISNUMBER(tblData[SKorea]),tblData[SKorea]/$R$9,"")</f>
        <v/>
      </c>
      <c r="S115" s="46"/>
      <c r="T115" s="12" t="str">
        <f>IF(ISNUMBER(tblData[UK]),tblData[UK]/$T$9,"")</f>
        <v/>
      </c>
      <c r="V115" s="20" t="str">
        <f>IF(ISNUMBER(tblData[China]),tblData[China]/$V$9,"")</f>
        <v/>
      </c>
      <c r="W115" s="20"/>
      <c r="X115" s="20" t="str">
        <f>IF(ISNUMBER(tblData[Singapore]),tblData[Singapore]/$X$9,"")</f>
        <v/>
      </c>
      <c r="Y115" s="20"/>
      <c r="Z115" s="20" t="str">
        <f>IF(AND(LEN(tblData[Generic])&gt;0,ISNUMBER(tblData[Generic])),tblData[Generic]/$Z$9,"")</f>
        <v/>
      </c>
      <c r="AA115" s="25">
        <f>IF(tblData[[#This Row],[Date]]&lt;ItalyStart,"",tblData[[#This Row],[Date]]-ItalyStart)</f>
        <v>294</v>
      </c>
      <c r="AB115" s="25">
        <f>IF(tblData[[#This Row],[Date]]&lt;USStart,"",tblData[[#This Row],[Date]]-USStart)</f>
        <v>302</v>
      </c>
      <c r="AC115" s="25">
        <f>IF(tblData[[#This Row],[Date]]&lt;ChinaStart,"",tblData[[#This Row],[Date]]-ChinaStart)</f>
        <v>302</v>
      </c>
      <c r="AD115" s="25">
        <f>IF(tblData[[#This Row],[Date]]&lt;StartDt2Korea,"",tblData[[#This Row],[Date]]-StartDt2Korea)</f>
        <v>274</v>
      </c>
      <c r="AE115" s="25">
        <f>IF(tblData[[#This Row],[Date]]&lt;UKStart,"",tblData[[#This Row],[Date]]-UKStart)</f>
        <v>294</v>
      </c>
      <c r="AF115" s="25">
        <f>IF(tblData[[#This Row],[Date]]&lt;SingaporeStart,"",tblData[[#This Row],[Date]]-SingaporeStart)</f>
        <v>301</v>
      </c>
      <c r="AG115" s="25">
        <f>IF(tblData[[#This Row],[Date]]&lt;GenStart,"",tblData[[#This Row],[Date]]-GenStart)</f>
        <v>302</v>
      </c>
      <c r="AH115" s="25">
        <f>IF(tblData[Date]&gt;=StartDt2Au,tblData[Date]-StartDt2Au,"")</f>
        <v>299</v>
      </c>
      <c r="AI115" s="25" t="str">
        <f>IF(tblData[New South Wales]&gt;0,SUM(tblData[[#This Row],[Australian Capital Territory]:[Western Australia]]),"")</f>
        <v/>
      </c>
      <c r="AJ115" s="12" t="str">
        <f>IF(ISNUMBER(tblData[Au]),tblData[Au]/$AE$9,"")</f>
        <v/>
      </c>
      <c r="AK115" s="41">
        <f>IF(ISNUMBER(tblData[[#This Row],[Day'# Aust]]),betaAu/(deltaAu+betaPodeltaAu*EXP(-betaAu*tblData[[#This Row],[Day'# Aust]])),"")</f>
        <v>7036.4105996678436</v>
      </c>
      <c r="AL115" s="67">
        <f>IF(ISNUMBER(tblData[Day'# Aust]),tblData[Au LogiP(t)]/$AJ$9,"")</f>
        <v>2774.172291305726</v>
      </c>
      <c r="AM115" s="11" t="str">
        <f>IF(AND(tblData[Date]&gt;=StartDt2Au,ISNUMBER(tblData[NSW])),(tblData[[#This Row],[Au LogiP(t)]]-tblData[[#This Row],[Au]])^2,"")</f>
        <v/>
      </c>
      <c r="AN115" s="25">
        <f>IF(tblData[Date]&gt;StartDt2NSW,tblData[Date]-StartDt2NSW,"")</f>
        <v>299</v>
      </c>
      <c r="AO115" s="25" t="str">
        <f t="shared" si="7"/>
        <v/>
      </c>
      <c r="AP115" s="11">
        <f>IF(tblData[Date]&gt;StartDt2NSW,betaNSW/(deltaNSW+betaPodeltaNSW*EXP(-betaNSW*tblData[[#This Row],[Day '# NSW]])),"")</f>
        <v>9599.8215448294359</v>
      </c>
      <c r="AQ115" s="12" t="str">
        <f>IF(AND(ISNUMBER(tblData[NSW]),tblData[Date]&gt;StartDt2NSW),(tblData[[#This Row],[NSW LogiP(t)]]-tblData[[#This Row],[NSW]])^2,"")</f>
        <v/>
      </c>
      <c r="AR115" s="41">
        <f>IF(AND(tblData[Date]&gt;StartDt2NSW,ISNUMBER(tblData[Day'# Aust])),tblData[NSW LogiP(t)]/$AQ$9,"")</f>
        <v>11880.96725845227</v>
      </c>
      <c r="AS115" s="11">
        <f>IF(AND(tblData[Date]&gt;StartDt2Italy,ISNUMBER(tblData[Days'# Italy])),betaItaly/(deltaItaly+betaPodeltaItaly*EXP(-betaItaly*tblData[Days'# Italy])),"")</f>
        <v>76058.397470454249</v>
      </c>
      <c r="AT115" s="11" t="str">
        <f>IF(AND(tblData[Date]&gt;StartDt2Italy,ISNUMBER(tblData[Italy])),(tblData[[#This Row],[Italy LogiP(t)]]-tblData[[#This Row],[Italy]])^2,"")</f>
        <v/>
      </c>
      <c r="AU115" s="41">
        <f>IF(AND(tblData[Date]&gt;StartDt2Italy,ISNUMBER(tblData[Days'# Italy])),tblData[[#This Row],[Italy LogiP(t)]]/$AT$9,"")</f>
        <v>12574.753653046913</v>
      </c>
      <c r="AV115" s="20">
        <f>IF(ISNUMBER(tblData[[#This Row],[Days'# US]]),betaUS/(deltaUS+betaPodeltaUS*EXP(-betaUS*tblData[Days'# US])),"")</f>
        <v>187367.55385189413</v>
      </c>
      <c r="AW115" s="11" t="str">
        <f>IF(AND(tblData[Date]&gt;=StartDt2US,ISNUMBER(tblData[US])),(tblData[[#This Row],[US LogiP(t)]]-tblData[US])^2,"")</f>
        <v/>
      </c>
      <c r="AX115" s="20">
        <f>IF(ISNUMBER(tblData[[#This Row],[Days'# US]]),tblData[[#This Row],[US LogiP(t)]]/$AW$9,"")</f>
        <v>5691.1228208540524</v>
      </c>
      <c r="AY115" s="20">
        <f>IF(tblData[Date]&gt;=StartDt2Korea,betaSKorea/(deltaSKorea+betaPodeltaSKorea*EXP(-betaSKorea*(tblData[Date]-StartDt2Korea))),"")</f>
        <v>8607.5560837730773</v>
      </c>
      <c r="AZ115" s="20" t="str">
        <f>IF(AND(tblData[Date]&gt;=StartDt2Korea,ISNUMBER(tblData[SKorea])),(tblData[[#This Row],[SKorea LogiP(t)]]-tblData[[#This Row],[SKorea]])^2,"")</f>
        <v/>
      </c>
      <c r="BA115" s="20">
        <f>IF(tblData[Date]&gt;=StartDt2Korea,tblData[[#This Row],[SKorea LogiP(t)]]/$AZ$9,"")</f>
        <v>1674.6218061815327</v>
      </c>
      <c r="BB115" s="79">
        <f>IF(ISNUMBER(tblData[Days'# UK]),betaUK/(deltaUK+betaPodeltaUK*EXP(-betaUK*tblData[Days'# UK])),"")</f>
        <v>22028.341869461943</v>
      </c>
      <c r="BC115" s="79" t="str">
        <f>IF(ISNUMBER(tblData[UK]),(tblData[[#This Row],[UK LogiP(t)]]-tblData[[#This Row],[UK]])^2,"")</f>
        <v/>
      </c>
      <c r="BD115" s="79">
        <f>IF(ISNUMBER(tblData[Days'# UK]),tblData[[#This Row],[UK LogiP(t)]]/$BC$9,"")</f>
        <v>3315.5240622308766</v>
      </c>
      <c r="BE115" s="11">
        <f>IF(ISNUMBER(tblData[Days'# China]),betaChina/(deltaChina+betaPodeltaChina*EXP(-betaChina*tblData[Days'# China])),"")</f>
        <v>81015.961191981085</v>
      </c>
      <c r="BF115" s="11" t="str">
        <f>IF(ISNUMBER(tblData[China]),(tblData[[#This Row],[China LogiP(t)]]-tblData[[#This Row],[China]])^2,"")</f>
        <v/>
      </c>
      <c r="BG115" s="11">
        <f>tblData[[#This Row],[China LogiP(t)]]/$BF$9</f>
        <v>562.87516778977385</v>
      </c>
      <c r="BH115" s="11">
        <f>IF(ISNUMBER(tblData[Day'# Singapore]),betaSingapore/(deltaSingapore+betaPodeltaSingapore*EXP(-betaSingapore*tblData[Day'# Singapore])),"")</f>
        <v>21612569148.177525</v>
      </c>
      <c r="BI115" s="11" t="str">
        <f>IF(AND(ISNUMBER(tblData[Singapore]),tblData[Date]&gt;=StartDt2Singapore),(tblData[[#This Row],[Singapore LogiP(t)]]-tblData[[#This Row],[Singapore]])^2,"")</f>
        <v/>
      </c>
      <c r="BJ115" s="11">
        <f>IF(ISNUMBER(tblData[Day'# Singapore]),tblData[Singapore LogiP(t)]/$BI$9,"")</f>
        <v>36944562646.457306</v>
      </c>
      <c r="BK115" s="11">
        <f>IF(ISNUMBER(tblData[Day'# Generic]),betaGeneric/(deltaGeneric+betaPodeltaGeneric*EXP(-betaGeneric*tblData[Day'# Generic])),"")</f>
        <v>67309.099344964648</v>
      </c>
      <c r="BL115" s="11" t="str">
        <f>IF(AND(ISNUMBER(tblData[Generic]),tblData[Date]&gt;=StartDt2Generic),(tblData[Generic LogiP(t)]-tblData[[#This Row],[Generic]])^2,"")</f>
        <v/>
      </c>
      <c r="BM115" s="11">
        <f>IF(ISNUMBER(tblData[Day'# Generic]),tblData[Generic LogiP(t)]/$BL$9,"")</f>
        <v>11505.828947857206</v>
      </c>
      <c r="BN115" s="11"/>
      <c r="BO115" s="11"/>
      <c r="BP115" s="11" t="str">
        <f>IF(ISNUMBER(tblData[[#This Row],[Tests]]),tblData[[#This Row],[Tests]]-BP114,"")</f>
        <v/>
      </c>
      <c r="BQ115" s="11" t="str">
        <f>IF(ISNUMBER(tblData[[#This Row],[NSW Under Investigation'']]),tblData[[#This Row],[NSW Under Investigation'']]-BO114,"")</f>
        <v/>
      </c>
      <c r="BR115" s="11">
        <f>IF(tblData[[#This Row],[Date]]&gt;myData!TestsStart,tblData[[#This Row],[Date]]-myData!TestsStart,"")</f>
        <v>259</v>
      </c>
      <c r="BS115" s="11">
        <f>IF(AND(tblData[[#This Row],[NSW Test Day Number]]&gt;0,ISNUMBER(tblData[[#This Row],[NSW Test Day Number]])),betaTests/(deltaTests+betaPodeltaTests*EXP(-betaTests*tblData[[#This Row],[NSW Test Day Number]])),"")</f>
        <v>107543.02659466591</v>
      </c>
      <c r="BT115" s="11" t="str">
        <f>IF(tblData[Tests]&gt;0,(tblData[[#This Row],[Tests]]-tblData[[#This Row],[NSW Test Logi]])^2,"")</f>
        <v/>
      </c>
      <c r="BU115" s="11" t="str">
        <f>IF(ISNUMBER(tblData[Tests]),tblData[Tests]/$BS$9/100,"")</f>
        <v/>
      </c>
      <c r="BV115" s="124">
        <f ca="1">IF(AND(tblData[[#This Row],[NSW Test Day Number]]&gt;0,ISNUMBER(tblData[[#This Row],[NSW Test Day Number]])),TestsLogestB*TestsLogestM^tblData[[#This Row],[NSW Test Day Number]],"")</f>
        <v>7.9626129935487908E+18</v>
      </c>
      <c r="BW115" s="11" t="str">
        <f>IF(AND(tblData[[#This Row],[NSW Test Day Number]]&gt;0,ISNUMBER(tblData[Tests])),(tblData[Tests]-tblData[[#This Row],[NSW Test Per Capita]])^2,"")</f>
        <v/>
      </c>
      <c r="BX115" s="124"/>
      <c r="BY115" s="11"/>
      <c r="BZ115"/>
      <c r="CB115" s="25"/>
      <c r="CD115" s="25"/>
      <c r="CK115"/>
      <c r="CL115"/>
      <c r="CO115" s="25"/>
      <c r="CZ115" s="25"/>
      <c r="DA115" s="25"/>
      <c r="DC115"/>
      <c r="DD115"/>
      <c r="DG115" s="25"/>
      <c r="DH115" s="25"/>
      <c r="DV115"/>
      <c r="DW115"/>
      <c r="DX115"/>
      <c r="DY115" s="25" t="s">
        <v>975</v>
      </c>
      <c r="DZ115" s="76">
        <v>43913.686759259261</v>
      </c>
      <c r="EA115" s="26">
        <v>43852</v>
      </c>
      <c r="EB115" s="26">
        <v>43880</v>
      </c>
      <c r="EC115">
        <v>5</v>
      </c>
      <c r="ED115">
        <v>0.31530846480479197</v>
      </c>
      <c r="EE115" s="95">
        <v>3.7372683191517248E-5</v>
      </c>
      <c r="EF115">
        <v>191.45902658948677</v>
      </c>
      <c r="EG115" s="96">
        <v>8436.8698706749492</v>
      </c>
      <c r="EH115">
        <v>180.57430629595535</v>
      </c>
      <c r="EI115">
        <v>1.6094990805559013E-3</v>
      </c>
      <c r="EJ115" s="98">
        <v>3.737268319151725E-2</v>
      </c>
      <c r="EK115" s="26">
        <v>43912</v>
      </c>
      <c r="EL115" t="s">
        <v>1153</v>
      </c>
      <c r="EM115">
        <v>8436.8698706749492</v>
      </c>
      <c r="EN115" s="99">
        <v>8897</v>
      </c>
      <c r="EO115" s="25" t="s">
        <v>1154</v>
      </c>
      <c r="EP115" s="26">
        <v>43912</v>
      </c>
      <c r="EQ115" s="25">
        <v>61</v>
      </c>
      <c r="ER115" t="s">
        <v>1155</v>
      </c>
      <c r="ET115" t="s">
        <v>1156</v>
      </c>
      <c r="EU115" t="s">
        <v>1152</v>
      </c>
      <c r="EV115" s="25" t="s">
        <v>1157</v>
      </c>
      <c r="EW115" s="25">
        <v>1730.933852140078</v>
      </c>
      <c r="EX115" s="82">
        <v>43892</v>
      </c>
      <c r="EY115" s="25">
        <v>21</v>
      </c>
      <c r="EZ115" s="82">
        <v>43891</v>
      </c>
      <c r="FA115">
        <v>22</v>
      </c>
      <c r="FC115" s="25"/>
    </row>
    <row r="116" spans="2:191" x14ac:dyDescent="0.25">
      <c r="B116" s="26">
        <f t="shared" si="9"/>
        <v>44161</v>
      </c>
      <c r="L116" s="12" t="str">
        <f>IF(ISNUMBER(tblData[[#This Row],[NSW]]),tblData[[#This Row],[New South Wales]]/$L$9,"")</f>
        <v/>
      </c>
      <c r="N116" s="46" t="str">
        <f>IF(ISNUMBER(tblData[Italy]),tblData[Italy]/$N$9,"")</f>
        <v/>
      </c>
      <c r="P116" s="124" t="str">
        <f>IF(ISNUMBER(tblData[US]),tblData[US]/$P$9,"")</f>
        <v/>
      </c>
      <c r="Q116" s="46"/>
      <c r="R116" s="19" t="str">
        <f>IF(ISNUMBER(tblData[SKorea]),tblData[SKorea]/$R$9,"")</f>
        <v/>
      </c>
      <c r="S116" s="46"/>
      <c r="T116" s="12" t="str">
        <f>IF(ISNUMBER(tblData[UK]),tblData[UK]/$T$9,"")</f>
        <v/>
      </c>
      <c r="V116" s="20" t="str">
        <f>IF(ISNUMBER(tblData[China]),tblData[China]/$V$9,"")</f>
        <v/>
      </c>
      <c r="W116" s="20"/>
      <c r="X116" s="20" t="str">
        <f>IF(ISNUMBER(tblData[Singapore]),tblData[Singapore]/$X$9,"")</f>
        <v/>
      </c>
      <c r="Y116" s="20"/>
      <c r="Z116" s="20" t="str">
        <f>IF(AND(LEN(tblData[Generic])&gt;0,ISNUMBER(tblData[Generic])),tblData[Generic]/$Z$9,"")</f>
        <v/>
      </c>
      <c r="AA116" s="25">
        <f>IF(tblData[[#This Row],[Date]]&lt;ItalyStart,"",tblData[[#This Row],[Date]]-ItalyStart)</f>
        <v>301</v>
      </c>
      <c r="AB116" s="25">
        <f>IF(tblData[[#This Row],[Date]]&lt;USStart,"",tblData[[#This Row],[Date]]-USStart)</f>
        <v>309</v>
      </c>
      <c r="AC116" s="25">
        <f>IF(tblData[[#This Row],[Date]]&lt;ChinaStart,"",tblData[[#This Row],[Date]]-ChinaStart)</f>
        <v>309</v>
      </c>
      <c r="AD116" s="25">
        <f>IF(tblData[[#This Row],[Date]]&lt;StartDt2Korea,"",tblData[[#This Row],[Date]]-StartDt2Korea)</f>
        <v>281</v>
      </c>
      <c r="AE116" s="25">
        <f>IF(tblData[[#This Row],[Date]]&lt;UKStart,"",tblData[[#This Row],[Date]]-UKStart)</f>
        <v>301</v>
      </c>
      <c r="AF116" s="25">
        <f>IF(tblData[[#This Row],[Date]]&lt;SingaporeStart,"",tblData[[#This Row],[Date]]-SingaporeStart)</f>
        <v>308</v>
      </c>
      <c r="AG116" s="25">
        <f>IF(tblData[[#This Row],[Date]]&lt;GenStart,"",tblData[[#This Row],[Date]]-GenStart)</f>
        <v>309</v>
      </c>
      <c r="AH116" s="25">
        <f>IF(tblData[Date]&gt;=StartDt2Au,tblData[Date]-StartDt2Au,"")</f>
        <v>306</v>
      </c>
      <c r="AI116" s="25" t="str">
        <f>IF(tblData[New South Wales]&gt;0,SUM(tblData[[#This Row],[Australian Capital Territory]:[Western Australia]]),"")</f>
        <v/>
      </c>
      <c r="AJ116" s="12" t="str">
        <f>IF(ISNUMBER(tblData[Au]),tblData[Au]/$AE$9,"")</f>
        <v/>
      </c>
      <c r="AK116" s="41">
        <f>IF(ISNUMBER(tblData[[#This Row],[Day'# Aust]]),betaAu/(deltaAu+betaPodeltaAu*EXP(-betaAu*tblData[[#This Row],[Day'# Aust]])),"")</f>
        <v>7036.4105996678436</v>
      </c>
      <c r="AL116" s="67">
        <f>IF(ISNUMBER(tblData[Day'# Aust]),tblData[Au LogiP(t)]/$AJ$9,"")</f>
        <v>2774.172291305726</v>
      </c>
      <c r="AM116" s="11" t="str">
        <f>IF(AND(tblData[Date]&gt;=StartDt2Au,ISNUMBER(tblData[NSW])),(tblData[[#This Row],[Au LogiP(t)]]-tblData[[#This Row],[Au]])^2,"")</f>
        <v/>
      </c>
      <c r="AN116" s="25">
        <f>IF(tblData[Date]&gt;StartDt2NSW,tblData[Date]-StartDt2NSW,"")</f>
        <v>306</v>
      </c>
      <c r="AO116" s="25" t="str">
        <f t="shared" si="7"/>
        <v/>
      </c>
      <c r="AP116" s="11">
        <f>IF(tblData[Date]&gt;StartDt2NSW,betaNSW/(deltaNSW+betaPodeltaNSW*EXP(-betaNSW*tblData[[#This Row],[Day '# NSW]])),"")</f>
        <v>9599.8215448294359</v>
      </c>
      <c r="AQ116" s="12" t="str">
        <f>IF(AND(ISNUMBER(tblData[NSW]),tblData[Date]&gt;StartDt2NSW),(tblData[[#This Row],[NSW LogiP(t)]]-tblData[[#This Row],[NSW]])^2,"")</f>
        <v/>
      </c>
      <c r="AR116" s="41">
        <f>IF(AND(tblData[Date]&gt;StartDt2NSW,ISNUMBER(tblData[Day'# Aust])),tblData[NSW LogiP(t)]/$AQ$9,"")</f>
        <v>11880.96725845227</v>
      </c>
      <c r="AS116" s="11">
        <f>IF(AND(tblData[Date]&gt;StartDt2Italy,ISNUMBER(tblData[Days'# Italy])),betaItaly/(deltaItaly+betaPodeltaItaly*EXP(-betaItaly*tblData[Days'# Italy])),"")</f>
        <v>76058.397470454249</v>
      </c>
      <c r="AT116" s="11" t="str">
        <f>IF(AND(tblData[Date]&gt;StartDt2Italy,ISNUMBER(tblData[Italy])),(tblData[[#This Row],[Italy LogiP(t)]]-tblData[[#This Row],[Italy]])^2,"")</f>
        <v/>
      </c>
      <c r="AU116" s="41">
        <f>IF(AND(tblData[Date]&gt;StartDt2Italy,ISNUMBER(tblData[Days'# Italy])),tblData[[#This Row],[Italy LogiP(t)]]/$AT$9,"")</f>
        <v>12574.753653046913</v>
      </c>
      <c r="AV116" s="20">
        <f>IF(ISNUMBER(tblData[[#This Row],[Days'# US]]),betaUS/(deltaUS+betaPodeltaUS*EXP(-betaUS*tblData[Days'# US])),"")</f>
        <v>187367.55385189413</v>
      </c>
      <c r="AW116" s="11" t="str">
        <f>IF(AND(tblData[Date]&gt;=StartDt2US,ISNUMBER(tblData[US])),(tblData[[#This Row],[US LogiP(t)]]-tblData[US])^2,"")</f>
        <v/>
      </c>
      <c r="AX116" s="20">
        <f>IF(ISNUMBER(tblData[[#This Row],[Days'# US]]),tblData[[#This Row],[US LogiP(t)]]/$AW$9,"")</f>
        <v>5691.1228208540524</v>
      </c>
      <c r="AY116" s="20">
        <f>IF(tblData[Date]&gt;=StartDt2Korea,betaSKorea/(deltaSKorea+betaPodeltaSKorea*EXP(-betaSKorea*(tblData[Date]-StartDt2Korea))),"")</f>
        <v>8607.5560837730773</v>
      </c>
      <c r="AZ116" s="20" t="str">
        <f>IF(AND(tblData[Date]&gt;=StartDt2Korea,ISNUMBER(tblData[SKorea])),(tblData[[#This Row],[SKorea LogiP(t)]]-tblData[[#This Row],[SKorea]])^2,"")</f>
        <v/>
      </c>
      <c r="BA116" s="20">
        <f>IF(tblData[Date]&gt;=StartDt2Korea,tblData[[#This Row],[SKorea LogiP(t)]]/$AZ$9,"")</f>
        <v>1674.6218061815327</v>
      </c>
      <c r="BB116" s="79">
        <f>IF(ISNUMBER(tblData[Days'# UK]),betaUK/(deltaUK+betaPodeltaUK*EXP(-betaUK*tblData[Days'# UK])),"")</f>
        <v>22028.341869461943</v>
      </c>
      <c r="BC116" s="79" t="str">
        <f>IF(ISNUMBER(tblData[UK]),(tblData[[#This Row],[UK LogiP(t)]]-tblData[[#This Row],[UK]])^2,"")</f>
        <v/>
      </c>
      <c r="BD116" s="79">
        <f>IF(ISNUMBER(tblData[Days'# UK]),tblData[[#This Row],[UK LogiP(t)]]/$BC$9,"")</f>
        <v>3315.5240622308766</v>
      </c>
      <c r="BE116" s="11">
        <f>IF(ISNUMBER(tblData[Days'# China]),betaChina/(deltaChina+betaPodeltaChina*EXP(-betaChina*tblData[Days'# China])),"")</f>
        <v>81015.961191981085</v>
      </c>
      <c r="BF116" s="11" t="str">
        <f>IF(ISNUMBER(tblData[China]),(tblData[[#This Row],[China LogiP(t)]]-tblData[[#This Row],[China]])^2,"")</f>
        <v/>
      </c>
      <c r="BG116" s="11">
        <f>tblData[[#This Row],[China LogiP(t)]]/$BF$9</f>
        <v>562.87516778977385</v>
      </c>
      <c r="BH116" s="11">
        <f>IF(ISNUMBER(tblData[Day'# Singapore]),betaSingapore/(deltaSingapore+betaPodeltaSingapore*EXP(-betaSingapore*tblData[Day'# Singapore])),"")</f>
        <v>30370924427.870373</v>
      </c>
      <c r="BI116" s="11" t="str">
        <f>IF(AND(ISNUMBER(tblData[Singapore]),tblData[Date]&gt;=StartDt2Singapore),(tblData[[#This Row],[Singapore LogiP(t)]]-tblData[[#This Row],[Singapore]])^2,"")</f>
        <v/>
      </c>
      <c r="BJ116" s="11">
        <f>IF(ISNUMBER(tblData[Day'# Singapore]),tblData[Singapore LogiP(t)]/$BI$9,"")</f>
        <v>51916110133.111748</v>
      </c>
      <c r="BK116" s="11">
        <f>IF(ISNUMBER(tblData[Day'# Generic]),betaGeneric/(deltaGeneric+betaPodeltaGeneric*EXP(-betaGeneric*tblData[Day'# Generic])),"")</f>
        <v>67309.099344964648</v>
      </c>
      <c r="BL116" s="11" t="str">
        <f>IF(AND(ISNUMBER(tblData[Generic]),tblData[Date]&gt;=StartDt2Generic),(tblData[Generic LogiP(t)]-tblData[[#This Row],[Generic]])^2,"")</f>
        <v/>
      </c>
      <c r="BM116" s="11">
        <f>IF(ISNUMBER(tblData[Day'# Generic]),tblData[Generic LogiP(t)]/$BL$9,"")</f>
        <v>11505.828947857206</v>
      </c>
      <c r="BN116" s="11"/>
      <c r="BO116" s="11"/>
      <c r="BP116" s="11" t="str">
        <f>IF(ISNUMBER(tblData[[#This Row],[Tests]]),tblData[[#This Row],[Tests]]-BP115,"")</f>
        <v/>
      </c>
      <c r="BQ116" s="11" t="str">
        <f>IF(ISNUMBER(tblData[[#This Row],[NSW Under Investigation'']]),tblData[[#This Row],[NSW Under Investigation'']]-BO115,"")</f>
        <v/>
      </c>
      <c r="BR116" s="11">
        <f>IF(tblData[[#This Row],[Date]]&gt;myData!TestsStart,tblData[[#This Row],[Date]]-myData!TestsStart,"")</f>
        <v>266</v>
      </c>
      <c r="BS116" s="11">
        <f>IF(AND(tblData[[#This Row],[NSW Test Day Number]]&gt;0,ISNUMBER(tblData[[#This Row],[NSW Test Day Number]])),betaTests/(deltaTests+betaPodeltaTests*EXP(-betaTests*tblData[[#This Row],[NSW Test Day Number]])),"")</f>
        <v>107543.02659466591</v>
      </c>
      <c r="BT116" s="11" t="str">
        <f>IF(tblData[Tests]&gt;0,(tblData[[#This Row],[Tests]]-tblData[[#This Row],[NSW Test Logi]])^2,"")</f>
        <v/>
      </c>
      <c r="BU116" s="11" t="str">
        <f>IF(ISNUMBER(tblData[Tests]),tblData[Tests]/$BS$9/100,"")</f>
        <v/>
      </c>
      <c r="BV116" s="124">
        <f ca="1">IF(AND(tblData[[#This Row],[NSW Test Day Number]]&gt;0,ISNUMBER(tblData[[#This Row],[NSW Test Day Number]])),TestsLogestB*TestsLogestM^tblData[[#This Row],[NSW Test Day Number]],"")</f>
        <v>2.0500628202879533E+19</v>
      </c>
      <c r="BW116" s="11" t="str">
        <f>IF(AND(tblData[[#This Row],[NSW Test Day Number]]&gt;0,ISNUMBER(tblData[Tests])),(tblData[Tests]-tblData[[#This Row],[NSW Test Per Capita]])^2,"")</f>
        <v/>
      </c>
      <c r="BX116" s="124"/>
      <c r="BY116" s="11"/>
      <c r="BZ116"/>
      <c r="CB116" s="25"/>
      <c r="CD116" s="25"/>
      <c r="CK116"/>
      <c r="CL116"/>
      <c r="CO116" s="25"/>
      <c r="CZ116" s="25"/>
      <c r="DA116" s="25"/>
      <c r="DC116"/>
      <c r="DD116"/>
      <c r="DG116" s="25"/>
      <c r="DH116" s="25"/>
      <c r="DV116"/>
      <c r="DW116"/>
      <c r="DX116"/>
      <c r="DY116" s="25" t="s">
        <v>975</v>
      </c>
      <c r="DZ116" s="76">
        <v>43914.307905092595</v>
      </c>
      <c r="EA116" s="26">
        <v>43852</v>
      </c>
      <c r="EB116" s="26">
        <v>43880</v>
      </c>
      <c r="EC116">
        <v>5</v>
      </c>
      <c r="ED116">
        <v>0.31529909536225609</v>
      </c>
      <c r="EE116" s="25">
        <v>3.7371446043826805E-5</v>
      </c>
      <c r="EF116">
        <v>191.4796358534154</v>
      </c>
      <c r="EG116" s="95">
        <v>8436.8984543036895</v>
      </c>
      <c r="EH116">
        <v>180.57431132119893</v>
      </c>
      <c r="EI116">
        <v>1.6092741304269209E-3</v>
      </c>
      <c r="EJ116" s="97">
        <v>3.7371446043826806E-2</v>
      </c>
      <c r="EK116" s="26">
        <v>43912</v>
      </c>
      <c r="EL116" t="s">
        <v>1153</v>
      </c>
      <c r="EM116">
        <v>8436.8984543036895</v>
      </c>
      <c r="EN116" s="98">
        <v>8897</v>
      </c>
      <c r="EO116" s="25" t="s">
        <v>1154</v>
      </c>
      <c r="EP116" s="26">
        <v>43912</v>
      </c>
      <c r="EQ116" s="25">
        <v>61</v>
      </c>
      <c r="ER116" t="s">
        <v>1396</v>
      </c>
      <c r="ET116" t="s">
        <v>1156</v>
      </c>
      <c r="EU116" t="s">
        <v>1152</v>
      </c>
      <c r="EV116" s="25" t="s">
        <v>1397</v>
      </c>
      <c r="EW116" s="25">
        <v>1730.933852140078</v>
      </c>
      <c r="EX116" s="82">
        <v>43893</v>
      </c>
      <c r="EY116" s="25">
        <v>20</v>
      </c>
      <c r="EZ116" s="82">
        <v>43891</v>
      </c>
      <c r="FA116">
        <v>22</v>
      </c>
      <c r="FC116" s="25"/>
    </row>
    <row r="117" spans="2:191" x14ac:dyDescent="0.25">
      <c r="B117" s="26">
        <f t="shared" si="9"/>
        <v>44168</v>
      </c>
      <c r="L117" s="12" t="str">
        <f>IF(ISNUMBER(tblData[[#This Row],[NSW]]),tblData[[#This Row],[New South Wales]]/$L$9,"")</f>
        <v/>
      </c>
      <c r="N117" s="46" t="str">
        <f>IF(ISNUMBER(tblData[Italy]),tblData[Italy]/$N$9,"")</f>
        <v/>
      </c>
      <c r="P117" s="124" t="str">
        <f>IF(ISNUMBER(tblData[US]),tblData[US]/$P$9,"")</f>
        <v/>
      </c>
      <c r="Q117" s="46"/>
      <c r="R117" s="19" t="str">
        <f>IF(ISNUMBER(tblData[SKorea]),tblData[SKorea]/$R$9,"")</f>
        <v/>
      </c>
      <c r="S117" s="46"/>
      <c r="T117" s="12" t="str">
        <f>IF(ISNUMBER(tblData[UK]),tblData[UK]/$T$9,"")</f>
        <v/>
      </c>
      <c r="V117" s="20" t="str">
        <f>IF(ISNUMBER(tblData[China]),tblData[China]/$V$9,"")</f>
        <v/>
      </c>
      <c r="W117" s="20"/>
      <c r="X117" s="20" t="str">
        <f>IF(ISNUMBER(tblData[Singapore]),tblData[Singapore]/$X$9,"")</f>
        <v/>
      </c>
      <c r="Y117" s="20"/>
      <c r="Z117" s="20" t="str">
        <f>IF(AND(LEN(tblData[Generic])&gt;0,ISNUMBER(tblData[Generic])),tblData[Generic]/$Z$9,"")</f>
        <v/>
      </c>
      <c r="AA117" s="25">
        <f>IF(tblData[[#This Row],[Date]]&lt;ItalyStart,"",tblData[[#This Row],[Date]]-ItalyStart)</f>
        <v>308</v>
      </c>
      <c r="AB117" s="25">
        <f>IF(tblData[[#This Row],[Date]]&lt;USStart,"",tblData[[#This Row],[Date]]-USStart)</f>
        <v>316</v>
      </c>
      <c r="AC117" s="25">
        <f>IF(tblData[[#This Row],[Date]]&lt;ChinaStart,"",tblData[[#This Row],[Date]]-ChinaStart)</f>
        <v>316</v>
      </c>
      <c r="AD117" s="25">
        <f>IF(tblData[[#This Row],[Date]]&lt;StartDt2Korea,"",tblData[[#This Row],[Date]]-StartDt2Korea)</f>
        <v>288</v>
      </c>
      <c r="AE117" s="25">
        <f>IF(tblData[[#This Row],[Date]]&lt;UKStart,"",tblData[[#This Row],[Date]]-UKStart)</f>
        <v>308</v>
      </c>
      <c r="AF117" s="25">
        <f>IF(tblData[[#This Row],[Date]]&lt;SingaporeStart,"",tblData[[#This Row],[Date]]-SingaporeStart)</f>
        <v>315</v>
      </c>
      <c r="AG117" s="25">
        <f>IF(tblData[[#This Row],[Date]]&lt;GenStart,"",tblData[[#This Row],[Date]]-GenStart)</f>
        <v>316</v>
      </c>
      <c r="AH117" s="25">
        <f>IF(tblData[Date]&gt;=StartDt2Au,tblData[Date]-StartDt2Au,"")</f>
        <v>313</v>
      </c>
      <c r="AI117" s="25" t="str">
        <f>IF(tblData[New South Wales]&gt;0,SUM(tblData[[#This Row],[Australian Capital Territory]:[Western Australia]]),"")</f>
        <v/>
      </c>
      <c r="AJ117" s="12" t="str">
        <f>IF(ISNUMBER(tblData[Au]),tblData[Au]/$AE$9,"")</f>
        <v/>
      </c>
      <c r="AK117" s="41">
        <f>IF(ISNUMBER(tblData[[#This Row],[Day'# Aust]]),betaAu/(deltaAu+betaPodeltaAu*EXP(-betaAu*tblData[[#This Row],[Day'# Aust]])),"")</f>
        <v>7036.4105996678436</v>
      </c>
      <c r="AL117" s="67">
        <f>IF(ISNUMBER(tblData[Day'# Aust]),tblData[Au LogiP(t)]/$AJ$9,"")</f>
        <v>2774.172291305726</v>
      </c>
      <c r="AM117" s="11" t="str">
        <f>IF(AND(tblData[Date]&gt;=StartDt2Au,ISNUMBER(tblData[NSW])),(tblData[[#This Row],[Au LogiP(t)]]-tblData[[#This Row],[Au]])^2,"")</f>
        <v/>
      </c>
      <c r="AN117" s="25">
        <f>IF(tblData[Date]&gt;StartDt2NSW,tblData[Date]-StartDt2NSW,"")</f>
        <v>313</v>
      </c>
      <c r="AO117" s="25" t="str">
        <f t="shared" si="7"/>
        <v/>
      </c>
      <c r="AP117" s="11">
        <f>IF(tblData[Date]&gt;StartDt2NSW,betaNSW/(deltaNSW+betaPodeltaNSW*EXP(-betaNSW*tblData[[#This Row],[Day '# NSW]])),"")</f>
        <v>9599.8215448294359</v>
      </c>
      <c r="AQ117" s="12" t="str">
        <f>IF(AND(ISNUMBER(tblData[NSW]),tblData[Date]&gt;StartDt2NSW),(tblData[[#This Row],[NSW LogiP(t)]]-tblData[[#This Row],[NSW]])^2,"")</f>
        <v/>
      </c>
      <c r="AR117" s="41">
        <f>IF(AND(tblData[Date]&gt;StartDt2NSW,ISNUMBER(tblData[Day'# Aust])),tblData[NSW LogiP(t)]/$AQ$9,"")</f>
        <v>11880.96725845227</v>
      </c>
      <c r="AS117" s="11">
        <f>IF(AND(tblData[Date]&gt;StartDt2Italy,ISNUMBER(tblData[Days'# Italy])),betaItaly/(deltaItaly+betaPodeltaItaly*EXP(-betaItaly*tblData[Days'# Italy])),"")</f>
        <v>76058.397470454249</v>
      </c>
      <c r="AT117" s="11" t="str">
        <f>IF(AND(tblData[Date]&gt;StartDt2Italy,ISNUMBER(tblData[Italy])),(tblData[[#This Row],[Italy LogiP(t)]]-tblData[[#This Row],[Italy]])^2,"")</f>
        <v/>
      </c>
      <c r="AU117" s="41">
        <f>IF(AND(tblData[Date]&gt;StartDt2Italy,ISNUMBER(tblData[Days'# Italy])),tblData[[#This Row],[Italy LogiP(t)]]/$AT$9,"")</f>
        <v>12574.753653046913</v>
      </c>
      <c r="AV117" s="20">
        <f>IF(ISNUMBER(tblData[[#This Row],[Days'# US]]),betaUS/(deltaUS+betaPodeltaUS*EXP(-betaUS*tblData[Days'# US])),"")</f>
        <v>187367.55385189413</v>
      </c>
      <c r="AW117" s="11" t="str">
        <f>IF(AND(tblData[Date]&gt;=StartDt2US,ISNUMBER(tblData[US])),(tblData[[#This Row],[US LogiP(t)]]-tblData[US])^2,"")</f>
        <v/>
      </c>
      <c r="AX117" s="20">
        <f>IF(ISNUMBER(tblData[[#This Row],[Days'# US]]),tblData[[#This Row],[US LogiP(t)]]/$AW$9,"")</f>
        <v>5691.1228208540524</v>
      </c>
      <c r="AY117" s="20">
        <f>IF(tblData[Date]&gt;=StartDt2Korea,betaSKorea/(deltaSKorea+betaPodeltaSKorea*EXP(-betaSKorea*(tblData[Date]-StartDt2Korea))),"")</f>
        <v>8607.5560837730773</v>
      </c>
      <c r="AZ117" s="20" t="str">
        <f>IF(AND(tblData[Date]&gt;=StartDt2Korea,ISNUMBER(tblData[SKorea])),(tblData[[#This Row],[SKorea LogiP(t)]]-tblData[[#This Row],[SKorea]])^2,"")</f>
        <v/>
      </c>
      <c r="BA117" s="20">
        <f>IF(tblData[Date]&gt;=StartDt2Korea,tblData[[#This Row],[SKorea LogiP(t)]]/$AZ$9,"")</f>
        <v>1674.6218061815327</v>
      </c>
      <c r="BB117" s="79">
        <f>IF(ISNUMBER(tblData[Days'# UK]),betaUK/(deltaUK+betaPodeltaUK*EXP(-betaUK*tblData[Days'# UK])),"")</f>
        <v>22028.341869461943</v>
      </c>
      <c r="BC117" s="79" t="str">
        <f>IF(ISNUMBER(tblData[UK]),(tblData[[#This Row],[UK LogiP(t)]]-tblData[[#This Row],[UK]])^2,"")</f>
        <v/>
      </c>
      <c r="BD117" s="79">
        <f>IF(ISNUMBER(tblData[Days'# UK]),tblData[[#This Row],[UK LogiP(t)]]/$BC$9,"")</f>
        <v>3315.5240622308766</v>
      </c>
      <c r="BE117" s="11">
        <f>IF(ISNUMBER(tblData[Days'# China]),betaChina/(deltaChina+betaPodeltaChina*EXP(-betaChina*tblData[Days'# China])),"")</f>
        <v>81015.961191981085</v>
      </c>
      <c r="BF117" s="11" t="str">
        <f>IF(ISNUMBER(tblData[China]),(tblData[[#This Row],[China LogiP(t)]]-tblData[[#This Row],[China]])^2,"")</f>
        <v/>
      </c>
      <c r="BG117" s="11">
        <f>tblData[[#This Row],[China LogiP(t)]]/$BF$9</f>
        <v>562.87516778977385</v>
      </c>
      <c r="BH117" s="11">
        <f>IF(ISNUMBER(tblData[Day'# Singapore]),betaSingapore/(deltaSingapore+betaPodeltaSingapore*EXP(-betaSingapore*tblData[Day'# Singapore])),"")</f>
        <v>39993448115.747894</v>
      </c>
      <c r="BI117" s="11" t="str">
        <f>IF(AND(ISNUMBER(tblData[Singapore]),tblData[Date]&gt;=StartDt2Singapore),(tblData[[#This Row],[Singapore LogiP(t)]]-tblData[[#This Row],[Singapore]])^2,"")</f>
        <v/>
      </c>
      <c r="BJ117" s="11">
        <f>IF(ISNUMBER(tblData[Day'# Singapore]),tblData[Singapore LogiP(t)]/$BI$9,"")</f>
        <v>68364868573.928032</v>
      </c>
      <c r="BK117" s="11">
        <f>IF(ISNUMBER(tblData[Day'# Generic]),betaGeneric/(deltaGeneric+betaPodeltaGeneric*EXP(-betaGeneric*tblData[Day'# Generic])),"")</f>
        <v>67309.099344964648</v>
      </c>
      <c r="BL117" s="11" t="str">
        <f>IF(AND(ISNUMBER(tblData[Generic]),tblData[Date]&gt;=StartDt2Generic),(tblData[Generic LogiP(t)]-tblData[[#This Row],[Generic]])^2,"")</f>
        <v/>
      </c>
      <c r="BM117" s="11">
        <f>IF(ISNUMBER(tblData[Day'# Generic]),tblData[Generic LogiP(t)]/$BL$9,"")</f>
        <v>11505.828947857206</v>
      </c>
      <c r="BN117" s="11"/>
      <c r="BO117" s="11"/>
      <c r="BP117" s="11" t="str">
        <f>IF(ISNUMBER(tblData[[#This Row],[Tests]]),tblData[[#This Row],[Tests]]-BP116,"")</f>
        <v/>
      </c>
      <c r="BQ117" s="11" t="str">
        <f>IF(ISNUMBER(tblData[[#This Row],[NSW Under Investigation'']]),tblData[[#This Row],[NSW Under Investigation'']]-BO116,"")</f>
        <v/>
      </c>
      <c r="BR117" s="11">
        <f>IF(tblData[[#This Row],[Date]]&gt;myData!TestsStart,tblData[[#This Row],[Date]]-myData!TestsStart,"")</f>
        <v>273</v>
      </c>
      <c r="BS117" s="11">
        <f>IF(AND(tblData[[#This Row],[NSW Test Day Number]]&gt;0,ISNUMBER(tblData[[#This Row],[NSW Test Day Number]])),betaTests/(deltaTests+betaPodeltaTests*EXP(-betaTests*tblData[[#This Row],[NSW Test Day Number]])),"")</f>
        <v>107543.02659466591</v>
      </c>
      <c r="BT117" s="11" t="str">
        <f>IF(tblData[Tests]&gt;0,(tblData[[#This Row],[Tests]]-tblData[[#This Row],[NSW Test Logi]])^2,"")</f>
        <v/>
      </c>
      <c r="BU117" s="11" t="str">
        <f>IF(ISNUMBER(tblData[Tests]),tblData[Tests]/$BS$9/100,"")</f>
        <v/>
      </c>
      <c r="BV117" s="124">
        <f ca="1">IF(AND(tblData[[#This Row],[NSW Test Day Number]]&gt;0,ISNUMBER(tblData[[#This Row],[NSW Test Day Number]])),TestsLogestB*TestsLogestM^tblData[[#This Row],[NSW Test Day Number]],"")</f>
        <v>5.2781135671569351E+19</v>
      </c>
      <c r="BW117" s="11" t="str">
        <f>IF(AND(tblData[[#This Row],[NSW Test Day Number]]&gt;0,ISNUMBER(tblData[Tests])),(tblData[Tests]-tblData[[#This Row],[NSW Test Per Capita]])^2,"")</f>
        <v/>
      </c>
      <c r="BX117" s="124"/>
      <c r="BY117" s="11"/>
      <c r="BZ117"/>
      <c r="CB117" s="25"/>
      <c r="CD117" s="25"/>
      <c r="CK117"/>
      <c r="CL117"/>
      <c r="CO117" s="25"/>
      <c r="CZ117" s="25"/>
      <c r="DA117" s="25"/>
      <c r="DC117"/>
      <c r="DD117"/>
      <c r="DG117" s="25"/>
      <c r="DH117" s="25"/>
      <c r="DV117"/>
      <c r="DW117"/>
      <c r="DX117"/>
      <c r="DY117" s="26" t="s">
        <v>975</v>
      </c>
      <c r="DZ117" s="76">
        <v>43914.462766203702</v>
      </c>
      <c r="EA117" s="26">
        <v>43852</v>
      </c>
      <c r="EB117" s="26">
        <v>43880</v>
      </c>
      <c r="EC117">
        <v>5</v>
      </c>
      <c r="ED117">
        <v>0.31529909536225609</v>
      </c>
      <c r="EE117">
        <v>3.7371446043826805E-5</v>
      </c>
      <c r="EF117">
        <v>191.4796358534154</v>
      </c>
      <c r="EG117" s="95">
        <v>8436.8984543036895</v>
      </c>
      <c r="EH117">
        <v>180.57431132119893</v>
      </c>
      <c r="EI117">
        <v>1.6092741304269209E-3</v>
      </c>
      <c r="EJ117" s="97">
        <v>3.7371446043826806E-2</v>
      </c>
      <c r="EK117" s="26">
        <v>43912</v>
      </c>
      <c r="EL117" s="25" t="s">
        <v>1153</v>
      </c>
      <c r="EM117">
        <v>8436.8984543036895</v>
      </c>
      <c r="EN117" s="25">
        <v>8897</v>
      </c>
      <c r="EO117" s="98" t="s">
        <v>1154</v>
      </c>
      <c r="EP117" s="26">
        <v>43912</v>
      </c>
      <c r="EQ117" s="25">
        <v>61</v>
      </c>
      <c r="ER117" t="s">
        <v>1396</v>
      </c>
      <c r="ET117" t="s">
        <v>1156</v>
      </c>
      <c r="EU117" t="s">
        <v>1152</v>
      </c>
      <c r="EV117" t="s">
        <v>1397</v>
      </c>
      <c r="EW117" s="82">
        <v>1730.933852140078</v>
      </c>
      <c r="EX117" s="82">
        <v>43894</v>
      </c>
      <c r="EY117" s="25">
        <v>20</v>
      </c>
      <c r="EZ117" s="25">
        <v>43892</v>
      </c>
      <c r="FA117">
        <v>21</v>
      </c>
      <c r="FC117" s="25"/>
    </row>
    <row r="118" spans="2:191" s="25" customFormat="1" x14ac:dyDescent="0.25">
      <c r="B118" s="26"/>
      <c r="T118" s="11"/>
      <c r="W118" s="11"/>
      <c r="X118" s="11"/>
      <c r="Y118" s="11"/>
      <c r="Z118" s="11"/>
      <c r="AA118" s="20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BO118"/>
      <c r="BP118"/>
      <c r="BQ118"/>
      <c r="BR118"/>
      <c r="BS118"/>
      <c r="BT118"/>
      <c r="BU118"/>
      <c r="BY118"/>
      <c r="CA118"/>
      <c r="CC118"/>
      <c r="CD118"/>
      <c r="CE118"/>
      <c r="CF118"/>
      <c r="CG118"/>
      <c r="CH118"/>
      <c r="CI118"/>
      <c r="CJ118"/>
      <c r="CK118"/>
      <c r="CL118"/>
      <c r="CN118"/>
      <c r="CO118"/>
      <c r="CP118"/>
      <c r="CQ118"/>
      <c r="CR118"/>
      <c r="CS118"/>
      <c r="CT118"/>
      <c r="CU118"/>
      <c r="CV118"/>
      <c r="CW118"/>
      <c r="CZ118"/>
      <c r="DA118"/>
      <c r="DB118"/>
      <c r="DU118"/>
      <c r="DV118" s="76"/>
      <c r="DY118" s="25" t="s">
        <v>975</v>
      </c>
      <c r="DZ118" s="76">
        <v>43913.916215277779</v>
      </c>
      <c r="EA118" s="26">
        <v>43852</v>
      </c>
      <c r="EB118" s="26">
        <v>43880</v>
      </c>
      <c r="EC118">
        <v>5</v>
      </c>
      <c r="ED118">
        <v>0.31038865067069232</v>
      </c>
      <c r="EE118" s="25">
        <v>3.6548995738742622E-5</v>
      </c>
      <c r="EF118">
        <v>200.10242498173187</v>
      </c>
      <c r="EG118" s="95">
        <v>8492.3988853043793</v>
      </c>
      <c r="EH118" s="25">
        <v>198.05252918764555</v>
      </c>
      <c r="EI118" s="25">
        <v>1.5145998756406467E-3</v>
      </c>
      <c r="EJ118" s="97">
        <v>3.6548995738742623E-2</v>
      </c>
      <c r="EK118" s="26">
        <v>43913</v>
      </c>
      <c r="EL118" s="25" t="s">
        <v>1391</v>
      </c>
      <c r="EM118">
        <v>8492.3988853043793</v>
      </c>
      <c r="EN118" s="98">
        <v>8961</v>
      </c>
      <c r="EO118" s="25" t="s">
        <v>1392</v>
      </c>
      <c r="EP118" s="26">
        <v>43913</v>
      </c>
      <c r="EQ118">
        <v>62</v>
      </c>
      <c r="ER118" t="s">
        <v>1393</v>
      </c>
      <c r="ES118"/>
      <c r="ET118" s="25" t="s">
        <v>1394</v>
      </c>
      <c r="EU118" t="s">
        <v>1152</v>
      </c>
      <c r="EV118" s="25" t="s">
        <v>1395</v>
      </c>
      <c r="EW118">
        <v>1743.3852140077822</v>
      </c>
      <c r="EX118" s="82">
        <v>43893</v>
      </c>
      <c r="EY118">
        <v>20</v>
      </c>
      <c r="EZ118" s="82">
        <v>43891</v>
      </c>
      <c r="FA118" s="25">
        <v>22</v>
      </c>
      <c r="FB118"/>
      <c r="FC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</row>
    <row r="119" spans="2:191" s="25" customFormat="1" x14ac:dyDescent="0.25">
      <c r="B119" s="26"/>
      <c r="T119" s="11"/>
      <c r="W119" s="11"/>
      <c r="X119" s="11"/>
      <c r="Y119" s="11"/>
      <c r="Z119" s="11"/>
      <c r="AA119" s="20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 t="str">
        <f>Cengnotation(AV117,3)</f>
        <v>187 k</v>
      </c>
      <c r="AL119" s="11"/>
      <c r="BO119"/>
      <c r="BP119"/>
      <c r="BQ119"/>
      <c r="BR119"/>
      <c r="BS119"/>
      <c r="BT119"/>
      <c r="BU119"/>
      <c r="BY119"/>
      <c r="CA119"/>
      <c r="CB119"/>
      <c r="CC119"/>
      <c r="CD119"/>
      <c r="CE119"/>
      <c r="CF119"/>
      <c r="CG119"/>
      <c r="CH119"/>
      <c r="CI119"/>
      <c r="CJ119"/>
      <c r="CL119"/>
      <c r="CM119"/>
      <c r="CN119"/>
      <c r="CO119"/>
      <c r="CR119"/>
      <c r="CS119"/>
      <c r="CT119"/>
      <c r="CU119"/>
      <c r="CV119"/>
      <c r="CW119"/>
      <c r="CX119"/>
      <c r="CY119"/>
      <c r="CZ119"/>
      <c r="DA119"/>
      <c r="DB119"/>
      <c r="DU119"/>
      <c r="DV119" s="76"/>
      <c r="DY119" s="26" t="s">
        <v>975</v>
      </c>
      <c r="DZ119" s="76">
        <v>43915.873668981483</v>
      </c>
      <c r="EA119" s="26">
        <v>43852</v>
      </c>
      <c r="EB119" s="26">
        <v>43880</v>
      </c>
      <c r="EC119">
        <v>5</v>
      </c>
      <c r="ED119">
        <v>0.30019712593019904</v>
      </c>
      <c r="EE119" s="25">
        <v>3.4875999994484985E-5</v>
      </c>
      <c r="EF119">
        <v>219.42182753498074</v>
      </c>
      <c r="EG119" s="95">
        <v>8607.5560837730773</v>
      </c>
      <c r="EH119" s="25">
        <v>234.59788490584211</v>
      </c>
      <c r="EI119" s="25">
        <v>1.3332519082572176E-3</v>
      </c>
      <c r="EJ119" s="97">
        <v>3.4875999994484985E-2</v>
      </c>
      <c r="EK119" s="26">
        <v>43915</v>
      </c>
      <c r="EL119" s="26" t="s">
        <v>1789</v>
      </c>
      <c r="EM119">
        <v>8607.5560837730773</v>
      </c>
      <c r="EN119" s="25">
        <v>9137</v>
      </c>
      <c r="EO119" s="98" t="s">
        <v>1790</v>
      </c>
      <c r="EP119" s="26">
        <v>43915</v>
      </c>
      <c r="EQ119">
        <v>64</v>
      </c>
      <c r="ER119" t="s">
        <v>1791</v>
      </c>
      <c r="ES119"/>
      <c r="ET119" s="25" t="s">
        <v>1792</v>
      </c>
      <c r="EU119" t="s">
        <v>1152</v>
      </c>
      <c r="EV119" s="25" t="s">
        <v>1793</v>
      </c>
      <c r="EW119" s="82">
        <v>1777.626459143969</v>
      </c>
      <c r="EX119">
        <v>43896</v>
      </c>
      <c r="EY119" s="82">
        <v>19</v>
      </c>
      <c r="EZ119">
        <v>43893</v>
      </c>
      <c r="FA119" s="25">
        <v>22</v>
      </c>
      <c r="FB119"/>
      <c r="FC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</row>
    <row r="120" spans="2:191" s="25" customFormat="1" x14ac:dyDescent="0.25">
      <c r="B120" s="26"/>
      <c r="T120" s="11"/>
      <c r="W120" s="11"/>
      <c r="X120" s="11"/>
      <c r="Y120" s="11"/>
      <c r="Z120" s="11"/>
      <c r="AA120" s="20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BY120"/>
      <c r="CA120"/>
      <c r="CB120"/>
      <c r="CC120"/>
      <c r="CD120"/>
      <c r="CE120"/>
      <c r="CF120"/>
      <c r="CG120"/>
      <c r="CH120"/>
      <c r="CI120"/>
      <c r="CJ120"/>
      <c r="CL120"/>
      <c r="CM120"/>
      <c r="CN120"/>
      <c r="CO120"/>
      <c r="CR120"/>
      <c r="CS120"/>
      <c r="CT120"/>
      <c r="CU120"/>
      <c r="CV120"/>
      <c r="CW120"/>
      <c r="CX120"/>
      <c r="CY120"/>
      <c r="CZ120"/>
      <c r="DA120"/>
      <c r="DU120"/>
      <c r="DV120" s="76"/>
      <c r="DY120" s="26" t="s">
        <v>975</v>
      </c>
      <c r="DZ120" s="76">
        <v>43916.899131944447</v>
      </c>
      <c r="EA120" s="26">
        <v>43852</v>
      </c>
      <c r="EB120" s="26">
        <v>43880</v>
      </c>
      <c r="EC120">
        <v>5</v>
      </c>
      <c r="ED120">
        <v>0.30019712593019904</v>
      </c>
      <c r="EE120" s="95">
        <v>3.4875999994484985E-5</v>
      </c>
      <c r="EF120">
        <v>219.42182753498074</v>
      </c>
      <c r="EG120">
        <v>8607.5560837730773</v>
      </c>
      <c r="EH120" s="97">
        <v>234.59788490584211</v>
      </c>
      <c r="EI120" s="26">
        <v>1.3332519082572176E-3</v>
      </c>
      <c r="EJ120">
        <v>3.4875999994484985E-2</v>
      </c>
      <c r="EK120" s="26">
        <v>43915</v>
      </c>
      <c r="EL120" s="98" t="s">
        <v>1789</v>
      </c>
      <c r="EM120">
        <v>8607.5560837730773</v>
      </c>
      <c r="EN120" s="26">
        <v>9137</v>
      </c>
      <c r="EO120" s="25" t="s">
        <v>1790</v>
      </c>
      <c r="EP120" s="26">
        <v>43915</v>
      </c>
      <c r="EQ120">
        <v>64</v>
      </c>
      <c r="ER120" t="s">
        <v>1791</v>
      </c>
      <c r="ES120"/>
      <c r="ET120" s="82" t="s">
        <v>1792</v>
      </c>
      <c r="EU120" t="s">
        <v>1152</v>
      </c>
      <c r="EV120" s="82" t="s">
        <v>1793</v>
      </c>
      <c r="EW120">
        <v>1777.626459143969</v>
      </c>
      <c r="EX120">
        <v>43901</v>
      </c>
      <c r="EY120">
        <v>15</v>
      </c>
      <c r="EZ120">
        <v>43895</v>
      </c>
      <c r="FA120" s="25">
        <v>21</v>
      </c>
      <c r="FB120"/>
      <c r="FC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</row>
    <row r="121" spans="2:191" s="25" customFormat="1" x14ac:dyDescent="0.25">
      <c r="B121" s="26"/>
      <c r="T121" s="11"/>
      <c r="W121" s="11"/>
      <c r="X121" s="11"/>
      <c r="Y121" s="11"/>
      <c r="Z121" s="11"/>
      <c r="AA121" s="20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DU121"/>
      <c r="DV121" s="76"/>
      <c r="DY121" s="25" t="s">
        <v>955</v>
      </c>
      <c r="DZ121" s="76">
        <v>43911.866331018522</v>
      </c>
      <c r="EA121" s="26">
        <v>43860</v>
      </c>
      <c r="EB121" s="26">
        <v>43860</v>
      </c>
      <c r="EC121">
        <v>6</v>
      </c>
      <c r="ED121">
        <v>0.23059524064806408</v>
      </c>
      <c r="EE121" s="25">
        <v>9.9999999999999903E-10</v>
      </c>
      <c r="EF121">
        <v>3.8070710556030042E-2</v>
      </c>
      <c r="EG121" s="96">
        <v>230595240.64806432</v>
      </c>
      <c r="EH121" s="19">
        <v>70.671251275874369</v>
      </c>
      <c r="EI121" s="12">
        <v>6.0570248687798465</v>
      </c>
      <c r="EJ121" s="98">
        <v>9.9999999999999911E-7</v>
      </c>
      <c r="EK121" s="26">
        <v>43910</v>
      </c>
      <c r="EL121" s="25" t="s">
        <v>1056</v>
      </c>
      <c r="EM121"/>
      <c r="EN121" s="99">
        <v>4014</v>
      </c>
      <c r="EO121" s="25" t="s">
        <v>1057</v>
      </c>
      <c r="EP121" s="26">
        <v>43910</v>
      </c>
      <c r="EQ121">
        <v>51</v>
      </c>
      <c r="ER121" t="s">
        <v>1058</v>
      </c>
      <c r="ES121"/>
      <c r="ET121" s="25" t="s">
        <v>1059</v>
      </c>
      <c r="EU121"/>
      <c r="EV121" s="25" t="s">
        <v>1065</v>
      </c>
      <c r="EW121">
        <v>604.15412402167362</v>
      </c>
      <c r="EX121" s="82">
        <v>43910</v>
      </c>
      <c r="EY121">
        <v>1</v>
      </c>
      <c r="EZ121" s="82">
        <v>43910</v>
      </c>
      <c r="FA121" s="25">
        <v>1</v>
      </c>
      <c r="FB121"/>
      <c r="FC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</row>
    <row r="122" spans="2:191" s="25" customFormat="1" x14ac:dyDescent="0.25">
      <c r="B122" s="26"/>
      <c r="T122" s="11"/>
      <c r="W122" s="11"/>
      <c r="X122" s="11"/>
      <c r="Y122" s="11"/>
      <c r="Z122" s="11"/>
      <c r="AA122" s="20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DU122"/>
      <c r="DV122" s="76"/>
      <c r="DY122" s="25" t="s">
        <v>955</v>
      </c>
      <c r="DZ122" s="76"/>
      <c r="EA122" s="26">
        <v>43860</v>
      </c>
      <c r="EB122" s="26"/>
      <c r="EC122">
        <v>6</v>
      </c>
      <c r="ED122">
        <v>0.24137990934722836</v>
      </c>
      <c r="EE122" s="95">
        <v>9.9999999999999995E-7</v>
      </c>
      <c r="EF122">
        <v>2.4074005303217398E-2</v>
      </c>
      <c r="EG122" s="96">
        <v>241379.90934722839</v>
      </c>
      <c r="EH122" s="19">
        <v>146.85588583547002</v>
      </c>
      <c r="EI122" s="12">
        <v>10.026577722858754</v>
      </c>
      <c r="EJ122" s="98">
        <v>1E-3</v>
      </c>
      <c r="EK122" s="26">
        <v>43910</v>
      </c>
      <c r="EL122" s="25" t="s">
        <v>1013</v>
      </c>
      <c r="EM122"/>
      <c r="EN122" s="99">
        <v>3269</v>
      </c>
      <c r="EO122" s="25" t="s">
        <v>1014</v>
      </c>
      <c r="EP122" s="26">
        <v>43910</v>
      </c>
      <c r="EQ122">
        <v>51</v>
      </c>
      <c r="ER122" t="s">
        <v>1015</v>
      </c>
      <c r="ES122"/>
      <c r="ET122" s="25" t="s">
        <v>1016</v>
      </c>
      <c r="EU122"/>
      <c r="EV122" s="25" t="s">
        <v>1017</v>
      </c>
      <c r="EW122">
        <v>492.0228777844672</v>
      </c>
      <c r="EX122" s="82">
        <v>43910</v>
      </c>
      <c r="EY122">
        <v>0</v>
      </c>
      <c r="EZ122" s="82">
        <v>43908</v>
      </c>
      <c r="FA122" s="25">
        <v>2</v>
      </c>
      <c r="FB122"/>
      <c r="FC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</row>
    <row r="123" spans="2:191" s="25" customFormat="1" x14ac:dyDescent="0.25">
      <c r="B123" s="26"/>
      <c r="T123" s="11"/>
      <c r="V123" s="25">
        <f>709/2.54</f>
        <v>279.1338582677165</v>
      </c>
      <c r="W123" s="11">
        <f>2626/6.64</f>
        <v>395.48192771084337</v>
      </c>
      <c r="X123" s="11"/>
      <c r="Y123" s="11"/>
      <c r="Z123" s="11"/>
      <c r="AA123" s="20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DU123"/>
      <c r="DV123" s="76"/>
      <c r="DY123" s="25" t="s">
        <v>955</v>
      </c>
      <c r="DZ123" s="76">
        <v>43912.326736111114</v>
      </c>
      <c r="EA123" s="26">
        <v>43860</v>
      </c>
      <c r="EB123" s="26">
        <v>43860</v>
      </c>
      <c r="EC123">
        <v>6</v>
      </c>
      <c r="ED123">
        <v>0.23552292998723806</v>
      </c>
      <c r="EE123" s="95">
        <v>9.9999999999999903E-10</v>
      </c>
      <c r="EF123">
        <v>3.0253807305994522E-2</v>
      </c>
      <c r="EG123" s="96">
        <v>235522929.98723829</v>
      </c>
      <c r="EH123" s="25">
        <v>71.58354260153051</v>
      </c>
      <c r="EI123" s="25">
        <v>7.7849021637127134</v>
      </c>
      <c r="EJ123" s="98">
        <v>9.9999999999999911E-7</v>
      </c>
      <c r="EK123" s="26">
        <v>43911</v>
      </c>
      <c r="EL123" s="25" t="s">
        <v>1102</v>
      </c>
      <c r="EM123"/>
      <c r="EN123" s="99">
        <v>5049</v>
      </c>
      <c r="EO123" s="25" t="s">
        <v>1103</v>
      </c>
      <c r="EP123" s="26">
        <v>43911</v>
      </c>
      <c r="EQ123">
        <v>52</v>
      </c>
      <c r="ER123" t="s">
        <v>1104</v>
      </c>
      <c r="ES123"/>
      <c r="ET123" s="25" t="s">
        <v>1105</v>
      </c>
      <c r="EU123"/>
      <c r="EV123" s="25" t="s">
        <v>1106</v>
      </c>
      <c r="EW123">
        <v>759.93377483443703</v>
      </c>
      <c r="EX123" s="82">
        <v>43910</v>
      </c>
      <c r="EY123">
        <v>1</v>
      </c>
      <c r="EZ123" s="82">
        <v>43910</v>
      </c>
      <c r="FA123" s="25">
        <v>2</v>
      </c>
      <c r="FB123"/>
      <c r="FC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</row>
    <row r="124" spans="2:191" s="25" customFormat="1" x14ac:dyDescent="0.25">
      <c r="B124" s="26"/>
      <c r="T124" s="11"/>
      <c r="W124" s="11"/>
      <c r="X124" s="11"/>
      <c r="Y124" s="11"/>
      <c r="Z124" s="11"/>
      <c r="AA124" s="20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DU124"/>
      <c r="DV124" s="76"/>
      <c r="DY124" s="25" t="s">
        <v>955</v>
      </c>
      <c r="DZ124" s="76">
        <v>43912.588784722226</v>
      </c>
      <c r="EA124" s="26">
        <v>43860</v>
      </c>
      <c r="EB124" s="26">
        <v>43860</v>
      </c>
      <c r="EC124">
        <v>6</v>
      </c>
      <c r="ED124">
        <v>0.23594006316216126</v>
      </c>
      <c r="EE124" s="95">
        <v>9.9999999999999903E-10</v>
      </c>
      <c r="EF124">
        <v>2.9674631046950263E-2</v>
      </c>
      <c r="EG124" s="96">
        <v>235940063.1621615</v>
      </c>
      <c r="EH124" s="25">
        <v>71.927182904252248</v>
      </c>
      <c r="EI124" s="25">
        <v>7.9509013190152125</v>
      </c>
      <c r="EJ124" s="98">
        <v>9.9999999999999911E-7</v>
      </c>
      <c r="EK124" s="26">
        <v>43911</v>
      </c>
      <c r="EL124" s="25" t="s">
        <v>1102</v>
      </c>
      <c r="EM124"/>
      <c r="EN124" s="99">
        <v>5067</v>
      </c>
      <c r="EO124" s="25" t="s">
        <v>1126</v>
      </c>
      <c r="EP124" s="26">
        <v>43911</v>
      </c>
      <c r="EQ124">
        <v>52</v>
      </c>
      <c r="ER124" t="s">
        <v>1127</v>
      </c>
      <c r="ES124"/>
      <c r="ET124" s="25" t="s">
        <v>1128</v>
      </c>
      <c r="EU124"/>
      <c r="EV124" s="25" t="s">
        <v>1129</v>
      </c>
      <c r="EW124">
        <v>762.64298615291989</v>
      </c>
      <c r="EX124" s="82">
        <v>43911</v>
      </c>
      <c r="EY124">
        <v>1</v>
      </c>
      <c r="EZ124" s="82">
        <v>43910</v>
      </c>
      <c r="FA124" s="25">
        <v>2</v>
      </c>
      <c r="FB124"/>
      <c r="FC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</row>
    <row r="125" spans="2:191" x14ac:dyDescent="0.25">
      <c r="B125" t="s">
        <v>190</v>
      </c>
      <c r="BO125" s="25"/>
      <c r="BP125" s="25"/>
      <c r="BQ125" s="25"/>
      <c r="BR125" s="25"/>
      <c r="BS125" s="25"/>
      <c r="BT125" s="25"/>
      <c r="BU125" s="25"/>
      <c r="BY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Y125" s="25" t="s">
        <v>955</v>
      </c>
      <c r="DZ125" s="76">
        <v>43912.787627314814</v>
      </c>
      <c r="EA125" s="26">
        <v>43860</v>
      </c>
      <c r="EB125" s="26">
        <v>43860</v>
      </c>
      <c r="EC125">
        <v>6</v>
      </c>
      <c r="ED125">
        <v>0.23594006316216126</v>
      </c>
      <c r="EE125" s="95">
        <v>9.9999999999999903E-10</v>
      </c>
      <c r="EF125">
        <v>2.9674631046950263E-2</v>
      </c>
      <c r="EG125" s="96">
        <v>235940063.1621615</v>
      </c>
      <c r="EH125" s="25">
        <v>71.927182904252248</v>
      </c>
      <c r="EI125" s="25">
        <v>7.9509013190152125</v>
      </c>
      <c r="EJ125" s="98">
        <v>9.9999999999999911E-7</v>
      </c>
      <c r="EK125" s="26">
        <v>43911</v>
      </c>
      <c r="EL125" s="25" t="s">
        <v>1102</v>
      </c>
      <c r="EM125">
        <v>235940063.1621615</v>
      </c>
      <c r="EN125" s="99">
        <v>5067</v>
      </c>
      <c r="EO125" s="25" t="s">
        <v>1126</v>
      </c>
      <c r="EP125" s="26">
        <v>43911</v>
      </c>
      <c r="EQ125">
        <v>52</v>
      </c>
      <c r="ER125" t="s">
        <v>1158</v>
      </c>
      <c r="ET125" s="25" t="s">
        <v>1128</v>
      </c>
      <c r="EV125" s="25" t="s">
        <v>1159</v>
      </c>
      <c r="EW125">
        <v>762.64298615291989</v>
      </c>
      <c r="EX125" s="82">
        <v>43911</v>
      </c>
      <c r="EY125">
        <v>1</v>
      </c>
      <c r="EZ125" s="82">
        <v>43910</v>
      </c>
      <c r="FA125" s="25">
        <v>2</v>
      </c>
    </row>
    <row r="126" spans="2:191" x14ac:dyDescent="0.25">
      <c r="B126" s="15" t="s">
        <v>191</v>
      </c>
      <c r="BO126" s="25"/>
      <c r="BP126" s="25"/>
      <c r="BQ126" s="25"/>
      <c r="BR126" s="25"/>
      <c r="BS126" s="25"/>
      <c r="BT126" s="25"/>
      <c r="BU126" s="25"/>
      <c r="BY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Y126" s="25" t="s">
        <v>955</v>
      </c>
      <c r="DZ126" s="76">
        <v>43913.581747685188</v>
      </c>
      <c r="EA126" s="26">
        <v>43860</v>
      </c>
      <c r="EB126" s="26">
        <v>43860</v>
      </c>
      <c r="EC126">
        <v>6</v>
      </c>
      <c r="ED126">
        <v>0.23594006316216143</v>
      </c>
      <c r="EE126" s="95">
        <v>9.9999999999999655E-12</v>
      </c>
      <c r="EF126">
        <v>2.9674631046950263E-2</v>
      </c>
      <c r="EG126" s="96">
        <v>23594006316.216225</v>
      </c>
      <c r="EH126" s="25">
        <v>71.926727825145534</v>
      </c>
      <c r="EI126" s="25">
        <v>7.9509013200052188</v>
      </c>
      <c r="EJ126" s="98">
        <v>9.9999999999999655E-9</v>
      </c>
      <c r="EK126" s="26">
        <v>43911</v>
      </c>
      <c r="EL126" s="25" t="s">
        <v>1314</v>
      </c>
      <c r="EM126">
        <v>23594006316.216225</v>
      </c>
      <c r="EN126" s="99">
        <v>5067</v>
      </c>
      <c r="EO126" s="25" t="s">
        <v>1315</v>
      </c>
      <c r="EP126" s="26">
        <v>43911</v>
      </c>
      <c r="EQ126">
        <v>52</v>
      </c>
      <c r="ER126" t="s">
        <v>1316</v>
      </c>
      <c r="ET126" s="25" t="s">
        <v>1317</v>
      </c>
      <c r="EV126" s="25" t="s">
        <v>1318</v>
      </c>
      <c r="EW126">
        <v>762.64298615291989</v>
      </c>
      <c r="EX126" s="82">
        <v>43913</v>
      </c>
      <c r="EY126">
        <v>0</v>
      </c>
      <c r="EZ126" s="82">
        <v>43911</v>
      </c>
      <c r="FA126" s="25">
        <v>1</v>
      </c>
    </row>
    <row r="127" spans="2:191" x14ac:dyDescent="0.25">
      <c r="BY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Y127" s="25" t="s">
        <v>955</v>
      </c>
      <c r="DZ127" s="76">
        <v>43913.686782407407</v>
      </c>
      <c r="EA127" s="26">
        <v>43860</v>
      </c>
      <c r="EB127" s="26">
        <v>43860</v>
      </c>
      <c r="EC127">
        <v>6</v>
      </c>
      <c r="ED127">
        <v>0.23594006273685905</v>
      </c>
      <c r="EE127" s="95">
        <v>2.1301242429612073E-6</v>
      </c>
      <c r="EF127">
        <v>2.9674631042839659E-2</v>
      </c>
      <c r="EG127" s="96">
        <v>110763.52166616597</v>
      </c>
      <c r="EH127" s="25">
        <v>87.808162964545772</v>
      </c>
      <c r="EI127" s="25">
        <v>7.9508991766601662</v>
      </c>
      <c r="EJ127" s="98">
        <v>2.1301242429612073E-3</v>
      </c>
      <c r="EK127" s="26">
        <v>43912</v>
      </c>
      <c r="EL127" s="25" t="s">
        <v>1356</v>
      </c>
      <c r="EM127">
        <v>110763.52166616597</v>
      </c>
      <c r="EN127" s="99">
        <v>5741</v>
      </c>
      <c r="EO127" s="25" t="s">
        <v>1357</v>
      </c>
      <c r="EP127" s="26">
        <v>43912</v>
      </c>
      <c r="EQ127">
        <v>53</v>
      </c>
      <c r="ER127" t="s">
        <v>1358</v>
      </c>
      <c r="ET127" s="25" t="s">
        <v>1359</v>
      </c>
      <c r="EV127" s="25" t="s">
        <v>1360</v>
      </c>
      <c r="EW127">
        <v>864.08789885611077</v>
      </c>
      <c r="EX127" s="82">
        <v>43912</v>
      </c>
      <c r="EY127">
        <v>1</v>
      </c>
      <c r="EZ127" s="82">
        <v>43911</v>
      </c>
      <c r="FA127" s="25">
        <v>2</v>
      </c>
    </row>
    <row r="128" spans="2:191" x14ac:dyDescent="0.25">
      <c r="DY128" s="25" t="s">
        <v>955</v>
      </c>
      <c r="DZ128" s="76">
        <v>43913.916226851848</v>
      </c>
      <c r="EA128" s="26">
        <v>43860</v>
      </c>
      <c r="EB128" s="26">
        <v>43860</v>
      </c>
      <c r="EC128">
        <v>6</v>
      </c>
      <c r="ED128">
        <v>0.23594006273685905</v>
      </c>
      <c r="EE128">
        <v>2.1301242429612073E-6</v>
      </c>
      <c r="EF128">
        <v>2.9674631042839659E-2</v>
      </c>
      <c r="EG128" s="95">
        <v>110763.52166616597</v>
      </c>
      <c r="EH128">
        <v>87.808162964545772</v>
      </c>
      <c r="EI128">
        <v>7.9508991766601662</v>
      </c>
      <c r="EJ128" s="97">
        <v>2.1301242429612073E-3</v>
      </c>
      <c r="EK128" s="26">
        <v>43912</v>
      </c>
      <c r="EL128" s="25" t="s">
        <v>1356</v>
      </c>
      <c r="EM128">
        <v>110763.52166616597</v>
      </c>
      <c r="EN128" s="98">
        <v>5741</v>
      </c>
      <c r="EO128" s="25" t="s">
        <v>1357</v>
      </c>
      <c r="EP128" s="26">
        <v>43912</v>
      </c>
      <c r="EQ128" s="25">
        <v>53</v>
      </c>
      <c r="ER128" t="s">
        <v>1358</v>
      </c>
      <c r="ET128" t="s">
        <v>1359</v>
      </c>
      <c r="EV128" t="s">
        <v>1360</v>
      </c>
      <c r="EW128" s="25">
        <v>864.08789885611077</v>
      </c>
      <c r="EX128" s="82">
        <v>43913</v>
      </c>
      <c r="EY128" s="25">
        <v>0</v>
      </c>
      <c r="EZ128" s="82">
        <v>43911</v>
      </c>
      <c r="FA128">
        <v>2</v>
      </c>
      <c r="FC128" s="25"/>
    </row>
    <row r="129" spans="2:159" x14ac:dyDescent="0.25">
      <c r="B129" s="13" t="s">
        <v>169</v>
      </c>
      <c r="C129" s="16" t="s">
        <v>170</v>
      </c>
      <c r="D129" s="35"/>
      <c r="DY129" s="26" t="s">
        <v>955</v>
      </c>
      <c r="DZ129" s="76">
        <v>43914.462789351855</v>
      </c>
      <c r="EA129" s="26">
        <v>43860</v>
      </c>
      <c r="EB129" s="26">
        <v>43860</v>
      </c>
      <c r="EC129">
        <v>6</v>
      </c>
      <c r="ED129">
        <v>0.23594006273685905</v>
      </c>
      <c r="EE129">
        <v>2.1301242429612073E-6</v>
      </c>
      <c r="EF129">
        <v>2.9674631042839659E-2</v>
      </c>
      <c r="EG129" s="95">
        <v>110763.52166616597</v>
      </c>
      <c r="EH129">
        <v>87.808162964545772</v>
      </c>
      <c r="EI129">
        <v>7.9508991766601662</v>
      </c>
      <c r="EJ129" s="97">
        <v>2.1301242429612073E-3</v>
      </c>
      <c r="EK129" s="26">
        <v>43912</v>
      </c>
      <c r="EL129" s="25" t="s">
        <v>1356</v>
      </c>
      <c r="EM129" s="25">
        <v>110763.52166616597</v>
      </c>
      <c r="EN129">
        <v>5741</v>
      </c>
      <c r="EO129" s="98" t="s">
        <v>1357</v>
      </c>
      <c r="EP129" s="26">
        <v>43912</v>
      </c>
      <c r="EQ129" s="25">
        <v>53</v>
      </c>
      <c r="ER129" t="s">
        <v>1358</v>
      </c>
      <c r="ET129" t="s">
        <v>1359</v>
      </c>
      <c r="EV129" t="s">
        <v>1360</v>
      </c>
      <c r="EW129" s="82">
        <v>864.08789885611077</v>
      </c>
      <c r="EX129" s="82">
        <v>43913</v>
      </c>
      <c r="EY129" s="25">
        <v>-1</v>
      </c>
      <c r="EZ129" s="25">
        <v>43911</v>
      </c>
      <c r="FA129">
        <v>2</v>
      </c>
      <c r="FC129" s="25"/>
    </row>
    <row r="130" spans="2:159" x14ac:dyDescent="0.25">
      <c r="DY130" s="26" t="s">
        <v>955</v>
      </c>
      <c r="DZ130" s="76">
        <v>43915.873703703706</v>
      </c>
      <c r="EA130" s="26">
        <v>43860</v>
      </c>
      <c r="EB130" s="26">
        <v>43860</v>
      </c>
      <c r="EC130">
        <v>6</v>
      </c>
      <c r="ED130" s="25">
        <v>0.23594006261087228</v>
      </c>
      <c r="EE130" s="25">
        <v>3.6560031492112057E-6</v>
      </c>
      <c r="EF130" s="25">
        <v>2.9674631041599814E-2</v>
      </c>
      <c r="EG130" s="95">
        <v>64534.972477191957</v>
      </c>
      <c r="EH130" s="25">
        <v>142.9972758907426</v>
      </c>
      <c r="EI130" s="25">
        <v>7.9508976468678538</v>
      </c>
      <c r="EJ130" s="97">
        <v>3.6560031492112056E-3</v>
      </c>
      <c r="EK130" s="26">
        <v>43914</v>
      </c>
      <c r="EL130" s="26" t="s">
        <v>1794</v>
      </c>
      <c r="EM130" s="25">
        <v>64534.972477191957</v>
      </c>
      <c r="EN130" s="25">
        <v>8077</v>
      </c>
      <c r="EO130" s="98" t="s">
        <v>1795</v>
      </c>
      <c r="EP130" s="26">
        <v>43914</v>
      </c>
      <c r="EQ130" s="25">
        <v>55</v>
      </c>
      <c r="ER130" s="25" t="s">
        <v>1796</v>
      </c>
      <c r="ET130" t="s">
        <v>1797</v>
      </c>
      <c r="EV130" s="25" t="s">
        <v>1798</v>
      </c>
      <c r="EW130" s="82">
        <v>1215.6833232992174</v>
      </c>
      <c r="EX130" s="25">
        <v>43915</v>
      </c>
      <c r="EY130" s="82">
        <v>0</v>
      </c>
      <c r="EZ130" s="25">
        <v>43913</v>
      </c>
      <c r="FA130">
        <v>2</v>
      </c>
      <c r="FC130" s="25"/>
    </row>
    <row r="131" spans="2:159" x14ac:dyDescent="0.25">
      <c r="DY131" s="26" t="s">
        <v>955</v>
      </c>
      <c r="DZ131" s="76">
        <v>43916.899143518516</v>
      </c>
      <c r="EA131" s="26">
        <v>43860</v>
      </c>
      <c r="EB131" s="26">
        <v>43860</v>
      </c>
      <c r="EC131">
        <v>6</v>
      </c>
      <c r="ED131">
        <v>0.23736203305370973</v>
      </c>
      <c r="EE131" s="95">
        <v>1.0775301857048374E-5</v>
      </c>
      <c r="EF131">
        <v>3.2261693235413211E-2</v>
      </c>
      <c r="EG131" s="25">
        <v>22028.341869461943</v>
      </c>
      <c r="EH131" s="97">
        <v>142.35237698746531</v>
      </c>
      <c r="EI131" s="26">
        <v>7.3573846137647259</v>
      </c>
      <c r="EJ131" s="25">
        <v>1.0775301857048374E-2</v>
      </c>
      <c r="EK131" s="26">
        <v>43915</v>
      </c>
      <c r="EL131" s="98" t="s">
        <v>1880</v>
      </c>
      <c r="EM131">
        <v>22028.341869461943</v>
      </c>
      <c r="EN131" s="26">
        <v>8365</v>
      </c>
      <c r="EO131" t="s">
        <v>1881</v>
      </c>
      <c r="EP131" s="26">
        <v>43915</v>
      </c>
      <c r="EQ131" s="25">
        <v>56</v>
      </c>
      <c r="ER131" t="s">
        <v>1882</v>
      </c>
      <c r="ET131" s="82" t="s">
        <v>1883</v>
      </c>
      <c r="EV131" s="82" t="s">
        <v>1884</v>
      </c>
      <c r="EW131">
        <v>1259.0307043949429</v>
      </c>
      <c r="EX131" s="25">
        <v>43915</v>
      </c>
      <c r="EY131">
        <v>-1</v>
      </c>
      <c r="EZ131" s="25">
        <v>43914</v>
      </c>
      <c r="FA131">
        <v>2</v>
      </c>
      <c r="FC131" s="25"/>
    </row>
    <row r="132" spans="2:159" x14ac:dyDescent="0.25">
      <c r="DY132" s="25" t="s">
        <v>40</v>
      </c>
      <c r="DZ132" s="76">
        <v>43913.623993055553</v>
      </c>
      <c r="EA132" s="26">
        <v>43852</v>
      </c>
      <c r="EC132">
        <v>7</v>
      </c>
      <c r="ED132">
        <v>0.32049770084288381</v>
      </c>
      <c r="EE132" s="95">
        <v>3.8254432735924097E-5</v>
      </c>
      <c r="EF132">
        <v>182.80037759483983</v>
      </c>
      <c r="EG132" s="96">
        <v>8378.0539383586201</v>
      </c>
      <c r="EH132" s="25">
        <v>183.08482726537369</v>
      </c>
      <c r="EI132" s="25">
        <v>1.7150116439525903E-3</v>
      </c>
      <c r="EJ132" s="98">
        <v>3.8254432735924097E-2</v>
      </c>
      <c r="EK132" s="26">
        <v>43912</v>
      </c>
      <c r="EL132" t="s">
        <v>1097</v>
      </c>
      <c r="EM132">
        <v>8378.0539383586201</v>
      </c>
      <c r="EN132" s="99">
        <v>455</v>
      </c>
      <c r="EO132" t="s">
        <v>1329</v>
      </c>
      <c r="EP132" s="26">
        <v>43912</v>
      </c>
      <c r="EQ132" s="25">
        <v>61</v>
      </c>
      <c r="ER132" t="s">
        <v>1330</v>
      </c>
      <c r="ET132" t="s">
        <v>1331</v>
      </c>
      <c r="EV132" s="25" t="s">
        <v>1332</v>
      </c>
      <c r="EW132">
        <v>68.482841661649601</v>
      </c>
      <c r="EX132" s="82">
        <v>43901</v>
      </c>
      <c r="EY132">
        <v>-12</v>
      </c>
      <c r="EZ132" s="82">
        <v>43903</v>
      </c>
      <c r="FA132">
        <v>-10</v>
      </c>
      <c r="FC132" s="25"/>
    </row>
    <row r="133" spans="2:159" x14ac:dyDescent="0.25">
      <c r="DY133" s="25" t="s">
        <v>40</v>
      </c>
      <c r="DZ133" s="76">
        <v>43913.634884259256</v>
      </c>
      <c r="EA133" s="26">
        <v>43853</v>
      </c>
      <c r="EB133" s="26">
        <v>43853</v>
      </c>
      <c r="EC133">
        <v>7</v>
      </c>
      <c r="ED133">
        <v>0.32049770084288381</v>
      </c>
      <c r="EE133" s="95">
        <v>3.8254432735924097E-5</v>
      </c>
      <c r="EF133">
        <v>182.80037759483983</v>
      </c>
      <c r="EG133" s="95">
        <v>8378.0539383586201</v>
      </c>
      <c r="EH133">
        <v>183.08482726537369</v>
      </c>
      <c r="EI133">
        <v>1.7150116439525903E-3</v>
      </c>
      <c r="EJ133" s="97">
        <v>3.8254432735924097E-2</v>
      </c>
      <c r="EK133" s="26">
        <v>43912</v>
      </c>
      <c r="EL133" t="s">
        <v>1097</v>
      </c>
      <c r="EM133">
        <v>8378.0539383586201</v>
      </c>
      <c r="EN133" s="99">
        <v>455</v>
      </c>
      <c r="EO133" t="s">
        <v>1329</v>
      </c>
      <c r="EP133" s="26">
        <v>43912</v>
      </c>
      <c r="EQ133" s="25">
        <v>61</v>
      </c>
      <c r="ER133" t="s">
        <v>1330</v>
      </c>
      <c r="ET133" t="s">
        <v>1331</v>
      </c>
      <c r="EV133" s="25" t="s">
        <v>1332</v>
      </c>
      <c r="EW133">
        <v>68.482841661649601</v>
      </c>
      <c r="EX133" s="82">
        <v>43901</v>
      </c>
      <c r="EY133">
        <v>-12</v>
      </c>
      <c r="EZ133" s="82">
        <v>43903</v>
      </c>
      <c r="FA133">
        <v>-10</v>
      </c>
      <c r="FC133" s="25"/>
    </row>
    <row r="134" spans="2:159" x14ac:dyDescent="0.25">
      <c r="DY134" s="25" t="s">
        <v>40</v>
      </c>
      <c r="DZ134" s="76">
        <v>43913.686793981484</v>
      </c>
      <c r="EA134" s="26">
        <v>43853</v>
      </c>
      <c r="EB134" s="26">
        <v>43853</v>
      </c>
      <c r="EC134">
        <v>7</v>
      </c>
      <c r="ED134">
        <v>4.3945616156224152E-2</v>
      </c>
      <c r="EE134" s="95">
        <v>1.0000000045861967E-12</v>
      </c>
      <c r="EF134">
        <v>625.27317338720138</v>
      </c>
      <c r="EG134" s="96">
        <v>43945615954.680916</v>
      </c>
      <c r="EH134">
        <v>33.199544473907444</v>
      </c>
      <c r="EI134">
        <v>1.7150116439525903E-3</v>
      </c>
      <c r="EJ134" s="98">
        <v>3.8254432735924097E-2</v>
      </c>
      <c r="EK134" s="26">
        <v>43912</v>
      </c>
      <c r="EL134" t="s">
        <v>1361</v>
      </c>
      <c r="EM134">
        <v>44577267.854490131</v>
      </c>
      <c r="EN134" s="98">
        <v>455</v>
      </c>
      <c r="EO134" t="s">
        <v>1362</v>
      </c>
      <c r="EP134" s="26">
        <v>43912</v>
      </c>
      <c r="EQ134" s="25">
        <v>61</v>
      </c>
      <c r="ER134" t="s">
        <v>1363</v>
      </c>
      <c r="ET134" t="s">
        <v>1364</v>
      </c>
      <c r="EV134" s="25" t="s">
        <v>1365</v>
      </c>
      <c r="EW134">
        <v>777.77777777777783</v>
      </c>
      <c r="EX134" s="82">
        <v>43913</v>
      </c>
      <c r="EY134">
        <v>0</v>
      </c>
      <c r="EZ134" s="82">
        <v>43910</v>
      </c>
      <c r="FA134">
        <v>3</v>
      </c>
      <c r="FC134" s="25"/>
    </row>
    <row r="135" spans="2:159" x14ac:dyDescent="0.25">
      <c r="DY135" s="25" t="s">
        <v>40</v>
      </c>
      <c r="DZ135" s="76">
        <v>43913.916238425925</v>
      </c>
      <c r="EA135" s="26">
        <v>43853</v>
      </c>
      <c r="EB135" s="26">
        <v>43853</v>
      </c>
      <c r="EC135">
        <v>7</v>
      </c>
      <c r="ED135">
        <v>4.3945616156224152E-2</v>
      </c>
      <c r="EE135" s="25">
        <v>1.0000000045861967E-12</v>
      </c>
      <c r="EF135">
        <v>625.27317338720138</v>
      </c>
      <c r="EG135" s="95">
        <v>43945615954.680916</v>
      </c>
      <c r="EH135">
        <v>33.199544473907444</v>
      </c>
      <c r="EI135">
        <v>1.7150116439525903E-3</v>
      </c>
      <c r="EJ135" s="97">
        <v>3.8254432735924097E-2</v>
      </c>
      <c r="EK135" s="26">
        <v>43912</v>
      </c>
      <c r="EL135" t="s">
        <v>1361</v>
      </c>
      <c r="EM135">
        <v>44577267.854490131</v>
      </c>
      <c r="EN135" s="98">
        <v>455</v>
      </c>
      <c r="EO135" t="s">
        <v>1362</v>
      </c>
      <c r="EP135" s="26">
        <v>43912</v>
      </c>
      <c r="EQ135" s="25">
        <v>61</v>
      </c>
      <c r="ER135" t="s">
        <v>1363</v>
      </c>
      <c r="ET135" t="s">
        <v>1364</v>
      </c>
      <c r="EV135" s="25" t="s">
        <v>1365</v>
      </c>
      <c r="EW135">
        <v>777.77777777777783</v>
      </c>
      <c r="EX135" s="82">
        <v>43913</v>
      </c>
      <c r="EY135">
        <v>0</v>
      </c>
      <c r="EZ135" s="82">
        <v>43911</v>
      </c>
      <c r="FA135">
        <v>2</v>
      </c>
      <c r="FC135" s="25"/>
    </row>
    <row r="136" spans="2:159" x14ac:dyDescent="0.25">
      <c r="DY136" s="26" t="s">
        <v>40</v>
      </c>
      <c r="DZ136" s="76">
        <v>43914.462800925925</v>
      </c>
      <c r="EA136" s="26">
        <v>43853</v>
      </c>
      <c r="EB136" s="26">
        <v>43853</v>
      </c>
      <c r="EC136">
        <v>7</v>
      </c>
      <c r="ED136">
        <v>4.3945616156224152E-2</v>
      </c>
      <c r="EE136" s="25">
        <v>1.0000000045861967E-12</v>
      </c>
      <c r="EF136">
        <v>625.27317338720138</v>
      </c>
      <c r="EG136" s="95">
        <v>43945615954.680916</v>
      </c>
      <c r="EH136">
        <v>33.199544473907444</v>
      </c>
      <c r="EI136">
        <v>1.7150116439525903E-3</v>
      </c>
      <c r="EJ136" s="97">
        <v>3.8254432735924097E-2</v>
      </c>
      <c r="EK136" s="26">
        <v>43912</v>
      </c>
      <c r="EL136" t="s">
        <v>1361</v>
      </c>
      <c r="EM136">
        <v>44577267.854490131</v>
      </c>
      <c r="EN136" s="25">
        <v>455</v>
      </c>
      <c r="EO136" s="98" t="s">
        <v>1362</v>
      </c>
      <c r="EP136" s="26">
        <v>43912</v>
      </c>
      <c r="EQ136" s="25">
        <v>61</v>
      </c>
      <c r="ER136" t="s">
        <v>1363</v>
      </c>
      <c r="ET136" t="s">
        <v>1364</v>
      </c>
      <c r="EV136" s="25" t="s">
        <v>1365</v>
      </c>
      <c r="EW136" s="82">
        <v>777.77777777777783</v>
      </c>
      <c r="EX136" s="82">
        <v>43913</v>
      </c>
      <c r="EY136">
        <v>-1</v>
      </c>
      <c r="EZ136" s="25">
        <v>43912</v>
      </c>
      <c r="FA136">
        <v>1</v>
      </c>
      <c r="FC136" s="25"/>
    </row>
    <row r="137" spans="2:159" x14ac:dyDescent="0.25">
      <c r="DY137" s="26" t="s">
        <v>40</v>
      </c>
      <c r="DZ137" s="76">
        <v>43915.873726851853</v>
      </c>
      <c r="EA137" s="26">
        <v>43853</v>
      </c>
      <c r="EB137" s="26">
        <v>43853</v>
      </c>
      <c r="EC137">
        <v>7</v>
      </c>
      <c r="ED137">
        <v>7.0753866071987359E-2</v>
      </c>
      <c r="EE137">
        <v>1.0000000010863949E-12</v>
      </c>
      <c r="EF137">
        <v>6.7304985607978454</v>
      </c>
      <c r="EG137" s="95">
        <v>70753865995.120728</v>
      </c>
      <c r="EH137">
        <v>23.690137160926728</v>
      </c>
      <c r="EI137">
        <v>1.0512425703107136E-2</v>
      </c>
      <c r="EJ137" s="97">
        <v>1.0000000010863949E-9</v>
      </c>
      <c r="EK137" s="26">
        <v>43914</v>
      </c>
      <c r="EL137" s="26" t="s">
        <v>1799</v>
      </c>
      <c r="EM137">
        <v>36450123925.888878</v>
      </c>
      <c r="EN137" s="25">
        <v>558</v>
      </c>
      <c r="EO137" s="98" t="s">
        <v>1800</v>
      </c>
      <c r="EP137" s="26">
        <v>43914</v>
      </c>
      <c r="EQ137" s="25">
        <v>63</v>
      </c>
      <c r="ER137" t="s">
        <v>1801</v>
      </c>
      <c r="ET137" t="s">
        <v>1802</v>
      </c>
      <c r="EV137" s="25" t="s">
        <v>1803</v>
      </c>
      <c r="EW137" s="82">
        <v>953.84615384615392</v>
      </c>
      <c r="EX137" s="25">
        <v>43914</v>
      </c>
      <c r="EY137" s="82">
        <v>-1</v>
      </c>
      <c r="EZ137">
        <v>43915</v>
      </c>
      <c r="FA137">
        <v>0</v>
      </c>
      <c r="FC137" s="25"/>
    </row>
    <row r="138" spans="2:159" x14ac:dyDescent="0.25">
      <c r="DY138" s="26" t="s">
        <v>40</v>
      </c>
      <c r="DZ138" s="76">
        <v>43916.89916666667</v>
      </c>
      <c r="EA138" s="26">
        <v>43853</v>
      </c>
      <c r="EB138" s="26">
        <v>43853</v>
      </c>
      <c r="EC138">
        <v>7</v>
      </c>
      <c r="ED138">
        <v>7.4477451300646702E-2</v>
      </c>
      <c r="EE138" s="95">
        <v>1.0000000010863949E-12</v>
      </c>
      <c r="EF138">
        <v>5.5933880442807453</v>
      </c>
      <c r="EG138" s="25">
        <v>74477451219.734787</v>
      </c>
      <c r="EH138" s="97">
        <v>25.399216597797132</v>
      </c>
      <c r="EI138" s="26">
        <v>1.3315266293960548E-2</v>
      </c>
      <c r="EJ138" s="25">
        <v>1.0000000010863949E-9</v>
      </c>
      <c r="EK138" s="26">
        <v>43915</v>
      </c>
      <c r="EL138" s="98" t="s">
        <v>1885</v>
      </c>
      <c r="EM138">
        <v>39993448115.747894</v>
      </c>
      <c r="EN138" s="26">
        <v>631</v>
      </c>
      <c r="EO138" s="25" t="s">
        <v>1886</v>
      </c>
      <c r="EP138" s="26">
        <v>43915</v>
      </c>
      <c r="EQ138">
        <v>64</v>
      </c>
      <c r="ER138" t="s">
        <v>1887</v>
      </c>
      <c r="ET138" s="82" t="s">
        <v>1888</v>
      </c>
      <c r="EV138" s="82" t="s">
        <v>1889</v>
      </c>
      <c r="EW138" s="25">
        <v>1078.6324786324788</v>
      </c>
      <c r="EX138" s="25">
        <v>43915</v>
      </c>
      <c r="EY138">
        <v>-1</v>
      </c>
      <c r="EZ138">
        <v>43916</v>
      </c>
      <c r="FA138">
        <v>0</v>
      </c>
      <c r="FC138" s="25"/>
    </row>
    <row r="139" spans="2:159" x14ac:dyDescent="0.25">
      <c r="DY139" s="25" t="s">
        <v>697</v>
      </c>
      <c r="EC139">
        <v>8</v>
      </c>
      <c r="ED139" s="22">
        <v>0.20209478104227763</v>
      </c>
      <c r="EE139" s="96">
        <v>1.0000000000000751E-10</v>
      </c>
      <c r="EF139" s="21">
        <v>5.7886977342360797E-3</v>
      </c>
      <c r="EG139" s="96">
        <v>2020947810.4226243</v>
      </c>
      <c r="EH139" s="21">
        <v>1385.0469640460797</v>
      </c>
      <c r="EI139" s="36">
        <v>34.911959532184611</v>
      </c>
      <c r="EJ139" s="98">
        <v>1.0000000000000751E-7</v>
      </c>
      <c r="EK139" s="26">
        <v>43908</v>
      </c>
      <c r="EL139" s="26" t="s">
        <v>708</v>
      </c>
      <c r="EM139" s="26"/>
      <c r="EN139" s="99">
        <v>33387</v>
      </c>
      <c r="EO139" s="25" t="s">
        <v>709</v>
      </c>
      <c r="EP139" s="26">
        <v>43908</v>
      </c>
      <c r="EQ139" s="25">
        <v>13</v>
      </c>
      <c r="ER139" s="26" t="s">
        <v>710</v>
      </c>
      <c r="ET139" t="s">
        <v>740</v>
      </c>
      <c r="EV139" s="18" t="s">
        <v>741</v>
      </c>
      <c r="EW139" s="25"/>
      <c r="EX139" s="82"/>
      <c r="EY139" s="25"/>
      <c r="EZ139" s="82"/>
      <c r="FA139"/>
      <c r="FC139" s="25"/>
    </row>
    <row r="140" spans="2:159" x14ac:dyDescent="0.25">
      <c r="DY140" s="25" t="s">
        <v>697</v>
      </c>
      <c r="DZ140" s="76">
        <v>43911.866342592592</v>
      </c>
      <c r="EB140" s="26">
        <v>43896</v>
      </c>
      <c r="EC140">
        <v>8</v>
      </c>
      <c r="ED140">
        <v>0.20209478104227763</v>
      </c>
      <c r="EE140" s="95">
        <v>1.0000000000000751E-10</v>
      </c>
      <c r="EF140">
        <v>5.7886977342360797E-3</v>
      </c>
      <c r="EG140" s="96">
        <v>2020947810.4226243</v>
      </c>
      <c r="EH140" s="19">
        <v>1753.8770216205796</v>
      </c>
      <c r="EI140" s="12">
        <v>34.911959532184611</v>
      </c>
      <c r="EJ140" s="98">
        <v>1.0000000000000751E-7</v>
      </c>
      <c r="EK140" s="26">
        <v>43910</v>
      </c>
      <c r="EL140" t="s">
        <v>708</v>
      </c>
      <c r="EN140" s="99">
        <v>40298</v>
      </c>
      <c r="EO140" s="25" t="s">
        <v>709</v>
      </c>
      <c r="EP140" s="26">
        <v>43910</v>
      </c>
      <c r="EQ140" s="25">
        <v>15</v>
      </c>
      <c r="ER140" t="s">
        <v>710</v>
      </c>
      <c r="ET140" t="s">
        <v>740</v>
      </c>
      <c r="EV140" s="25" t="s">
        <v>1079</v>
      </c>
      <c r="EW140" s="25"/>
      <c r="EX140" s="82"/>
      <c r="EZ140" s="82"/>
      <c r="FA140"/>
      <c r="FC140" s="25"/>
    </row>
    <row r="141" spans="2:159" x14ac:dyDescent="0.25">
      <c r="DY141" s="25" t="s">
        <v>697</v>
      </c>
      <c r="EC141">
        <v>8</v>
      </c>
      <c r="ED141">
        <v>0.20209478104227763</v>
      </c>
      <c r="EE141" s="95">
        <v>1.0000000000000751E-10</v>
      </c>
      <c r="EF141">
        <v>5.7886977342360797E-3</v>
      </c>
      <c r="EG141" s="96">
        <v>2020947810.4226243</v>
      </c>
      <c r="EH141" s="19">
        <v>1753.8770216205796</v>
      </c>
      <c r="EI141" s="12">
        <v>34.911959532184611</v>
      </c>
      <c r="EJ141" s="98">
        <v>1.0000000000000751E-7</v>
      </c>
      <c r="EK141" s="26">
        <v>43910</v>
      </c>
      <c r="EL141" t="s">
        <v>708</v>
      </c>
      <c r="EN141" s="99">
        <v>40298</v>
      </c>
      <c r="EO141" s="25" t="s">
        <v>709</v>
      </c>
      <c r="EP141" s="26">
        <v>43910</v>
      </c>
      <c r="EQ141" s="25">
        <v>15</v>
      </c>
      <c r="ER141" t="s">
        <v>710</v>
      </c>
      <c r="ET141" t="s">
        <v>740</v>
      </c>
      <c r="EV141" s="25" t="s">
        <v>1018</v>
      </c>
      <c r="EW141" s="25"/>
      <c r="EX141" s="82"/>
      <c r="EZ141" s="82"/>
      <c r="FA141"/>
      <c r="FC141" s="25"/>
    </row>
    <row r="142" spans="2:159" x14ac:dyDescent="0.25">
      <c r="DY142" s="25" t="s">
        <v>697</v>
      </c>
      <c r="DZ142" s="76">
        <v>43911.89398148148</v>
      </c>
      <c r="EB142" s="26">
        <v>43896</v>
      </c>
      <c r="EC142">
        <v>8</v>
      </c>
      <c r="ED142">
        <v>0.20209478104227763</v>
      </c>
      <c r="EE142" s="95">
        <v>1.0000000000000751E-10</v>
      </c>
      <c r="EF142">
        <v>5.7886977342360797E-3</v>
      </c>
      <c r="EG142" s="96">
        <v>2020947810.4226243</v>
      </c>
      <c r="EH142">
        <v>2141.4153557262753</v>
      </c>
      <c r="EI142">
        <v>34.911959532184611</v>
      </c>
      <c r="EJ142" s="98">
        <v>1.0000000000000751E-7</v>
      </c>
      <c r="EK142" s="26">
        <v>43911</v>
      </c>
      <c r="EL142" t="s">
        <v>708</v>
      </c>
      <c r="EN142" s="99">
        <v>46456</v>
      </c>
      <c r="EO142" s="25" t="s">
        <v>709</v>
      </c>
      <c r="EP142" s="26">
        <v>43911</v>
      </c>
      <c r="EQ142" s="25">
        <v>16</v>
      </c>
      <c r="ER142" t="s">
        <v>710</v>
      </c>
      <c r="ET142" t="s">
        <v>740</v>
      </c>
      <c r="EV142" s="25" t="s">
        <v>1080</v>
      </c>
      <c r="EW142" s="25"/>
      <c r="EX142" s="82"/>
      <c r="EZ142" s="82"/>
      <c r="FA142"/>
      <c r="FC142" s="25"/>
    </row>
    <row r="143" spans="2:159" x14ac:dyDescent="0.25">
      <c r="DY143" s="25" t="s">
        <v>697</v>
      </c>
      <c r="DZ143" s="76">
        <v>43912.78765046296</v>
      </c>
      <c r="EB143" s="26">
        <v>43896</v>
      </c>
      <c r="EC143">
        <v>8</v>
      </c>
      <c r="ED143">
        <v>0.20209478104227763</v>
      </c>
      <c r="EE143" s="95">
        <v>1.0000000000000751E-10</v>
      </c>
      <c r="EF143">
        <v>5.7886977342360797E-3</v>
      </c>
      <c r="EG143" s="96">
        <v>2020947810.4226243</v>
      </c>
      <c r="EH143">
        <v>2141.4153557262753</v>
      </c>
      <c r="EI143">
        <v>34.911959532184611</v>
      </c>
      <c r="EJ143" s="98">
        <v>1.0000000000000751E-7</v>
      </c>
      <c r="EK143" s="26">
        <v>43911</v>
      </c>
      <c r="EL143" s="25" t="s">
        <v>708</v>
      </c>
      <c r="EN143" s="99">
        <v>46456</v>
      </c>
      <c r="EO143" s="25" t="s">
        <v>709</v>
      </c>
      <c r="EP143" s="26">
        <v>43911</v>
      </c>
      <c r="EQ143" s="25">
        <v>16</v>
      </c>
      <c r="ER143" t="s">
        <v>1160</v>
      </c>
      <c r="ET143" t="s">
        <v>740</v>
      </c>
      <c r="EV143" t="s">
        <v>1161</v>
      </c>
      <c r="EW143" s="25"/>
      <c r="EX143" s="82"/>
      <c r="EY143" s="25"/>
      <c r="EZ143" s="82"/>
      <c r="FA143"/>
      <c r="FC143" s="25"/>
    </row>
    <row r="144" spans="2:159" x14ac:dyDescent="0.25">
      <c r="DY144" s="25" t="s">
        <v>697</v>
      </c>
      <c r="DZ144" s="76">
        <v>43913.567025462966</v>
      </c>
      <c r="EB144" s="26">
        <v>43896</v>
      </c>
      <c r="EC144">
        <v>8</v>
      </c>
      <c r="ED144">
        <v>0.20209478104227763</v>
      </c>
      <c r="EE144" s="95">
        <v>1.0000000000000751E-10</v>
      </c>
      <c r="EF144">
        <v>5.7886977342360797E-3</v>
      </c>
      <c r="EG144" s="96">
        <v>2020947810.4226243</v>
      </c>
      <c r="EH144">
        <v>3735.5046930197191</v>
      </c>
      <c r="EI144">
        <v>34.911959532184611</v>
      </c>
      <c r="EJ144" s="98">
        <v>1.0000000000000751E-7</v>
      </c>
      <c r="EK144" s="26">
        <v>43913</v>
      </c>
      <c r="EL144" t="s">
        <v>708</v>
      </c>
      <c r="EN144" s="99">
        <v>56272</v>
      </c>
      <c r="EO144" t="s">
        <v>709</v>
      </c>
      <c r="EP144" s="26">
        <v>43913</v>
      </c>
      <c r="EQ144" s="25">
        <v>18</v>
      </c>
      <c r="ER144" t="s">
        <v>1160</v>
      </c>
      <c r="ET144" t="s">
        <v>740</v>
      </c>
      <c r="EV144" s="25" t="s">
        <v>1298</v>
      </c>
      <c r="EX144" s="82"/>
      <c r="EZ144" s="82"/>
      <c r="FA144"/>
      <c r="FC144" s="25"/>
    </row>
    <row r="145" spans="129:159" x14ac:dyDescent="0.25">
      <c r="DY145" s="25" t="s">
        <v>697</v>
      </c>
      <c r="DZ145" s="76">
        <v>43913.570497685185</v>
      </c>
      <c r="EB145" s="26">
        <v>43896</v>
      </c>
      <c r="EC145">
        <v>8</v>
      </c>
      <c r="ED145">
        <v>0.20209478104227763</v>
      </c>
      <c r="EE145" s="95">
        <v>1.0000000000000751E-10</v>
      </c>
      <c r="EF145">
        <v>5.7886977342360797E-3</v>
      </c>
      <c r="EG145" s="96">
        <v>2020947810.4226243</v>
      </c>
      <c r="EH145">
        <v>7900.5352282767808</v>
      </c>
      <c r="EI145">
        <v>34.911959532184611</v>
      </c>
      <c r="EJ145" s="98">
        <v>1.0000000000000751E-7</v>
      </c>
      <c r="EK145" s="26">
        <v>43913</v>
      </c>
      <c r="EL145" t="s">
        <v>708</v>
      </c>
      <c r="EN145" s="99">
        <v>56272</v>
      </c>
      <c r="EO145" t="s">
        <v>709</v>
      </c>
      <c r="EP145" s="26">
        <v>43913</v>
      </c>
      <c r="EQ145" s="25">
        <v>18</v>
      </c>
      <c r="ER145" t="s">
        <v>1160</v>
      </c>
      <c r="ET145" t="s">
        <v>740</v>
      </c>
      <c r="EV145" s="25" t="s">
        <v>1298</v>
      </c>
      <c r="EX145" s="82"/>
      <c r="EZ145" s="82"/>
      <c r="FA145"/>
      <c r="FC145" s="25"/>
    </row>
    <row r="146" spans="129:159" x14ac:dyDescent="0.25">
      <c r="DY146" s="26" t="s">
        <v>697</v>
      </c>
      <c r="DZ146" s="76">
        <v>43915.000335648147</v>
      </c>
      <c r="EB146" s="26">
        <v>43896</v>
      </c>
      <c r="EC146">
        <v>8</v>
      </c>
      <c r="ED146">
        <v>0.20209478104227763</v>
      </c>
      <c r="EE146">
        <v>1.0000000000000751E-10</v>
      </c>
      <c r="EF146">
        <v>5.7886977342360797E-3</v>
      </c>
      <c r="EG146" s="95">
        <v>2020947810.4226243</v>
      </c>
      <c r="EH146">
        <v>7900.5352282767808</v>
      </c>
      <c r="EI146">
        <v>34.911959532184611</v>
      </c>
      <c r="EJ146" s="97">
        <v>1.0000000000000751E-7</v>
      </c>
      <c r="EK146" s="26">
        <v>43913</v>
      </c>
      <c r="EL146" t="s">
        <v>708</v>
      </c>
      <c r="EM146">
        <v>56272</v>
      </c>
      <c r="EN146" s="25">
        <v>56272</v>
      </c>
      <c r="EO146" s="98" t="s">
        <v>709</v>
      </c>
      <c r="EP146" s="26">
        <v>43913</v>
      </c>
      <c r="EQ146" s="25">
        <v>18</v>
      </c>
      <c r="ER146" t="s">
        <v>1590</v>
      </c>
      <c r="ET146" t="s">
        <v>740</v>
      </c>
      <c r="EV146" s="25" t="s">
        <v>1591</v>
      </c>
      <c r="EW146" s="82">
        <v>56272</v>
      </c>
      <c r="EX146" s="82"/>
      <c r="FA146"/>
      <c r="FC146" s="25"/>
    </row>
    <row r="147" spans="129:159" x14ac:dyDescent="0.25">
      <c r="DY147" s="26" t="s">
        <v>697</v>
      </c>
      <c r="DZ147" s="76">
        <v>43915.819108796299</v>
      </c>
      <c r="EB147" s="26">
        <v>43896</v>
      </c>
      <c r="EC147">
        <v>8</v>
      </c>
      <c r="ED147">
        <v>0.20209478104227763</v>
      </c>
      <c r="EE147">
        <v>1.0000000000000751E-10</v>
      </c>
      <c r="EF147">
        <v>5.7886977342360797E-3</v>
      </c>
      <c r="EG147" s="95">
        <v>2020947810.4226243</v>
      </c>
      <c r="EH147">
        <v>11568.303554855429</v>
      </c>
      <c r="EI147">
        <v>34.911959532184611</v>
      </c>
      <c r="EJ147" s="97">
        <v>1.0000000000000751E-7</v>
      </c>
      <c r="EK147" s="26">
        <v>43915</v>
      </c>
      <c r="EL147" t="s">
        <v>708</v>
      </c>
      <c r="EM147">
        <v>67148</v>
      </c>
      <c r="EN147" s="25">
        <v>67148</v>
      </c>
      <c r="EO147" s="98" t="s">
        <v>709</v>
      </c>
      <c r="EP147" s="26">
        <v>43915</v>
      </c>
      <c r="EQ147" s="25">
        <v>20</v>
      </c>
      <c r="ER147" t="s">
        <v>1772</v>
      </c>
      <c r="ET147" t="s">
        <v>740</v>
      </c>
      <c r="EV147" s="25" t="s">
        <v>1773</v>
      </c>
      <c r="EW147" s="82">
        <v>67148</v>
      </c>
      <c r="EX147" s="82"/>
      <c r="FA147"/>
      <c r="FC147" s="25"/>
    </row>
    <row r="148" spans="129:159" x14ac:dyDescent="0.25">
      <c r="DY148" s="26" t="s">
        <v>697</v>
      </c>
      <c r="DZ148" s="76">
        <v>43915.873784722222</v>
      </c>
      <c r="EB148" s="26">
        <v>43896</v>
      </c>
      <c r="EC148">
        <v>8</v>
      </c>
      <c r="ED148">
        <v>0.20209478104227763</v>
      </c>
      <c r="EE148">
        <v>1.0000000000000751E-10</v>
      </c>
      <c r="EF148">
        <v>5.7886977342360797E-3</v>
      </c>
      <c r="EG148" s="95">
        <v>2020947810.4226243</v>
      </c>
      <c r="EH148">
        <v>11568.303554855429</v>
      </c>
      <c r="EI148">
        <v>34.911959532184611</v>
      </c>
      <c r="EJ148" s="97">
        <v>1.0000000000000751E-7</v>
      </c>
      <c r="EK148" s="26">
        <v>43915</v>
      </c>
      <c r="EL148" s="26" t="s">
        <v>708</v>
      </c>
      <c r="EM148">
        <v>67148</v>
      </c>
      <c r="EN148" s="25">
        <v>67148</v>
      </c>
      <c r="EO148" s="98" t="s">
        <v>709</v>
      </c>
      <c r="EP148" s="26">
        <v>43915</v>
      </c>
      <c r="EQ148" s="25">
        <v>20</v>
      </c>
      <c r="ER148" t="s">
        <v>1772</v>
      </c>
      <c r="ET148" t="s">
        <v>740</v>
      </c>
      <c r="EV148" s="25" t="s">
        <v>1773</v>
      </c>
      <c r="EW148" s="82">
        <v>67148</v>
      </c>
      <c r="EX148" s="25"/>
      <c r="EY148" s="82"/>
      <c r="FA148"/>
      <c r="FC148" s="25"/>
    </row>
    <row r="149" spans="129:159" x14ac:dyDescent="0.25">
      <c r="DY149" s="26" t="s">
        <v>697</v>
      </c>
      <c r="DZ149" s="76">
        <v>43916.899189814816</v>
      </c>
      <c r="EA149" s="26">
        <v>43895</v>
      </c>
      <c r="EB149" s="26">
        <v>43896</v>
      </c>
      <c r="EC149">
        <v>8</v>
      </c>
      <c r="ED149">
        <v>0.20239862152010588</v>
      </c>
      <c r="EE149" s="95">
        <v>1.8820245991676858E-6</v>
      </c>
      <c r="EF149">
        <v>3093.028561102637</v>
      </c>
      <c r="EG149" s="25">
        <v>107543.02659466591</v>
      </c>
      <c r="EH149" s="97">
        <v>1782.8745149015201</v>
      </c>
      <c r="EI149" s="26">
        <v>6.3555011471379494E-5</v>
      </c>
      <c r="EJ149" s="25">
        <v>1.8820245991676857E-3</v>
      </c>
      <c r="EK149" s="26">
        <v>43916</v>
      </c>
      <c r="EL149" s="98" t="s">
        <v>1892</v>
      </c>
      <c r="EM149">
        <v>72787</v>
      </c>
      <c r="EN149" s="26">
        <v>72787</v>
      </c>
      <c r="EO149" t="s">
        <v>1890</v>
      </c>
      <c r="EP149" s="26">
        <v>43916</v>
      </c>
      <c r="EQ149" s="25">
        <v>22</v>
      </c>
      <c r="ER149" t="s">
        <v>1893</v>
      </c>
      <c r="ET149" s="82" t="s">
        <v>1891</v>
      </c>
      <c r="EV149" s="82" t="s">
        <v>1894</v>
      </c>
      <c r="EW149">
        <v>72787</v>
      </c>
      <c r="EX149" s="25"/>
      <c r="FA149"/>
      <c r="FC149" s="25"/>
    </row>
    <row r="150" spans="129:159" x14ac:dyDescent="0.25">
      <c r="DY150" s="26" t="s">
        <v>1428</v>
      </c>
      <c r="DZ150" s="76">
        <v>43915.318877314814</v>
      </c>
      <c r="EA150" s="26">
        <v>43852</v>
      </c>
      <c r="EB150" s="26">
        <v>43852</v>
      </c>
      <c r="EC150">
        <v>9</v>
      </c>
      <c r="ED150">
        <v>0.2221429979133962</v>
      </c>
      <c r="EE150">
        <v>2.7432177917623539E-6</v>
      </c>
      <c r="EF150">
        <v>1537.6493038446686</v>
      </c>
      <c r="EG150" s="95">
        <v>80978.987005870425</v>
      </c>
      <c r="EH150">
        <v>2050.4296164574589</v>
      </c>
      <c r="EI150">
        <v>1.4172600373876473E-4</v>
      </c>
      <c r="EJ150" s="97">
        <v>2.7432177917623541E-3</v>
      </c>
      <c r="EK150" s="26">
        <v>43913</v>
      </c>
      <c r="EL150" t="s">
        <v>1051</v>
      </c>
      <c r="EM150">
        <v>80978.987005870425</v>
      </c>
      <c r="EN150" s="25">
        <v>81439</v>
      </c>
      <c r="EO150" s="98" t="s">
        <v>1148</v>
      </c>
      <c r="EP150" s="26">
        <v>43913</v>
      </c>
      <c r="EQ150" s="25">
        <v>62</v>
      </c>
      <c r="ER150" t="s">
        <v>1149</v>
      </c>
      <c r="ET150" t="s">
        <v>1150</v>
      </c>
      <c r="EV150" s="25" t="s">
        <v>1592</v>
      </c>
      <c r="EW150" s="82">
        <v>565.81431751461605</v>
      </c>
      <c r="EX150" s="82"/>
      <c r="FA150"/>
      <c r="FC150" s="25"/>
    </row>
    <row r="151" spans="129:159" x14ac:dyDescent="0.25">
      <c r="DY151" s="26" t="s">
        <v>1428</v>
      </c>
      <c r="DZ151" s="76">
        <v>43915.608715277776</v>
      </c>
      <c r="EA151" s="26">
        <v>43852</v>
      </c>
      <c r="EB151" s="26">
        <v>43852</v>
      </c>
      <c r="EC151">
        <v>9</v>
      </c>
      <c r="ED151">
        <v>0.21975775563198646</v>
      </c>
      <c r="EE151">
        <v>3.6338224980575122E-6</v>
      </c>
      <c r="EF151">
        <v>1536.1807551478412</v>
      </c>
      <c r="EG151" s="95">
        <v>60475.643967051132</v>
      </c>
      <c r="EH151">
        <v>5898.8952764857522</v>
      </c>
      <c r="EI151">
        <v>1.3942079844779406E-4</v>
      </c>
      <c r="EJ151" s="97">
        <v>3.633822498057512E-3</v>
      </c>
      <c r="EK151" s="26">
        <v>43913</v>
      </c>
      <c r="EL151" t="s">
        <v>1594</v>
      </c>
      <c r="EM151">
        <v>60475.643967051132</v>
      </c>
      <c r="EN151" s="25">
        <v>67800</v>
      </c>
      <c r="EO151" s="98" t="s">
        <v>1595</v>
      </c>
      <c r="EP151" s="26">
        <v>43913</v>
      </c>
      <c r="EQ151" s="25">
        <v>62</v>
      </c>
      <c r="ER151" t="s">
        <v>1596</v>
      </c>
      <c r="ET151" t="s">
        <v>1597</v>
      </c>
      <c r="EV151" s="25" t="s">
        <v>1598</v>
      </c>
      <c r="EW151" s="82">
        <v>11589.74358974359</v>
      </c>
      <c r="EX151" s="82"/>
      <c r="FA151"/>
      <c r="FC151" s="25"/>
    </row>
    <row r="152" spans="129:159" x14ac:dyDescent="0.25">
      <c r="DY152" s="26" t="s">
        <v>1428</v>
      </c>
      <c r="EA152" s="26">
        <v>43852</v>
      </c>
      <c r="EB152" s="26">
        <v>43852</v>
      </c>
      <c r="EC152">
        <v>9</v>
      </c>
      <c r="ED152">
        <v>0.2221429979133962</v>
      </c>
      <c r="EE152">
        <v>2.7432177917623539E-6</v>
      </c>
      <c r="EF152">
        <v>1537.6493038446686</v>
      </c>
      <c r="EG152" s="95">
        <v>80978.987005870425</v>
      </c>
      <c r="EH152">
        <v>56707.285815506031</v>
      </c>
      <c r="EI152">
        <v>1.4172600373876473E-4</v>
      </c>
      <c r="EJ152" s="97">
        <v>2.7432177917623541E-3</v>
      </c>
      <c r="EK152" s="26">
        <v>43913</v>
      </c>
      <c r="EL152" t="s">
        <v>1051</v>
      </c>
      <c r="EM152">
        <v>80976.687904072765</v>
      </c>
      <c r="EN152" s="25">
        <v>81439</v>
      </c>
      <c r="EO152" s="98" t="s">
        <v>1148</v>
      </c>
      <c r="EP152" s="26">
        <v>43913</v>
      </c>
      <c r="EQ152" s="25">
        <v>62</v>
      </c>
      <c r="ER152" t="s">
        <v>1149</v>
      </c>
      <c r="ET152" t="s">
        <v>1150</v>
      </c>
      <c r="EV152" s="25" t="s">
        <v>1592</v>
      </c>
      <c r="EW152" s="82">
        <v>565.81431751461605</v>
      </c>
      <c r="EX152" s="82"/>
      <c r="FA152"/>
      <c r="FC152" s="25"/>
    </row>
    <row r="153" spans="129:159" x14ac:dyDescent="0.25">
      <c r="DY153" s="26" t="s">
        <v>1428</v>
      </c>
      <c r="DZ153" s="76">
        <v>43915.873842592591</v>
      </c>
      <c r="EA153" s="26">
        <v>43852</v>
      </c>
      <c r="EB153" s="26">
        <v>43852</v>
      </c>
      <c r="EC153">
        <v>9</v>
      </c>
      <c r="ED153">
        <v>0.21975775563230476</v>
      </c>
      <c r="EE153">
        <v>3.264904118030584E-6</v>
      </c>
      <c r="EF153">
        <v>1536.180755147765</v>
      </c>
      <c r="EG153" s="95">
        <v>67309.099344964648</v>
      </c>
      <c r="EH153">
        <v>3228.6152384145184</v>
      </c>
      <c r="EI153">
        <v>1.397897168280353E-4</v>
      </c>
      <c r="EJ153" s="97">
        <v>3.2649041180305839E-3</v>
      </c>
      <c r="EK153" s="26">
        <v>43914</v>
      </c>
      <c r="EL153" s="26" t="s">
        <v>1804</v>
      </c>
      <c r="EM153">
        <v>67309.099344964648</v>
      </c>
      <c r="EN153">
        <v>67801</v>
      </c>
      <c r="EO153" s="98" t="s">
        <v>1805</v>
      </c>
      <c r="EP153" s="26">
        <v>43914</v>
      </c>
      <c r="EQ153">
        <v>63</v>
      </c>
      <c r="ER153" t="s">
        <v>1806</v>
      </c>
      <c r="ET153" t="s">
        <v>1807</v>
      </c>
      <c r="EV153" t="s">
        <v>1808</v>
      </c>
      <c r="EW153" s="82">
        <v>11589.914529914531</v>
      </c>
      <c r="EY153" s="82"/>
      <c r="FA153"/>
    </row>
    <row r="154" spans="129:159" x14ac:dyDescent="0.25">
      <c r="DY154" s="26" t="s">
        <v>1428</v>
      </c>
      <c r="DZ154" s="76">
        <v>43916.899212962962</v>
      </c>
      <c r="EA154" s="26">
        <v>43852</v>
      </c>
      <c r="EB154" s="26">
        <v>43852</v>
      </c>
      <c r="EC154">
        <v>9</v>
      </c>
      <c r="ED154">
        <v>0.21975775563230476</v>
      </c>
      <c r="EE154" s="95">
        <v>3.264904118030584E-6</v>
      </c>
      <c r="EF154">
        <v>1536.180755147765</v>
      </c>
      <c r="EG154" s="25">
        <v>67309.099344964648</v>
      </c>
      <c r="EH154" s="97">
        <v>3228.6152384145184</v>
      </c>
      <c r="EI154" s="26">
        <v>1.397897168280353E-4</v>
      </c>
      <c r="EJ154" s="25">
        <v>3.2649041180305839E-3</v>
      </c>
      <c r="EK154" s="26">
        <v>43914</v>
      </c>
      <c r="EL154" s="98" t="s">
        <v>1804</v>
      </c>
      <c r="EM154">
        <v>67309.099344964648</v>
      </c>
      <c r="EN154" s="26">
        <v>67801</v>
      </c>
      <c r="EO154" t="s">
        <v>1805</v>
      </c>
      <c r="EP154" s="26">
        <v>43914</v>
      </c>
      <c r="EQ154" s="25">
        <v>63</v>
      </c>
      <c r="ER154" t="s">
        <v>1806</v>
      </c>
      <c r="ET154" s="82" t="s">
        <v>1807</v>
      </c>
      <c r="EV154" s="82" t="s">
        <v>1808</v>
      </c>
      <c r="EW154">
        <v>11589.914529914531</v>
      </c>
      <c r="EX154" s="25"/>
      <c r="FA154"/>
      <c r="FC154" s="25"/>
    </row>
  </sheetData>
  <sortState ref="DY11:FC154">
    <sortCondition ref="EC11:EC154"/>
    <sortCondition ref="EK11:EK154"/>
    <sortCondition ref="DZ11:DZ154"/>
  </sortState>
  <hyperlinks>
    <hyperlink ref="C129" r:id="rId1" location="current-status" display="https://www.health.gov.au/news/health-alerts/novel-coronavirus-2019-ncov-health-alert - current-status"/>
    <hyperlink ref="B126" r:id="rId2"/>
  </hyperlinks>
  <pageMargins left="0.7" right="0.7" top="0.75" bottom="0.75" header="0.3" footer="0.3"/>
  <ignoredErrors>
    <ignoredError sqref="AI11 AO11" calculatedColumn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GetJHConfirmedData">
                <anchor moveWithCells="1" sizeWithCells="1">
                  <from>
                    <xdr:col>0</xdr:col>
                    <xdr:colOff>38100</xdr:colOff>
                    <xdr:row>3</xdr:row>
                    <xdr:rowOff>161925</xdr:rowOff>
                  </from>
                  <to>
                    <xdr:col>1</xdr:col>
                    <xdr:colOff>561975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SolveAll">
                <anchor moveWithCells="1" sizeWithCells="1">
                  <from>
                    <xdr:col>1</xdr:col>
                    <xdr:colOff>847725</xdr:colOff>
                    <xdr:row>4</xdr:row>
                    <xdr:rowOff>19050</xdr:rowOff>
                  </from>
                  <to>
                    <xdr:col>2</xdr:col>
                    <xdr:colOff>171450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1"/>
  <sheetViews>
    <sheetView topLeftCell="DC1" workbookViewId="0">
      <selection activeCell="DY11" sqref="DY11"/>
    </sheetView>
  </sheetViews>
  <sheetFormatPr defaultRowHeight="15" x14ac:dyDescent="0.25"/>
  <cols>
    <col min="1" max="1" width="10.42578125" customWidth="1"/>
    <col min="2" max="2" width="74.28515625" customWidth="1"/>
    <col min="7" max="7" width="10.7109375" bestFit="1" customWidth="1"/>
    <col min="11" max="11" width="10.140625" customWidth="1"/>
    <col min="12" max="12" width="10.140625" style="25" customWidth="1"/>
    <col min="14" max="14" width="12.85546875" customWidth="1"/>
    <col min="15" max="15" width="10.7109375" style="11" bestFit="1" customWidth="1"/>
    <col min="16" max="16" width="13.5703125" customWidth="1"/>
    <col min="17" max="17" width="12" customWidth="1"/>
    <col min="18" max="18" width="15.85546875" customWidth="1"/>
  </cols>
  <sheetData>
    <row r="1" spans="1:20" ht="17.25" thickBot="1" x14ac:dyDescent="0.35">
      <c r="A1" s="38" t="s">
        <v>516</v>
      </c>
      <c r="B1" s="38" t="s">
        <v>495</v>
      </c>
      <c r="E1" t="s">
        <v>517</v>
      </c>
      <c r="F1" t="s">
        <v>970</v>
      </c>
      <c r="G1" t="s">
        <v>969</v>
      </c>
      <c r="H1" t="s">
        <v>971</v>
      </c>
      <c r="K1" t="s">
        <v>517</v>
      </c>
      <c r="L1" s="25" t="s">
        <v>1435</v>
      </c>
      <c r="M1" t="s">
        <v>1429</v>
      </c>
      <c r="N1" t="s">
        <v>564</v>
      </c>
      <c r="O1" s="11" t="s">
        <v>1588</v>
      </c>
      <c r="P1" s="11" t="s">
        <v>1589</v>
      </c>
      <c r="Q1" t="s">
        <v>155</v>
      </c>
      <c r="R1" t="s">
        <v>1023</v>
      </c>
      <c r="S1" t="s">
        <v>970</v>
      </c>
      <c r="T1" t="s">
        <v>1775</v>
      </c>
    </row>
    <row r="2" spans="1:20" ht="33.75" thickBot="1" x14ac:dyDescent="0.3">
      <c r="A2" s="39">
        <v>0</v>
      </c>
      <c r="B2" s="39" t="s">
        <v>496</v>
      </c>
      <c r="E2" s="25" t="s">
        <v>698</v>
      </c>
      <c r="F2" t="s">
        <v>48</v>
      </c>
      <c r="G2" s="26">
        <v>43851</v>
      </c>
      <c r="H2">
        <v>1</v>
      </c>
      <c r="K2" s="25" t="s">
        <v>48</v>
      </c>
      <c r="L2" s="25" t="s">
        <v>698</v>
      </c>
      <c r="N2" s="121">
        <v>25364000</v>
      </c>
      <c r="O2" s="11">
        <v>1</v>
      </c>
      <c r="P2" s="26">
        <v>43851</v>
      </c>
      <c r="Q2" s="26">
        <v>43855</v>
      </c>
      <c r="R2" s="26">
        <v>43855</v>
      </c>
      <c r="S2" t="s">
        <v>48</v>
      </c>
      <c r="T2">
        <v>0</v>
      </c>
    </row>
    <row r="3" spans="1:20" ht="17.25" thickBot="1" x14ac:dyDescent="0.3">
      <c r="A3" s="39">
        <v>1</v>
      </c>
      <c r="B3" s="39" t="s">
        <v>497</v>
      </c>
      <c r="E3" t="s">
        <v>153</v>
      </c>
      <c r="G3" s="26">
        <v>43851</v>
      </c>
      <c r="H3">
        <v>-1</v>
      </c>
      <c r="K3" s="25" t="s">
        <v>48</v>
      </c>
      <c r="L3" s="25" t="s">
        <v>153</v>
      </c>
      <c r="M3" t="s">
        <v>153</v>
      </c>
      <c r="N3" s="121">
        <v>8080000</v>
      </c>
      <c r="O3" s="11">
        <v>0</v>
      </c>
      <c r="P3" s="26">
        <v>43851</v>
      </c>
      <c r="Q3" s="58">
        <v>43855</v>
      </c>
      <c r="R3" s="26">
        <v>43855</v>
      </c>
      <c r="S3" t="s">
        <v>47</v>
      </c>
      <c r="T3">
        <v>1</v>
      </c>
    </row>
    <row r="4" spans="1:20" ht="17.25" thickBot="1" x14ac:dyDescent="0.3">
      <c r="A4" s="39">
        <v>2</v>
      </c>
      <c r="B4" s="39" t="s">
        <v>498</v>
      </c>
      <c r="E4" t="s">
        <v>58</v>
      </c>
      <c r="F4" t="s">
        <v>58</v>
      </c>
      <c r="G4" s="26">
        <v>43851</v>
      </c>
      <c r="H4" s="25">
        <v>0</v>
      </c>
      <c r="K4" s="25" t="s">
        <v>58</v>
      </c>
      <c r="L4" s="25" t="s">
        <v>58</v>
      </c>
      <c r="N4" s="121">
        <v>60485000</v>
      </c>
      <c r="O4" s="11">
        <v>0</v>
      </c>
      <c r="P4" s="26">
        <v>43851</v>
      </c>
      <c r="Q4" s="26">
        <v>43860</v>
      </c>
      <c r="R4" s="26">
        <v>43860</v>
      </c>
      <c r="S4" t="s">
        <v>58</v>
      </c>
      <c r="T4" s="25">
        <v>2</v>
      </c>
    </row>
    <row r="5" spans="1:20" ht="17.25" thickBot="1" x14ac:dyDescent="0.3">
      <c r="A5" s="39">
        <v>3</v>
      </c>
      <c r="B5" s="39" t="s">
        <v>499</v>
      </c>
      <c r="E5" t="s">
        <v>37</v>
      </c>
      <c r="F5" t="s">
        <v>37</v>
      </c>
      <c r="G5" s="26">
        <v>43871</v>
      </c>
      <c r="H5" s="25">
        <v>1</v>
      </c>
      <c r="K5" s="25" t="s">
        <v>209</v>
      </c>
      <c r="L5" s="25" t="s">
        <v>37</v>
      </c>
      <c r="N5" s="121">
        <v>329227746</v>
      </c>
      <c r="O5" s="11">
        <v>0</v>
      </c>
      <c r="P5" s="26">
        <v>43851</v>
      </c>
      <c r="Q5" s="26">
        <v>43852</v>
      </c>
      <c r="R5" s="26">
        <v>43885</v>
      </c>
      <c r="S5" t="s">
        <v>37</v>
      </c>
      <c r="T5" s="25">
        <v>3</v>
      </c>
    </row>
    <row r="6" spans="1:20" ht="17.25" thickBot="1" x14ac:dyDescent="0.3">
      <c r="A6" s="39">
        <v>4</v>
      </c>
      <c r="B6" s="39" t="s">
        <v>500</v>
      </c>
      <c r="E6" t="s">
        <v>176</v>
      </c>
      <c r="F6" t="s">
        <v>176</v>
      </c>
      <c r="G6" s="26">
        <v>43851</v>
      </c>
      <c r="H6" s="25">
        <v>1</v>
      </c>
      <c r="K6" s="25" t="s">
        <v>176</v>
      </c>
      <c r="L6" s="25" t="s">
        <v>176</v>
      </c>
      <c r="N6" s="121">
        <v>1439323776</v>
      </c>
      <c r="O6" s="11">
        <v>1</v>
      </c>
      <c r="P6" s="26">
        <v>43851</v>
      </c>
      <c r="Q6" s="26">
        <v>43852</v>
      </c>
      <c r="R6" s="26">
        <v>43852</v>
      </c>
      <c r="S6" t="s">
        <v>176</v>
      </c>
      <c r="T6" s="25">
        <v>4</v>
      </c>
    </row>
    <row r="7" spans="1:20" ht="17.25" thickBot="1" x14ac:dyDescent="0.3">
      <c r="A7" s="39">
        <v>5</v>
      </c>
      <c r="B7" s="39" t="s">
        <v>501</v>
      </c>
      <c r="E7" s="25" t="s">
        <v>976</v>
      </c>
      <c r="F7" t="s">
        <v>194</v>
      </c>
      <c r="G7" s="26">
        <v>43851</v>
      </c>
      <c r="H7" s="25">
        <v>0</v>
      </c>
      <c r="K7" s="25" t="s">
        <v>194</v>
      </c>
      <c r="L7" s="25" t="s">
        <v>976</v>
      </c>
      <c r="N7" s="121">
        <v>51400000</v>
      </c>
      <c r="O7" s="11">
        <v>0</v>
      </c>
      <c r="P7" s="26">
        <v>43851</v>
      </c>
      <c r="Q7" s="26">
        <v>43852</v>
      </c>
      <c r="R7" s="26">
        <v>43880</v>
      </c>
      <c r="S7" t="s">
        <v>194</v>
      </c>
      <c r="T7" s="25">
        <v>5</v>
      </c>
    </row>
    <row r="8" spans="1:20" ht="17.25" thickBot="1" x14ac:dyDescent="0.3">
      <c r="A8" s="39">
        <v>6</v>
      </c>
      <c r="B8" s="39" t="s">
        <v>502</v>
      </c>
      <c r="E8" s="25" t="s">
        <v>955</v>
      </c>
      <c r="F8" t="s">
        <v>743</v>
      </c>
      <c r="G8" s="26">
        <v>43860</v>
      </c>
      <c r="H8" s="25">
        <v>1</v>
      </c>
      <c r="K8" s="25" t="s">
        <v>743</v>
      </c>
      <c r="L8" s="25" t="s">
        <v>955</v>
      </c>
      <c r="N8" s="121">
        <v>66440000</v>
      </c>
      <c r="O8" s="11">
        <v>1</v>
      </c>
      <c r="P8" s="26">
        <v>43860</v>
      </c>
      <c r="Q8" s="26">
        <v>43860</v>
      </c>
      <c r="R8" s="26">
        <v>43860</v>
      </c>
      <c r="S8" t="s">
        <v>743</v>
      </c>
      <c r="T8" s="25">
        <v>6</v>
      </c>
    </row>
    <row r="9" spans="1:20" ht="17.25" thickBot="1" x14ac:dyDescent="0.3">
      <c r="A9" s="39">
        <v>7</v>
      </c>
      <c r="B9" s="39" t="s">
        <v>503</v>
      </c>
      <c r="E9" s="25" t="s">
        <v>40</v>
      </c>
      <c r="F9" s="25" t="s">
        <v>40</v>
      </c>
      <c r="G9" s="26">
        <v>43852</v>
      </c>
      <c r="H9" s="25">
        <v>0</v>
      </c>
      <c r="K9" s="25" t="s">
        <v>40</v>
      </c>
      <c r="L9" s="25" t="s">
        <v>40</v>
      </c>
      <c r="N9" s="121">
        <v>5850000</v>
      </c>
      <c r="O9" s="11">
        <v>0</v>
      </c>
      <c r="P9" s="26">
        <v>43852</v>
      </c>
      <c r="Q9" s="26">
        <v>43853</v>
      </c>
      <c r="R9" s="26">
        <v>43853</v>
      </c>
      <c r="S9" t="s">
        <v>40</v>
      </c>
      <c r="T9" s="25">
        <v>7</v>
      </c>
    </row>
    <row r="10" spans="1:20" ht="17.25" thickBot="1" x14ac:dyDescent="0.3">
      <c r="A10" s="39">
        <v>8</v>
      </c>
      <c r="B10" s="39" t="s">
        <v>504</v>
      </c>
      <c r="E10" t="s">
        <v>697</v>
      </c>
      <c r="G10" s="26">
        <v>43831</v>
      </c>
      <c r="H10" s="25">
        <v>1</v>
      </c>
      <c r="K10" t="s">
        <v>697</v>
      </c>
      <c r="L10" s="25" t="s">
        <v>697</v>
      </c>
      <c r="N10" s="121"/>
      <c r="P10" s="26">
        <v>43831</v>
      </c>
      <c r="Q10" s="26"/>
      <c r="R10" s="26"/>
      <c r="T10" s="25">
        <v>8</v>
      </c>
    </row>
    <row r="11" spans="1:20" ht="17.25" thickBot="1" x14ac:dyDescent="0.3">
      <c r="A11" s="39">
        <v>9</v>
      </c>
      <c r="B11" s="39" t="s">
        <v>505</v>
      </c>
      <c r="K11" t="s">
        <v>1428</v>
      </c>
      <c r="L11" s="25" t="s">
        <v>1428</v>
      </c>
      <c r="N11" s="121"/>
      <c r="O11" s="11">
        <v>1</v>
      </c>
      <c r="P11" s="26">
        <v>43852</v>
      </c>
      <c r="Q11" s="26">
        <v>43852</v>
      </c>
      <c r="R11" s="26">
        <v>43852</v>
      </c>
      <c r="T11" s="25">
        <v>9</v>
      </c>
    </row>
    <row r="12" spans="1:20" ht="17.25" thickBot="1" x14ac:dyDescent="0.3">
      <c r="A12" s="39">
        <v>10</v>
      </c>
      <c r="B12" s="39" t="s">
        <v>506</v>
      </c>
      <c r="K12" t="s">
        <v>176</v>
      </c>
      <c r="L12" s="25" t="s">
        <v>176</v>
      </c>
      <c r="M12" t="s">
        <v>16</v>
      </c>
      <c r="N12" s="121">
        <v>58500000</v>
      </c>
      <c r="O12" s="11">
        <v>0</v>
      </c>
      <c r="P12" s="26">
        <v>43852</v>
      </c>
      <c r="Q12" s="26">
        <v>43852</v>
      </c>
      <c r="R12" s="26">
        <v>43852</v>
      </c>
      <c r="T12" s="25">
        <v>10</v>
      </c>
    </row>
    <row r="13" spans="1:20" ht="17.25" thickBot="1" x14ac:dyDescent="0.3">
      <c r="A13" s="39">
        <v>11</v>
      </c>
      <c r="B13" s="39" t="s">
        <v>507</v>
      </c>
    </row>
    <row r="14" spans="1:20" ht="17.25" thickBot="1" x14ac:dyDescent="0.3">
      <c r="A14" s="39">
        <v>13</v>
      </c>
      <c r="B14" s="39" t="s">
        <v>508</v>
      </c>
    </row>
    <row r="15" spans="1:20" ht="33.75" thickBot="1" x14ac:dyDescent="0.3">
      <c r="A15" s="39">
        <v>14</v>
      </c>
      <c r="B15" s="39" t="s">
        <v>509</v>
      </c>
      <c r="K15">
        <f>COUNT(tblPopulation[Country])</f>
        <v>0</v>
      </c>
    </row>
    <row r="16" spans="1:20" ht="33.75" thickBot="1" x14ac:dyDescent="0.3">
      <c r="A16" s="39">
        <v>15</v>
      </c>
      <c r="B16" s="39" t="s">
        <v>510</v>
      </c>
    </row>
    <row r="17" spans="1:2" ht="33.75" thickBot="1" x14ac:dyDescent="0.3">
      <c r="A17" s="39">
        <v>16</v>
      </c>
      <c r="B17" s="39" t="s">
        <v>511</v>
      </c>
    </row>
    <row r="18" spans="1:2" ht="17.25" thickBot="1" x14ac:dyDescent="0.3">
      <c r="A18" s="39">
        <v>17</v>
      </c>
      <c r="B18" s="39" t="s">
        <v>512</v>
      </c>
    </row>
    <row r="19" spans="1:2" ht="17.25" thickBot="1" x14ac:dyDescent="0.3">
      <c r="A19" s="39">
        <v>18</v>
      </c>
      <c r="B19" s="39" t="s">
        <v>513</v>
      </c>
    </row>
    <row r="20" spans="1:2" ht="17.25" thickBot="1" x14ac:dyDescent="0.3">
      <c r="A20" s="39">
        <v>19</v>
      </c>
      <c r="B20" s="39" t="s">
        <v>514</v>
      </c>
    </row>
    <row r="21" spans="1:2" ht="16.5" x14ac:dyDescent="0.25">
      <c r="A21" s="39">
        <v>20</v>
      </c>
      <c r="B21" s="39" t="s">
        <v>515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7:G39"/>
  <sheetViews>
    <sheetView topLeftCell="AE10" workbookViewId="0">
      <selection activeCell="BG12" sqref="BG12"/>
    </sheetView>
  </sheetViews>
  <sheetFormatPr defaultRowHeight="15" x14ac:dyDescent="0.25"/>
  <cols>
    <col min="2" max="2" width="20.7109375" bestFit="1" customWidth="1"/>
    <col min="3" max="3" width="28.42578125" bestFit="1" customWidth="1"/>
    <col min="5" max="5" width="9.140625" style="14"/>
  </cols>
  <sheetData>
    <row r="7" spans="1:7" x14ac:dyDescent="0.25">
      <c r="A7" s="31" t="s">
        <v>217</v>
      </c>
      <c r="B7" s="31" t="s">
        <v>218</v>
      </c>
      <c r="C7" s="31" t="s">
        <v>219</v>
      </c>
      <c r="D7" s="31" t="s">
        <v>220</v>
      </c>
    </row>
    <row r="8" spans="1:7" ht="30" x14ac:dyDescent="0.25">
      <c r="C8" t="s">
        <v>542</v>
      </c>
      <c r="D8" t="s">
        <v>543</v>
      </c>
      <c r="E8" s="14" t="s">
        <v>528</v>
      </c>
      <c r="F8" t="s">
        <v>222</v>
      </c>
      <c r="G8" s="32" t="s">
        <v>529</v>
      </c>
    </row>
    <row r="9" spans="1:7" ht="30" x14ac:dyDescent="0.25">
      <c r="E9" s="14" t="s">
        <v>528</v>
      </c>
      <c r="F9" t="s">
        <v>530</v>
      </c>
      <c r="G9" s="32" t="s">
        <v>531</v>
      </c>
    </row>
    <row r="10" spans="1:7" ht="30" x14ac:dyDescent="0.25">
      <c r="E10" s="14" t="s">
        <v>528</v>
      </c>
      <c r="F10" t="s">
        <v>227</v>
      </c>
      <c r="G10" s="32" t="s">
        <v>532</v>
      </c>
    </row>
    <row r="11" spans="1:7" ht="30" x14ac:dyDescent="0.25">
      <c r="E11" s="14" t="s">
        <v>528</v>
      </c>
      <c r="F11" t="s">
        <v>533</v>
      </c>
      <c r="G11" s="32" t="s">
        <v>534</v>
      </c>
    </row>
    <row r="12" spans="1:7" ht="30" x14ac:dyDescent="0.25">
      <c r="E12" s="14" t="s">
        <v>528</v>
      </c>
      <c r="F12" t="s">
        <v>225</v>
      </c>
      <c r="G12" s="32" t="s">
        <v>535</v>
      </c>
    </row>
    <row r="13" spans="1:7" ht="30" x14ac:dyDescent="0.25">
      <c r="E13" s="14" t="s">
        <v>528</v>
      </c>
      <c r="F13" t="s">
        <v>536</v>
      </c>
      <c r="G13" s="32" t="s">
        <v>537</v>
      </c>
    </row>
    <row r="14" spans="1:7" ht="30" x14ac:dyDescent="0.25">
      <c r="E14" s="14" t="s">
        <v>528</v>
      </c>
      <c r="F14" t="s">
        <v>538</v>
      </c>
      <c r="G14" s="32" t="s">
        <v>539</v>
      </c>
    </row>
    <row r="15" spans="1:7" ht="30" x14ac:dyDescent="0.25">
      <c r="E15" s="14" t="s">
        <v>528</v>
      </c>
      <c r="F15" t="s">
        <v>540</v>
      </c>
      <c r="G15" s="32" t="s">
        <v>541</v>
      </c>
    </row>
    <row r="17" spans="3:7" ht="75" x14ac:dyDescent="0.25">
      <c r="C17" s="14" t="s">
        <v>546</v>
      </c>
      <c r="D17" t="s">
        <v>229</v>
      </c>
      <c r="E17" s="14" t="s">
        <v>235</v>
      </c>
      <c r="F17" t="s">
        <v>227</v>
      </c>
      <c r="G17" s="32" t="s">
        <v>544</v>
      </c>
    </row>
    <row r="18" spans="3:7" ht="45" x14ac:dyDescent="0.25">
      <c r="E18" s="14" t="s">
        <v>235</v>
      </c>
      <c r="F18" t="s">
        <v>228</v>
      </c>
      <c r="G18" s="32" t="s">
        <v>545</v>
      </c>
    </row>
    <row r="20" spans="3:7" ht="75" x14ac:dyDescent="0.25">
      <c r="C20" s="14" t="s">
        <v>546</v>
      </c>
      <c r="D20" t="s">
        <v>231</v>
      </c>
      <c r="E20" s="14" t="s">
        <v>236</v>
      </c>
      <c r="F20" t="s">
        <v>227</v>
      </c>
      <c r="G20" s="32" t="s">
        <v>544</v>
      </c>
    </row>
    <row r="21" spans="3:7" ht="30" x14ac:dyDescent="0.25">
      <c r="E21" s="14" t="s">
        <v>236</v>
      </c>
      <c r="F21" t="s">
        <v>230</v>
      </c>
      <c r="G21" s="32" t="s">
        <v>547</v>
      </c>
    </row>
    <row r="23" spans="3:7" ht="75" x14ac:dyDescent="0.25">
      <c r="C23" s="14" t="s">
        <v>550</v>
      </c>
      <c r="D23" t="s">
        <v>221</v>
      </c>
      <c r="E23" s="14" t="s">
        <v>237</v>
      </c>
      <c r="F23" t="s">
        <v>225</v>
      </c>
      <c r="G23" s="32" t="s">
        <v>548</v>
      </c>
    </row>
    <row r="24" spans="3:7" ht="30" x14ac:dyDescent="0.25">
      <c r="E24" s="14" t="s">
        <v>237</v>
      </c>
      <c r="F24" t="s">
        <v>226</v>
      </c>
      <c r="G24" s="32" t="s">
        <v>549</v>
      </c>
    </row>
    <row r="26" spans="3:7" ht="75" x14ac:dyDescent="0.25">
      <c r="C26" s="14" t="s">
        <v>550</v>
      </c>
      <c r="D26" t="s">
        <v>221</v>
      </c>
      <c r="E26" s="14" t="s">
        <v>238</v>
      </c>
      <c r="F26" t="s">
        <v>225</v>
      </c>
      <c r="G26" s="32" t="s">
        <v>548</v>
      </c>
    </row>
    <row r="27" spans="3:7" ht="30" x14ac:dyDescent="0.25">
      <c r="E27" s="14" t="s">
        <v>238</v>
      </c>
      <c r="F27" t="s">
        <v>226</v>
      </c>
      <c r="G27" s="32" t="s">
        <v>549</v>
      </c>
    </row>
    <row r="29" spans="3:7" ht="75" x14ac:dyDescent="0.25">
      <c r="C29" s="14" t="s">
        <v>552</v>
      </c>
      <c r="D29" t="s">
        <v>224</v>
      </c>
      <c r="E29" s="14" t="s">
        <v>239</v>
      </c>
      <c r="F29" t="s">
        <v>222</v>
      </c>
      <c r="G29" s="32" t="s">
        <v>529</v>
      </c>
    </row>
    <row r="30" spans="3:7" ht="45" x14ac:dyDescent="0.25">
      <c r="E30" s="14" t="s">
        <v>239</v>
      </c>
      <c r="F30" t="s">
        <v>223</v>
      </c>
      <c r="G30" s="32" t="s">
        <v>551</v>
      </c>
    </row>
    <row r="32" spans="3:7" ht="75" x14ac:dyDescent="0.25">
      <c r="C32" s="14" t="s">
        <v>552</v>
      </c>
      <c r="D32" t="s">
        <v>224</v>
      </c>
      <c r="E32" s="14" t="s">
        <v>240</v>
      </c>
      <c r="F32" t="s">
        <v>222</v>
      </c>
      <c r="G32" s="32" t="s">
        <v>529</v>
      </c>
    </row>
    <row r="33" spans="3:7" ht="30" x14ac:dyDescent="0.25">
      <c r="E33" s="14" t="s">
        <v>240</v>
      </c>
      <c r="F33" t="s">
        <v>223</v>
      </c>
      <c r="G33" s="32" t="s">
        <v>551</v>
      </c>
    </row>
    <row r="35" spans="3:7" ht="75" x14ac:dyDescent="0.25">
      <c r="C35" s="14" t="s">
        <v>558</v>
      </c>
      <c r="D35" t="s">
        <v>559</v>
      </c>
      <c r="E35" s="14" t="s">
        <v>553</v>
      </c>
      <c r="F35" t="s">
        <v>554</v>
      </c>
      <c r="G35" s="32" t="s">
        <v>555</v>
      </c>
    </row>
    <row r="36" spans="3:7" ht="30" x14ac:dyDescent="0.25">
      <c r="E36" s="14" t="s">
        <v>553</v>
      </c>
      <c r="F36" t="s">
        <v>556</v>
      </c>
      <c r="G36" s="32" t="s">
        <v>557</v>
      </c>
    </row>
    <row r="38" spans="3:7" ht="45" x14ac:dyDescent="0.25">
      <c r="C38" t="s">
        <v>233</v>
      </c>
      <c r="D38" t="s">
        <v>234</v>
      </c>
      <c r="E38" s="14" t="s">
        <v>241</v>
      </c>
      <c r="F38" t="s">
        <v>222</v>
      </c>
      <c r="G38" s="32" t="s">
        <v>529</v>
      </c>
    </row>
    <row r="39" spans="3:7" ht="45" x14ac:dyDescent="0.25">
      <c r="E39" s="14" t="s">
        <v>241</v>
      </c>
      <c r="F39" t="s">
        <v>232</v>
      </c>
      <c r="G39" s="32" t="s">
        <v>560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CreateChartIndex">
              <controlPr defaultSize="0" print="0" autoFill="0" autoPict="0" macro="[1]!CreateChartIndex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2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25"/>
  <sheetViews>
    <sheetView workbookViewId="0">
      <selection activeCell="Q2" sqref="Q2"/>
    </sheetView>
  </sheetViews>
  <sheetFormatPr defaultRowHeight="15" x14ac:dyDescent="0.25"/>
  <cols>
    <col min="1" max="1" width="41.5703125" bestFit="1" customWidth="1"/>
    <col min="2" max="2" width="13.42578125" bestFit="1" customWidth="1"/>
    <col min="14" max="14" width="12" bestFit="1" customWidth="1"/>
  </cols>
  <sheetData>
    <row r="1" spans="1:17" x14ac:dyDescent="0.25">
      <c r="A1" s="25" t="s">
        <v>242</v>
      </c>
      <c r="B1" s="25" t="s">
        <v>243</v>
      </c>
      <c r="C1" s="25" t="s">
        <v>244</v>
      </c>
      <c r="D1" s="25" t="s">
        <v>245</v>
      </c>
      <c r="E1" s="25" t="s">
        <v>246</v>
      </c>
      <c r="F1" s="25" t="s">
        <v>247</v>
      </c>
      <c r="G1" s="25"/>
      <c r="H1" s="25"/>
      <c r="I1" s="25"/>
      <c r="J1" s="25"/>
      <c r="K1" s="25"/>
      <c r="L1" s="25"/>
      <c r="O1" t="s">
        <v>1842</v>
      </c>
      <c r="P1" t="s">
        <v>1843</v>
      </c>
    </row>
    <row r="2" spans="1:17" x14ac:dyDescent="0.25">
      <c r="A2" s="25" t="s">
        <v>248</v>
      </c>
      <c r="B2" s="25" t="s">
        <v>249</v>
      </c>
      <c r="C2" s="25" t="s">
        <v>250</v>
      </c>
      <c r="D2" s="25" t="s">
        <v>251</v>
      </c>
      <c r="E2" s="25" t="s">
        <v>252</v>
      </c>
      <c r="F2" s="25" t="s">
        <v>253</v>
      </c>
      <c r="G2" s="25"/>
      <c r="H2" s="25"/>
      <c r="I2" s="25"/>
      <c r="J2" s="25"/>
      <c r="K2" s="25"/>
      <c r="L2" s="25"/>
      <c r="M2" t="s">
        <v>1840</v>
      </c>
      <c r="N2" t="s">
        <v>1841</v>
      </c>
      <c r="O2" s="124">
        <f>21427100000000</f>
        <v>21427100000000</v>
      </c>
      <c r="P2" s="124">
        <v>4500000000000</v>
      </c>
      <c r="Q2" s="130">
        <f>P2/O2</f>
        <v>0.21001442099024134</v>
      </c>
    </row>
    <row r="3" spans="1:17" x14ac:dyDescent="0.25">
      <c r="A3" s="25" t="s">
        <v>254</v>
      </c>
      <c r="B3" s="25" t="s">
        <v>255</v>
      </c>
      <c r="C3" s="25" t="s">
        <v>250</v>
      </c>
      <c r="D3" s="25" t="s">
        <v>256</v>
      </c>
      <c r="E3" s="25" t="s">
        <v>257</v>
      </c>
      <c r="F3" s="25" t="s">
        <v>258</v>
      </c>
      <c r="G3" s="25" t="s">
        <v>259</v>
      </c>
      <c r="H3" s="25"/>
      <c r="I3" s="25"/>
      <c r="J3" s="25"/>
      <c r="K3" s="25"/>
      <c r="L3" s="25"/>
    </row>
    <row r="4" spans="1:17" x14ac:dyDescent="0.25">
      <c r="A4" s="25" t="s">
        <v>260</v>
      </c>
      <c r="B4" s="25" t="s">
        <v>261</v>
      </c>
      <c r="C4" s="25" t="s">
        <v>262</v>
      </c>
      <c r="D4" s="25" t="s">
        <v>263</v>
      </c>
      <c r="E4" s="25" t="s">
        <v>264</v>
      </c>
      <c r="F4" s="25" t="s">
        <v>261</v>
      </c>
      <c r="G4" s="25"/>
      <c r="H4" s="25"/>
      <c r="I4" s="25"/>
      <c r="J4" s="25"/>
      <c r="K4" s="25"/>
      <c r="L4" s="25"/>
    </row>
    <row r="5" spans="1:17" x14ac:dyDescent="0.25">
      <c r="A5" s="25" t="s">
        <v>265</v>
      </c>
      <c r="B5" s="25" t="s">
        <v>266</v>
      </c>
      <c r="C5" s="25" t="s">
        <v>267</v>
      </c>
      <c r="D5" s="25" t="s">
        <v>268</v>
      </c>
      <c r="E5" s="25" t="s">
        <v>269</v>
      </c>
      <c r="F5" s="25" t="s">
        <v>270</v>
      </c>
      <c r="G5" s="25" t="str">
        <f>SUBSTITUTE(B5,"%","")</f>
        <v>94.2 </v>
      </c>
      <c r="H5" s="25">
        <f>VALUE(LEFT(B5,4))</f>
        <v>94.2</v>
      </c>
      <c r="I5" s="25"/>
      <c r="J5" s="25"/>
      <c r="K5" s="25"/>
      <c r="L5" s="25"/>
    </row>
    <row r="6" spans="1:17" x14ac:dyDescent="0.25">
      <c r="A6" s="25" t="s">
        <v>271</v>
      </c>
      <c r="B6" s="25" t="s">
        <v>272</v>
      </c>
      <c r="C6" s="25" t="s">
        <v>273</v>
      </c>
      <c r="D6" s="25" t="s">
        <v>274</v>
      </c>
      <c r="E6" s="25" t="s">
        <v>275</v>
      </c>
      <c r="F6" s="25" t="s">
        <v>276</v>
      </c>
      <c r="G6" s="25"/>
      <c r="H6" s="25">
        <f t="shared" ref="H6:H11" si="0">VALUE(LEFT(B6,4))</f>
        <v>98.5</v>
      </c>
      <c r="I6" s="25"/>
      <c r="J6" s="25"/>
      <c r="K6" s="25"/>
      <c r="L6" s="25"/>
    </row>
    <row r="7" spans="1:17" x14ac:dyDescent="0.25">
      <c r="A7" s="25" t="s">
        <v>277</v>
      </c>
      <c r="B7" s="25" t="s">
        <v>278</v>
      </c>
      <c r="C7" s="25" t="s">
        <v>279</v>
      </c>
      <c r="D7" s="25" t="s">
        <v>280</v>
      </c>
      <c r="E7" s="25" t="s">
        <v>281</v>
      </c>
      <c r="F7" s="25" t="s">
        <v>282</v>
      </c>
      <c r="G7" s="25"/>
      <c r="H7" s="25">
        <f t="shared" si="0"/>
        <v>95.5</v>
      </c>
      <c r="I7" s="25"/>
      <c r="J7" s="25"/>
      <c r="K7" s="25"/>
      <c r="L7" s="25"/>
    </row>
    <row r="8" spans="1:17" x14ac:dyDescent="0.25">
      <c r="A8" s="25" t="s">
        <v>283</v>
      </c>
      <c r="B8" s="25" t="s">
        <v>284</v>
      </c>
      <c r="C8" s="25" t="s">
        <v>285</v>
      </c>
      <c r="D8" s="25" t="s">
        <v>286</v>
      </c>
      <c r="E8" s="25" t="s">
        <v>287</v>
      </c>
      <c r="F8" s="25" t="s">
        <v>288</v>
      </c>
      <c r="G8" s="25"/>
      <c r="H8" s="25">
        <f t="shared" si="0"/>
        <v>96.1</v>
      </c>
      <c r="I8" s="25"/>
      <c r="J8" s="25"/>
      <c r="K8" s="25"/>
      <c r="L8" s="25"/>
    </row>
    <row r="9" spans="1:17" x14ac:dyDescent="0.25">
      <c r="A9" s="25" t="s">
        <v>289</v>
      </c>
      <c r="B9" s="25" t="s">
        <v>290</v>
      </c>
      <c r="C9" s="25" t="s">
        <v>291</v>
      </c>
      <c r="D9" s="25" t="s">
        <v>292</v>
      </c>
      <c r="E9" s="25" t="s">
        <v>293</v>
      </c>
      <c r="F9" s="25" t="s">
        <v>294</v>
      </c>
      <c r="G9" s="25"/>
      <c r="H9" s="25">
        <f t="shared" si="0"/>
        <v>99.1</v>
      </c>
      <c r="I9" s="25"/>
      <c r="J9" s="25"/>
      <c r="K9" s="25"/>
      <c r="L9" s="25"/>
    </row>
    <row r="10" spans="1:17" x14ac:dyDescent="0.25">
      <c r="A10" s="25" t="s">
        <v>295</v>
      </c>
      <c r="B10" s="25" t="s">
        <v>296</v>
      </c>
      <c r="C10" s="25" t="s">
        <v>297</v>
      </c>
      <c r="D10" s="25" t="s">
        <v>298</v>
      </c>
      <c r="E10" s="25" t="s">
        <v>299</v>
      </c>
      <c r="F10" s="25" t="s">
        <v>300</v>
      </c>
      <c r="G10" s="25"/>
      <c r="H10" s="25">
        <f t="shared" si="0"/>
        <v>92.8</v>
      </c>
      <c r="I10" s="25"/>
      <c r="J10" s="25"/>
      <c r="K10" s="25"/>
      <c r="L10" s="25"/>
    </row>
    <row r="11" spans="1:17" x14ac:dyDescent="0.25">
      <c r="A11" s="25" t="s">
        <v>301</v>
      </c>
      <c r="B11" s="25" t="s">
        <v>302</v>
      </c>
      <c r="C11" s="25" t="s">
        <v>303</v>
      </c>
      <c r="D11" s="25" t="s">
        <v>304</v>
      </c>
      <c r="E11" s="25" t="s">
        <v>305</v>
      </c>
      <c r="F11" s="25" t="s">
        <v>306</v>
      </c>
      <c r="G11" s="25"/>
      <c r="H11" s="25">
        <f t="shared" si="0"/>
        <v>93.8</v>
      </c>
      <c r="I11" s="25">
        <f>AVERAGE(H5:H11)</f>
        <v>95.714285714285694</v>
      </c>
      <c r="J11" s="25"/>
      <c r="K11" s="25"/>
      <c r="L11" s="25"/>
    </row>
    <row r="12" spans="1:17" x14ac:dyDescent="0.25">
      <c r="A12" s="25" t="s">
        <v>307</v>
      </c>
      <c r="B12" s="25" t="s">
        <v>308</v>
      </c>
      <c r="C12" s="25" t="s">
        <v>309</v>
      </c>
      <c r="D12" s="25" t="s">
        <v>310</v>
      </c>
      <c r="E12" s="25" t="s">
        <v>311</v>
      </c>
      <c r="F12" s="25" t="s">
        <v>312</v>
      </c>
      <c r="G12" s="25"/>
      <c r="H12" s="25">
        <f>VALUE(LEFT(B12,4))</f>
        <v>89.2</v>
      </c>
      <c r="I12" s="25"/>
      <c r="J12" s="25"/>
      <c r="K12" s="25"/>
      <c r="L12" s="25"/>
    </row>
    <row r="13" spans="1:17" x14ac:dyDescent="0.25">
      <c r="A13" s="25" t="s">
        <v>313</v>
      </c>
      <c r="B13" s="25" t="s">
        <v>314</v>
      </c>
      <c r="C13" s="25" t="s">
        <v>315</v>
      </c>
      <c r="D13" s="25" t="s">
        <v>316</v>
      </c>
      <c r="E13" s="25" t="s">
        <v>317</v>
      </c>
      <c r="F13" s="25" t="s">
        <v>318</v>
      </c>
      <c r="G13" s="25"/>
      <c r="H13" s="25">
        <f>VALUE(LEFT(B13,4))</f>
        <v>88.3</v>
      </c>
      <c r="I13" s="25"/>
      <c r="J13" s="25"/>
      <c r="K13" s="25"/>
      <c r="L13" s="25"/>
    </row>
    <row r="14" spans="1:17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</row>
    <row r="15" spans="1:17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</row>
    <row r="16" spans="1:17" x14ac:dyDescent="0.25">
      <c r="A16" s="25" t="s">
        <v>319</v>
      </c>
      <c r="B16" s="25" t="s">
        <v>320</v>
      </c>
      <c r="C16" s="25" t="s">
        <v>321</v>
      </c>
      <c r="D16" s="25" t="s">
        <v>322</v>
      </c>
      <c r="E16" s="25" t="s">
        <v>323</v>
      </c>
      <c r="F16" s="25" t="s">
        <v>324</v>
      </c>
      <c r="G16" s="25"/>
      <c r="H16" s="25"/>
      <c r="I16" s="25"/>
      <c r="J16" s="25"/>
      <c r="K16" s="25"/>
      <c r="L16" s="25"/>
    </row>
    <row r="17" spans="1:12" x14ac:dyDescent="0.25">
      <c r="A17" s="25" t="s">
        <v>325</v>
      </c>
      <c r="B17" s="25" t="s">
        <v>326</v>
      </c>
      <c r="C17" s="25" t="s">
        <v>327</v>
      </c>
      <c r="D17" s="25" t="s">
        <v>328</v>
      </c>
      <c r="E17" s="25" t="s">
        <v>329</v>
      </c>
      <c r="F17" s="25" t="s">
        <v>330</v>
      </c>
      <c r="G17" s="25"/>
      <c r="H17" s="25"/>
      <c r="I17" s="25"/>
      <c r="J17" s="25"/>
      <c r="K17" s="25"/>
      <c r="L17" s="25"/>
    </row>
    <row r="18" spans="1:12" x14ac:dyDescent="0.25">
      <c r="A18" s="25" t="s">
        <v>331</v>
      </c>
      <c r="B18" s="25" t="s">
        <v>314</v>
      </c>
      <c r="C18" s="25" t="s">
        <v>332</v>
      </c>
      <c r="D18" s="25" t="s">
        <v>333</v>
      </c>
      <c r="E18" s="25" t="s">
        <v>334</v>
      </c>
      <c r="F18" s="25" t="s">
        <v>335</v>
      </c>
      <c r="G18" s="25"/>
      <c r="H18" s="25"/>
      <c r="I18" s="25"/>
      <c r="J18" s="25"/>
      <c r="K18" s="25"/>
      <c r="L18" s="25"/>
    </row>
    <row r="19" spans="1:12" x14ac:dyDescent="0.25">
      <c r="A19" s="25" t="s">
        <v>336</v>
      </c>
      <c r="B19" s="25" t="s">
        <v>337</v>
      </c>
      <c r="C19" s="25" t="s">
        <v>338</v>
      </c>
      <c r="D19" s="25" t="s">
        <v>339</v>
      </c>
      <c r="E19" s="25" t="s">
        <v>340</v>
      </c>
      <c r="F19" s="25" t="s">
        <v>341</v>
      </c>
      <c r="G19" s="25"/>
      <c r="H19" s="25"/>
      <c r="I19" s="25"/>
      <c r="J19" s="25"/>
      <c r="K19" s="25"/>
      <c r="L19" s="25"/>
    </row>
    <row r="20" spans="1:12" x14ac:dyDescent="0.25">
      <c r="A20" s="25" t="s">
        <v>342</v>
      </c>
      <c r="B20" s="25" t="s">
        <v>343</v>
      </c>
      <c r="C20" s="25" t="s">
        <v>344</v>
      </c>
      <c r="D20" s="25" t="s">
        <v>345</v>
      </c>
      <c r="E20" s="25" t="s">
        <v>346</v>
      </c>
      <c r="F20" s="25" t="s">
        <v>347</v>
      </c>
      <c r="G20" s="25"/>
      <c r="H20" s="25"/>
      <c r="I20" s="25"/>
      <c r="J20" s="25"/>
      <c r="K20" s="25"/>
      <c r="L20" s="25"/>
    </row>
    <row r="21" spans="1:12" x14ac:dyDescent="0.25">
      <c r="A21" s="25" t="s">
        <v>348</v>
      </c>
      <c r="B21" s="25" t="s">
        <v>349</v>
      </c>
      <c r="C21" s="25" t="s">
        <v>350</v>
      </c>
      <c r="D21" s="25" t="s">
        <v>351</v>
      </c>
      <c r="E21" s="25" t="s">
        <v>352</v>
      </c>
      <c r="F21" s="25" t="s">
        <v>353</v>
      </c>
      <c r="G21" s="25"/>
      <c r="H21" s="25"/>
      <c r="I21" s="25"/>
      <c r="J21" s="25"/>
      <c r="K21" s="25"/>
      <c r="L21" s="25"/>
    </row>
    <row r="22" spans="1:12" x14ac:dyDescent="0.25">
      <c r="A22" s="25" t="s">
        <v>354</v>
      </c>
      <c r="B22" s="25" t="s">
        <v>355</v>
      </c>
      <c r="C22" s="25" t="s">
        <v>356</v>
      </c>
      <c r="D22" s="25" t="s">
        <v>357</v>
      </c>
      <c r="E22" s="25" t="s">
        <v>358</v>
      </c>
      <c r="F22" s="25" t="s">
        <v>359</v>
      </c>
      <c r="G22" s="25"/>
      <c r="H22" s="25"/>
      <c r="I22" s="25"/>
      <c r="J22" s="25" t="s">
        <v>360</v>
      </c>
      <c r="K22" s="25">
        <v>13500</v>
      </c>
      <c r="L22" s="25"/>
    </row>
    <row r="23" spans="1:12" x14ac:dyDescent="0.25">
      <c r="A23" s="25" t="s">
        <v>361</v>
      </c>
      <c r="B23" s="25" t="s">
        <v>362</v>
      </c>
      <c r="C23" s="25" t="s">
        <v>363</v>
      </c>
      <c r="D23" s="25" t="s">
        <v>364</v>
      </c>
      <c r="E23" s="25" t="s">
        <v>365</v>
      </c>
      <c r="F23" s="25" t="s">
        <v>366</v>
      </c>
      <c r="G23" s="25"/>
      <c r="H23" s="25"/>
      <c r="I23" s="25"/>
      <c r="J23" s="33">
        <v>0.1</v>
      </c>
      <c r="K23" s="25">
        <f>K22/10</f>
        <v>1350</v>
      </c>
      <c r="L23" s="25"/>
    </row>
    <row r="24" spans="1:12" x14ac:dyDescent="0.25">
      <c r="A24" s="25" t="s">
        <v>367</v>
      </c>
      <c r="B24" s="25" t="s">
        <v>368</v>
      </c>
      <c r="C24" s="25" t="s">
        <v>369</v>
      </c>
      <c r="D24" s="25" t="s">
        <v>370</v>
      </c>
      <c r="E24" s="25" t="s">
        <v>371</v>
      </c>
      <c r="F24" s="34">
        <v>2880708</v>
      </c>
      <c r="G24" s="25"/>
      <c r="H24" s="25"/>
      <c r="I24" s="25"/>
      <c r="J24" s="25"/>
      <c r="K24" s="25"/>
      <c r="L24" s="25"/>
    </row>
    <row r="25" spans="1:12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382"/>
  <sheetViews>
    <sheetView topLeftCell="A352" workbookViewId="0">
      <selection activeCell="C362" sqref="C362"/>
    </sheetView>
  </sheetViews>
  <sheetFormatPr defaultRowHeight="15" x14ac:dyDescent="0.25"/>
  <cols>
    <col min="1" max="1" width="13.140625" customWidth="1"/>
    <col min="2" max="2" width="17" bestFit="1" customWidth="1"/>
    <col min="3" max="3" width="24.7109375" bestFit="1" customWidth="1"/>
    <col min="4" max="4" width="78.140625" customWidth="1"/>
    <col min="5" max="5" width="30.7109375" style="27" customWidth="1"/>
    <col min="6" max="6" width="22" customWidth="1"/>
    <col min="7" max="7" width="22.7109375" customWidth="1"/>
  </cols>
  <sheetData>
    <row r="1" spans="1:16" s="70" customFormat="1" x14ac:dyDescent="0.25">
      <c r="A1" s="72" t="s">
        <v>633</v>
      </c>
      <c r="B1" s="70" t="s">
        <v>634</v>
      </c>
      <c r="C1" s="70" t="s">
        <v>635</v>
      </c>
      <c r="D1" s="72" t="s">
        <v>636</v>
      </c>
      <c r="E1" s="73" t="s">
        <v>637</v>
      </c>
      <c r="F1" s="70" t="s">
        <v>569</v>
      </c>
      <c r="G1" s="70" t="s">
        <v>631</v>
      </c>
      <c r="H1" s="70" t="s">
        <v>632</v>
      </c>
      <c r="I1" s="72"/>
      <c r="M1" s="72"/>
      <c r="P1" s="72"/>
    </row>
    <row r="2" spans="1:16" x14ac:dyDescent="0.25">
      <c r="A2" s="32" t="s">
        <v>441</v>
      </c>
      <c r="B2" t="s">
        <v>214</v>
      </c>
      <c r="C2" t="s">
        <v>570</v>
      </c>
      <c r="D2" s="32" t="s">
        <v>571</v>
      </c>
      <c r="E2" s="47" t="s">
        <v>571</v>
      </c>
      <c r="I2" s="32"/>
      <c r="M2" s="32"/>
      <c r="P2" s="32"/>
    </row>
    <row r="3" spans="1:16" x14ac:dyDescent="0.25">
      <c r="A3" s="32" t="s">
        <v>441</v>
      </c>
      <c r="B3" t="s">
        <v>390</v>
      </c>
      <c r="C3" t="s">
        <v>442</v>
      </c>
      <c r="D3" s="32" t="s">
        <v>443</v>
      </c>
      <c r="E3" s="47" t="s">
        <v>443</v>
      </c>
      <c r="I3" s="32"/>
      <c r="M3" s="32"/>
      <c r="P3" s="32"/>
    </row>
    <row r="4" spans="1:16" x14ac:dyDescent="0.25">
      <c r="A4" s="32" t="s">
        <v>441</v>
      </c>
      <c r="B4" t="s">
        <v>391</v>
      </c>
      <c r="C4" t="s">
        <v>444</v>
      </c>
      <c r="D4" s="32" t="s">
        <v>572</v>
      </c>
      <c r="E4" s="47" t="s">
        <v>572</v>
      </c>
      <c r="I4" s="32"/>
      <c r="M4" s="32"/>
      <c r="P4" s="32"/>
    </row>
    <row r="5" spans="1:16" x14ac:dyDescent="0.25">
      <c r="A5" s="32" t="s">
        <v>441</v>
      </c>
      <c r="B5" t="s">
        <v>392</v>
      </c>
      <c r="C5" t="s">
        <v>445</v>
      </c>
      <c r="D5" s="32" t="s">
        <v>573</v>
      </c>
      <c r="E5" s="47" t="s">
        <v>573</v>
      </c>
      <c r="I5" s="32"/>
      <c r="M5" s="32"/>
      <c r="P5" s="32"/>
    </row>
    <row r="6" spans="1:16" x14ac:dyDescent="0.25">
      <c r="A6" s="32" t="s">
        <v>441</v>
      </c>
      <c r="B6" t="s">
        <v>393</v>
      </c>
      <c r="C6" t="s">
        <v>446</v>
      </c>
      <c r="D6" s="32" t="s">
        <v>574</v>
      </c>
      <c r="E6" s="47" t="s">
        <v>574</v>
      </c>
      <c r="I6" s="32"/>
      <c r="M6" s="32"/>
      <c r="P6" s="32"/>
    </row>
    <row r="7" spans="1:16" x14ac:dyDescent="0.25">
      <c r="A7" s="32" t="s">
        <v>441</v>
      </c>
      <c r="B7" t="s">
        <v>394</v>
      </c>
      <c r="C7" t="s">
        <v>447</v>
      </c>
      <c r="D7" s="32" t="s">
        <v>448</v>
      </c>
      <c r="E7" s="47" t="s">
        <v>448</v>
      </c>
      <c r="I7" s="32"/>
      <c r="M7" s="32"/>
      <c r="P7" s="32"/>
    </row>
    <row r="8" spans="1:16" x14ac:dyDescent="0.25">
      <c r="A8" s="32" t="s">
        <v>441</v>
      </c>
      <c r="B8" t="s">
        <v>395</v>
      </c>
      <c r="C8" t="s">
        <v>449</v>
      </c>
      <c r="D8" s="32" t="s">
        <v>575</v>
      </c>
      <c r="E8" s="47" t="s">
        <v>575</v>
      </c>
      <c r="I8" s="32"/>
      <c r="M8" s="32"/>
      <c r="P8" s="32"/>
    </row>
    <row r="9" spans="1:16" x14ac:dyDescent="0.25">
      <c r="A9" s="32" t="s">
        <v>441</v>
      </c>
      <c r="B9" t="s">
        <v>396</v>
      </c>
      <c r="C9" t="s">
        <v>450</v>
      </c>
      <c r="D9" s="32" t="s">
        <v>576</v>
      </c>
      <c r="E9" s="47" t="s">
        <v>576</v>
      </c>
      <c r="I9" s="32"/>
      <c r="M9" s="32"/>
      <c r="P9" s="32"/>
    </row>
    <row r="10" spans="1:16" x14ac:dyDescent="0.25">
      <c r="A10" s="32" t="s">
        <v>441</v>
      </c>
      <c r="B10" t="s">
        <v>397</v>
      </c>
      <c r="C10" t="s">
        <v>451</v>
      </c>
      <c r="D10" s="32" t="s">
        <v>577</v>
      </c>
      <c r="E10" s="47" t="s">
        <v>577</v>
      </c>
      <c r="I10" s="32"/>
      <c r="M10" s="32"/>
      <c r="P10" s="32"/>
    </row>
    <row r="11" spans="1:16" x14ac:dyDescent="0.25">
      <c r="A11" s="32" t="s">
        <v>441</v>
      </c>
      <c r="B11" t="s">
        <v>578</v>
      </c>
      <c r="C11" t="s">
        <v>579</v>
      </c>
      <c r="D11" s="32" t="s">
        <v>580</v>
      </c>
      <c r="E11" s="47" t="s">
        <v>580</v>
      </c>
      <c r="I11" s="32"/>
      <c r="M11" s="32"/>
      <c r="P11" s="32"/>
    </row>
    <row r="12" spans="1:16" x14ac:dyDescent="0.25">
      <c r="A12" s="32" t="s">
        <v>441</v>
      </c>
      <c r="B12" t="s">
        <v>398</v>
      </c>
      <c r="C12" t="s">
        <v>452</v>
      </c>
      <c r="D12" s="32" t="s">
        <v>581</v>
      </c>
      <c r="E12" s="47" t="s">
        <v>581</v>
      </c>
      <c r="I12" s="32"/>
      <c r="M12" s="32"/>
      <c r="P12" s="32"/>
    </row>
    <row r="13" spans="1:16" x14ac:dyDescent="0.25">
      <c r="A13" s="32" t="s">
        <v>441</v>
      </c>
      <c r="B13" t="s">
        <v>582</v>
      </c>
      <c r="C13" t="s">
        <v>583</v>
      </c>
      <c r="D13" s="32" t="s">
        <v>584</v>
      </c>
      <c r="E13" s="47" t="s">
        <v>584</v>
      </c>
      <c r="I13" s="32"/>
      <c r="M13" s="32"/>
      <c r="P13" s="32"/>
    </row>
    <row r="14" spans="1:16" x14ac:dyDescent="0.25">
      <c r="A14" s="32" t="s">
        <v>441</v>
      </c>
      <c r="B14" t="s">
        <v>399</v>
      </c>
      <c r="C14" t="s">
        <v>453</v>
      </c>
      <c r="D14" s="32" t="s">
        <v>585</v>
      </c>
      <c r="E14" s="47" t="s">
        <v>585</v>
      </c>
      <c r="I14" s="32"/>
      <c r="M14" s="32"/>
      <c r="P14" s="32"/>
    </row>
    <row r="15" spans="1:16" x14ac:dyDescent="0.25">
      <c r="A15" s="32" t="s">
        <v>441</v>
      </c>
      <c r="B15" t="s">
        <v>400</v>
      </c>
      <c r="C15" t="s">
        <v>454</v>
      </c>
      <c r="D15" s="32" t="s">
        <v>401</v>
      </c>
      <c r="E15" s="47" t="s">
        <v>401</v>
      </c>
      <c r="G15" s="32" t="s">
        <v>658</v>
      </c>
      <c r="H15" s="32" t="s">
        <v>638</v>
      </c>
      <c r="I15" s="32" t="s">
        <v>401</v>
      </c>
      <c r="J15" s="32" t="s">
        <v>659</v>
      </c>
      <c r="M15" s="32"/>
      <c r="P15" s="32"/>
    </row>
    <row r="16" spans="1:16" x14ac:dyDescent="0.25">
      <c r="A16" s="32" t="s">
        <v>441</v>
      </c>
      <c r="B16" t="s">
        <v>402</v>
      </c>
      <c r="C16" t="s">
        <v>455</v>
      </c>
      <c r="D16" s="32" t="s">
        <v>403</v>
      </c>
      <c r="E16" s="47" t="s">
        <v>403</v>
      </c>
      <c r="I16" s="32"/>
      <c r="M16" s="32"/>
      <c r="P16" s="32"/>
    </row>
    <row r="17" spans="1:16" x14ac:dyDescent="0.25">
      <c r="A17" s="32" t="s">
        <v>441</v>
      </c>
      <c r="B17" t="s">
        <v>404</v>
      </c>
      <c r="C17" t="s">
        <v>456</v>
      </c>
      <c r="D17" s="32" t="s">
        <v>405</v>
      </c>
      <c r="E17" s="47" t="s">
        <v>405</v>
      </c>
      <c r="G17" s="32" t="s">
        <v>640</v>
      </c>
      <c r="H17" s="32" t="s">
        <v>639</v>
      </c>
      <c r="I17" s="32" t="s">
        <v>405</v>
      </c>
      <c r="J17" s="32" t="s">
        <v>663</v>
      </c>
      <c r="M17" s="32"/>
      <c r="P17" s="32"/>
    </row>
    <row r="18" spans="1:16" x14ac:dyDescent="0.25">
      <c r="A18" s="32" t="s">
        <v>441</v>
      </c>
      <c r="B18" t="s">
        <v>586</v>
      </c>
      <c r="C18" t="s">
        <v>587</v>
      </c>
      <c r="D18" s="32" t="s">
        <v>406</v>
      </c>
      <c r="E18" s="47" t="s">
        <v>406</v>
      </c>
      <c r="I18" s="32"/>
      <c r="M18" s="32"/>
      <c r="P18" s="32"/>
    </row>
    <row r="19" spans="1:16" x14ac:dyDescent="0.25">
      <c r="A19" s="32" t="s">
        <v>441</v>
      </c>
      <c r="B19" t="s">
        <v>588</v>
      </c>
      <c r="C19" t="s">
        <v>589</v>
      </c>
      <c r="D19" s="32" t="s">
        <v>590</v>
      </c>
      <c r="E19" s="47" t="s">
        <v>590</v>
      </c>
      <c r="I19" s="32"/>
      <c r="M19" s="32"/>
      <c r="P19" s="32"/>
    </row>
    <row r="20" spans="1:16" x14ac:dyDescent="0.25">
      <c r="A20" s="32"/>
      <c r="B20" t="s">
        <v>591</v>
      </c>
      <c r="C20" t="s">
        <v>591</v>
      </c>
      <c r="D20" s="32" t="s">
        <v>592</v>
      </c>
      <c r="E20" s="47" t="s">
        <v>592</v>
      </c>
      <c r="I20" s="32"/>
      <c r="M20" s="32"/>
      <c r="P20" s="32"/>
    </row>
    <row r="21" spans="1:16" x14ac:dyDescent="0.25">
      <c r="A21" s="32" t="s">
        <v>441</v>
      </c>
      <c r="B21" t="s">
        <v>407</v>
      </c>
      <c r="C21" t="s">
        <v>457</v>
      </c>
      <c r="D21" s="32" t="s">
        <v>458</v>
      </c>
      <c r="E21" s="47" t="s">
        <v>458</v>
      </c>
      <c r="I21" s="32"/>
      <c r="M21" s="32"/>
      <c r="P21" s="32"/>
    </row>
    <row r="22" spans="1:16" x14ac:dyDescent="0.25">
      <c r="A22" s="32" t="s">
        <v>441</v>
      </c>
      <c r="B22" t="s">
        <v>408</v>
      </c>
      <c r="C22" t="s">
        <v>459</v>
      </c>
      <c r="D22" s="32" t="s">
        <v>593</v>
      </c>
      <c r="E22" s="47" t="s">
        <v>593</v>
      </c>
      <c r="I22" s="32"/>
      <c r="M22" s="32"/>
      <c r="P22" s="32"/>
    </row>
    <row r="23" spans="1:16" x14ac:dyDescent="0.25">
      <c r="A23" s="32" t="s">
        <v>441</v>
      </c>
      <c r="B23" t="s">
        <v>409</v>
      </c>
      <c r="C23" t="s">
        <v>460</v>
      </c>
      <c r="D23" s="32" t="s">
        <v>594</v>
      </c>
      <c r="E23" s="47" t="s">
        <v>594</v>
      </c>
      <c r="I23" s="32"/>
      <c r="M23" s="32"/>
      <c r="P23" s="32"/>
    </row>
    <row r="24" spans="1:16" x14ac:dyDescent="0.25">
      <c r="A24" s="32" t="s">
        <v>441</v>
      </c>
      <c r="B24" t="s">
        <v>410</v>
      </c>
      <c r="C24" t="s">
        <v>461</v>
      </c>
      <c r="D24" s="32" t="s">
        <v>595</v>
      </c>
      <c r="E24" s="47" t="s">
        <v>595</v>
      </c>
      <c r="I24" s="32"/>
      <c r="M24" s="32"/>
      <c r="P24" s="32"/>
    </row>
    <row r="25" spans="1:16" x14ac:dyDescent="0.25">
      <c r="A25" s="32" t="s">
        <v>441</v>
      </c>
      <c r="B25" t="s">
        <v>596</v>
      </c>
      <c r="C25" t="s">
        <v>597</v>
      </c>
      <c r="D25" s="32" t="s">
        <v>598</v>
      </c>
      <c r="E25" s="47" t="s">
        <v>598</v>
      </c>
      <c r="I25" s="32"/>
      <c r="M25" s="32"/>
      <c r="P25" s="32"/>
    </row>
    <row r="26" spans="1:16" x14ac:dyDescent="0.25">
      <c r="A26" s="32" t="s">
        <v>441</v>
      </c>
      <c r="B26" t="s">
        <v>411</v>
      </c>
      <c r="C26" t="s">
        <v>462</v>
      </c>
      <c r="D26" s="32" t="s">
        <v>599</v>
      </c>
      <c r="E26" s="47" t="s">
        <v>599</v>
      </c>
      <c r="I26" s="32"/>
      <c r="M26" s="32"/>
      <c r="P26" s="32"/>
    </row>
    <row r="27" spans="1:16" x14ac:dyDescent="0.25">
      <c r="A27" s="32" t="s">
        <v>441</v>
      </c>
      <c r="B27" t="s">
        <v>412</v>
      </c>
      <c r="C27" t="s">
        <v>463</v>
      </c>
      <c r="D27" s="32" t="s">
        <v>413</v>
      </c>
      <c r="E27" s="47" t="s">
        <v>413</v>
      </c>
      <c r="G27" s="32" t="s">
        <v>664</v>
      </c>
      <c r="H27" s="32" t="s">
        <v>652</v>
      </c>
      <c r="I27" s="32" t="s">
        <v>413</v>
      </c>
      <c r="J27" s="32" t="s">
        <v>666</v>
      </c>
      <c r="M27" s="32"/>
      <c r="P27" s="32"/>
    </row>
    <row r="28" spans="1:16" x14ac:dyDescent="0.25">
      <c r="A28" s="32" t="s">
        <v>441</v>
      </c>
      <c r="B28" t="s">
        <v>414</v>
      </c>
      <c r="C28" t="s">
        <v>464</v>
      </c>
      <c r="D28" s="32" t="s">
        <v>415</v>
      </c>
      <c r="E28" s="47" t="s">
        <v>415</v>
      </c>
      <c r="I28" s="32"/>
      <c r="M28" s="32"/>
      <c r="P28" s="32"/>
    </row>
    <row r="29" spans="1:16" x14ac:dyDescent="0.25">
      <c r="A29" s="32" t="s">
        <v>441</v>
      </c>
      <c r="B29" t="s">
        <v>416</v>
      </c>
      <c r="C29" t="s">
        <v>465</v>
      </c>
      <c r="D29" s="32" t="s">
        <v>417</v>
      </c>
      <c r="E29" s="47" t="s">
        <v>417</v>
      </c>
      <c r="G29" t="s">
        <v>653</v>
      </c>
      <c r="H29" t="s">
        <v>654</v>
      </c>
      <c r="I29" s="32"/>
      <c r="M29" s="32"/>
      <c r="P29" s="32"/>
    </row>
    <row r="30" spans="1:16" x14ac:dyDescent="0.25">
      <c r="A30" s="32" t="s">
        <v>441</v>
      </c>
      <c r="B30" t="s">
        <v>418</v>
      </c>
      <c r="C30" t="s">
        <v>466</v>
      </c>
      <c r="D30" s="32" t="s">
        <v>419</v>
      </c>
      <c r="E30" s="47" t="s">
        <v>419</v>
      </c>
      <c r="I30" s="32"/>
      <c r="M30" s="32"/>
      <c r="P30" s="32"/>
    </row>
    <row r="31" spans="1:16" x14ac:dyDescent="0.25">
      <c r="A31" s="32" t="s">
        <v>441</v>
      </c>
      <c r="B31" t="s">
        <v>600</v>
      </c>
      <c r="C31" t="s">
        <v>601</v>
      </c>
      <c r="D31" s="32" t="s">
        <v>602</v>
      </c>
      <c r="E31" s="47" t="s">
        <v>602</v>
      </c>
      <c r="I31" s="32"/>
      <c r="M31" s="32"/>
      <c r="P31" s="32"/>
    </row>
    <row r="32" spans="1:16" x14ac:dyDescent="0.25">
      <c r="A32" s="32" t="s">
        <v>441</v>
      </c>
      <c r="B32" t="s">
        <v>420</v>
      </c>
      <c r="C32" t="s">
        <v>467</v>
      </c>
      <c r="D32" s="32" t="s">
        <v>603</v>
      </c>
      <c r="E32" s="47" t="s">
        <v>603</v>
      </c>
      <c r="I32" s="32"/>
      <c r="M32" s="32"/>
      <c r="P32" s="32"/>
    </row>
    <row r="33" spans="1:16" x14ac:dyDescent="0.25">
      <c r="A33" s="32" t="s">
        <v>441</v>
      </c>
      <c r="B33" t="s">
        <v>421</v>
      </c>
      <c r="C33" t="s">
        <v>468</v>
      </c>
      <c r="D33" s="32" t="s">
        <v>604</v>
      </c>
      <c r="E33" s="47" t="s">
        <v>604</v>
      </c>
      <c r="I33" s="32"/>
      <c r="M33" s="32"/>
      <c r="P33" s="32"/>
    </row>
    <row r="34" spans="1:16" x14ac:dyDescent="0.25">
      <c r="A34" s="32" t="s">
        <v>441</v>
      </c>
      <c r="B34" t="s">
        <v>422</v>
      </c>
      <c r="C34" t="s">
        <v>469</v>
      </c>
      <c r="D34" s="32" t="s">
        <v>605</v>
      </c>
      <c r="E34" s="47" t="s">
        <v>605</v>
      </c>
      <c r="I34" s="32"/>
      <c r="M34" s="32"/>
      <c r="P34" s="32"/>
    </row>
    <row r="35" spans="1:16" x14ac:dyDescent="0.25">
      <c r="A35" s="32" t="s">
        <v>441</v>
      </c>
      <c r="B35" t="s">
        <v>606</v>
      </c>
      <c r="C35" t="s">
        <v>607</v>
      </c>
      <c r="D35" s="32" t="s">
        <v>608</v>
      </c>
      <c r="E35" s="47" t="s">
        <v>608</v>
      </c>
      <c r="I35" s="32"/>
      <c r="M35" s="32"/>
      <c r="P35" s="32"/>
    </row>
    <row r="36" spans="1:16" x14ac:dyDescent="0.25">
      <c r="A36" s="32" t="s">
        <v>441</v>
      </c>
      <c r="B36" t="s">
        <v>423</v>
      </c>
      <c r="C36" t="s">
        <v>470</v>
      </c>
      <c r="D36" s="32" t="s">
        <v>609</v>
      </c>
      <c r="E36" s="47" t="s">
        <v>609</v>
      </c>
      <c r="I36" s="32"/>
      <c r="M36" s="32"/>
      <c r="P36" s="32"/>
    </row>
    <row r="37" spans="1:16" x14ac:dyDescent="0.25">
      <c r="A37" s="32" t="s">
        <v>441</v>
      </c>
      <c r="B37" t="s">
        <v>610</v>
      </c>
      <c r="C37" t="s">
        <v>611</v>
      </c>
      <c r="D37" s="32" t="s">
        <v>612</v>
      </c>
      <c r="E37" s="47" t="s">
        <v>612</v>
      </c>
      <c r="I37" s="32"/>
      <c r="M37" s="32"/>
      <c r="P37" s="32"/>
    </row>
    <row r="38" spans="1:16" x14ac:dyDescent="0.25">
      <c r="A38" s="32" t="s">
        <v>441</v>
      </c>
      <c r="B38" t="s">
        <v>424</v>
      </c>
      <c r="C38" t="s">
        <v>471</v>
      </c>
      <c r="D38" s="32" t="s">
        <v>425</v>
      </c>
      <c r="E38" s="47" t="s">
        <v>425</v>
      </c>
      <c r="G38" s="32" t="s">
        <v>665</v>
      </c>
      <c r="H38" s="32" t="s">
        <v>655</v>
      </c>
      <c r="I38" s="32" t="s">
        <v>425</v>
      </c>
      <c r="J38" s="32" t="s">
        <v>667</v>
      </c>
      <c r="M38" s="32"/>
      <c r="P38" s="32"/>
    </row>
    <row r="39" spans="1:16" x14ac:dyDescent="0.25">
      <c r="A39" s="32" t="s">
        <v>441</v>
      </c>
      <c r="B39" t="s">
        <v>426</v>
      </c>
      <c r="C39" t="s">
        <v>472</v>
      </c>
      <c r="D39" s="32" t="s">
        <v>427</v>
      </c>
      <c r="E39" s="47" t="s">
        <v>427</v>
      </c>
      <c r="I39" s="32"/>
      <c r="M39" s="32"/>
      <c r="P39" s="32"/>
    </row>
    <row r="40" spans="1:16" x14ac:dyDescent="0.25">
      <c r="A40" s="32" t="s">
        <v>441</v>
      </c>
      <c r="B40" t="s">
        <v>428</v>
      </c>
      <c r="C40" t="s">
        <v>473</v>
      </c>
      <c r="D40" s="32" t="s">
        <v>429</v>
      </c>
      <c r="E40" s="47" t="s">
        <v>429</v>
      </c>
      <c r="G40" t="s">
        <v>656</v>
      </c>
      <c r="H40" t="s">
        <v>657</v>
      </c>
      <c r="I40" s="32"/>
      <c r="M40" s="32"/>
      <c r="P40" s="32"/>
    </row>
    <row r="41" spans="1:16" x14ac:dyDescent="0.25">
      <c r="A41" s="32" t="s">
        <v>441</v>
      </c>
      <c r="B41" t="s">
        <v>430</v>
      </c>
      <c r="C41" t="s">
        <v>474</v>
      </c>
      <c r="D41" s="32" t="s">
        <v>431</v>
      </c>
      <c r="E41" s="47" t="s">
        <v>431</v>
      </c>
      <c r="I41" s="32"/>
      <c r="M41" s="32"/>
      <c r="P41" s="32"/>
    </row>
    <row r="42" spans="1:16" x14ac:dyDescent="0.25">
      <c r="A42" s="32" t="s">
        <v>441</v>
      </c>
      <c r="B42" t="s">
        <v>613</v>
      </c>
      <c r="C42" t="s">
        <v>614</v>
      </c>
      <c r="D42" s="32" t="s">
        <v>615</v>
      </c>
      <c r="E42" s="47" t="s">
        <v>615</v>
      </c>
      <c r="I42" s="32"/>
      <c r="M42" s="32"/>
      <c r="P42" s="32"/>
    </row>
    <row r="43" spans="1:16" x14ac:dyDescent="0.25">
      <c r="A43" s="32" t="s">
        <v>441</v>
      </c>
      <c r="B43" t="s">
        <v>158</v>
      </c>
      <c r="C43" t="s">
        <v>475</v>
      </c>
      <c r="D43" s="32" t="s">
        <v>476</v>
      </c>
      <c r="E43" s="47" t="s">
        <v>476</v>
      </c>
      <c r="I43" s="32"/>
      <c r="M43" s="32"/>
      <c r="P43" s="32"/>
    </row>
    <row r="44" spans="1:16" x14ac:dyDescent="0.25">
      <c r="A44" s="32" t="s">
        <v>441</v>
      </c>
      <c r="B44" t="s">
        <v>432</v>
      </c>
      <c r="C44" t="s">
        <v>477</v>
      </c>
      <c r="D44" s="32" t="s">
        <v>616</v>
      </c>
      <c r="E44" s="47" t="s">
        <v>616</v>
      </c>
      <c r="I44" s="32"/>
      <c r="M44" s="32"/>
      <c r="P44" s="32"/>
    </row>
    <row r="45" spans="1:16" x14ac:dyDescent="0.25">
      <c r="A45" s="32" t="s">
        <v>441</v>
      </c>
      <c r="B45" t="s">
        <v>433</v>
      </c>
      <c r="C45" t="s">
        <v>478</v>
      </c>
      <c r="D45" s="32" t="s">
        <v>617</v>
      </c>
      <c r="E45" s="47" t="s">
        <v>617</v>
      </c>
      <c r="I45" s="32"/>
      <c r="M45" s="32"/>
      <c r="P45" s="32"/>
    </row>
    <row r="46" spans="1:16" x14ac:dyDescent="0.25">
      <c r="A46" s="32" t="s">
        <v>441</v>
      </c>
      <c r="B46" t="s">
        <v>434</v>
      </c>
      <c r="C46" t="s">
        <v>479</v>
      </c>
      <c r="D46" s="32" t="s">
        <v>618</v>
      </c>
      <c r="E46" s="47" t="s">
        <v>618</v>
      </c>
      <c r="I46" s="32"/>
      <c r="M46" s="32"/>
      <c r="P46" s="32"/>
    </row>
    <row r="47" spans="1:16" x14ac:dyDescent="0.25">
      <c r="A47" s="32" t="s">
        <v>441</v>
      </c>
      <c r="B47" t="s">
        <v>619</v>
      </c>
      <c r="C47" t="s">
        <v>620</v>
      </c>
      <c r="D47" s="32" t="s">
        <v>621</v>
      </c>
      <c r="E47" s="47" t="s">
        <v>621</v>
      </c>
      <c r="I47" s="32"/>
      <c r="M47" s="32"/>
      <c r="P47" s="32"/>
    </row>
    <row r="48" spans="1:16" x14ac:dyDescent="0.25">
      <c r="A48" s="32" t="s">
        <v>441</v>
      </c>
      <c r="B48" t="s">
        <v>622</v>
      </c>
      <c r="C48" t="s">
        <v>623</v>
      </c>
      <c r="D48" s="32" t="s">
        <v>624</v>
      </c>
      <c r="E48" s="47" t="s">
        <v>624</v>
      </c>
      <c r="I48" s="32"/>
      <c r="M48" s="32"/>
      <c r="P48" s="32"/>
    </row>
    <row r="49" spans="1:16" x14ac:dyDescent="0.25">
      <c r="A49" s="32" t="s">
        <v>441</v>
      </c>
      <c r="B49" t="s">
        <v>435</v>
      </c>
      <c r="C49" t="s">
        <v>480</v>
      </c>
      <c r="D49" s="32" t="s">
        <v>625</v>
      </c>
      <c r="E49" s="47" t="s">
        <v>625</v>
      </c>
      <c r="I49" s="32"/>
      <c r="M49" s="32"/>
      <c r="P49" s="32"/>
    </row>
    <row r="50" spans="1:16" x14ac:dyDescent="0.25">
      <c r="B50" t="s">
        <v>626</v>
      </c>
      <c r="C50" t="s">
        <v>626</v>
      </c>
      <c r="D50" s="32" t="s">
        <v>627</v>
      </c>
      <c r="E50" s="47" t="s">
        <v>627</v>
      </c>
      <c r="I50" s="32"/>
      <c r="M50" s="32"/>
      <c r="P50" s="32"/>
    </row>
    <row r="51" spans="1:16" x14ac:dyDescent="0.25">
      <c r="A51" s="32" t="s">
        <v>441</v>
      </c>
      <c r="B51" t="s">
        <v>436</v>
      </c>
      <c r="C51" t="s">
        <v>481</v>
      </c>
      <c r="D51" s="32" t="s">
        <v>643</v>
      </c>
      <c r="E51" s="47" t="s">
        <v>643</v>
      </c>
      <c r="G51" s="32" t="s">
        <v>649</v>
      </c>
      <c r="H51" s="32" t="s">
        <v>648</v>
      </c>
      <c r="I51" s="32" t="s">
        <v>643</v>
      </c>
      <c r="J51" s="32" t="s">
        <v>668</v>
      </c>
      <c r="M51" s="32"/>
      <c r="P51" s="32"/>
    </row>
    <row r="52" spans="1:16" x14ac:dyDescent="0.25">
      <c r="A52" s="32" t="s">
        <v>441</v>
      </c>
      <c r="B52" t="s">
        <v>437</v>
      </c>
      <c r="C52" t="s">
        <v>482</v>
      </c>
      <c r="D52" s="32" t="s">
        <v>644</v>
      </c>
      <c r="E52" s="47" t="s">
        <v>644</v>
      </c>
      <c r="G52" s="25"/>
      <c r="H52" s="25"/>
      <c r="I52" s="32"/>
      <c r="M52" s="32"/>
      <c r="P52" s="32"/>
    </row>
    <row r="53" spans="1:16" x14ac:dyDescent="0.25">
      <c r="A53" s="32" t="s">
        <v>441</v>
      </c>
      <c r="B53" t="s">
        <v>438</v>
      </c>
      <c r="C53" t="s">
        <v>483</v>
      </c>
      <c r="D53" s="32" t="s">
        <v>645</v>
      </c>
      <c r="E53" s="47" t="s">
        <v>645</v>
      </c>
      <c r="G53" s="25"/>
      <c r="H53" s="25"/>
      <c r="I53" s="32"/>
      <c r="M53" s="32"/>
      <c r="P53" s="32"/>
    </row>
    <row r="54" spans="1:16" s="25" customFormat="1" x14ac:dyDescent="0.25">
      <c r="A54" s="32" t="s">
        <v>441</v>
      </c>
      <c r="B54" s="25" t="s">
        <v>439</v>
      </c>
      <c r="C54" s="25" t="s">
        <v>484</v>
      </c>
      <c r="D54" s="32" t="s">
        <v>646</v>
      </c>
      <c r="E54" s="47"/>
      <c r="G54" s="25" t="s">
        <v>650</v>
      </c>
      <c r="H54" s="25" t="s">
        <v>651</v>
      </c>
      <c r="I54" s="32"/>
      <c r="M54" s="32"/>
      <c r="P54" s="32"/>
    </row>
    <row r="55" spans="1:16" x14ac:dyDescent="0.25">
      <c r="A55" s="32" t="s">
        <v>441</v>
      </c>
      <c r="B55" t="s">
        <v>440</v>
      </c>
      <c r="C55" t="s">
        <v>485</v>
      </c>
      <c r="D55" s="32" t="s">
        <v>647</v>
      </c>
      <c r="E55" s="47" t="s">
        <v>647</v>
      </c>
      <c r="G55" s="25"/>
      <c r="H55" s="25"/>
      <c r="I55" s="32"/>
      <c r="M55" s="32"/>
      <c r="P55" s="32"/>
    </row>
    <row r="56" spans="1:16" x14ac:dyDescent="0.25">
      <c r="A56" s="32" t="s">
        <v>441</v>
      </c>
      <c r="B56" t="s">
        <v>628</v>
      </c>
      <c r="C56" t="s">
        <v>629</v>
      </c>
      <c r="D56" s="32" t="s">
        <v>630</v>
      </c>
      <c r="E56" s="47" t="s">
        <v>630</v>
      </c>
      <c r="I56" s="32"/>
      <c r="M56" s="32"/>
      <c r="P56" s="32"/>
    </row>
    <row r="57" spans="1:16" x14ac:dyDescent="0.25">
      <c r="I57" s="32"/>
      <c r="M57" s="32"/>
      <c r="P57" s="32"/>
    </row>
    <row r="58" spans="1:16" x14ac:dyDescent="0.25">
      <c r="P58" s="32"/>
    </row>
    <row r="59" spans="1:16" s="70" customFormat="1" x14ac:dyDescent="0.25">
      <c r="A59" s="70" t="s">
        <v>745</v>
      </c>
      <c r="B59" s="70" t="s">
        <v>744</v>
      </c>
      <c r="C59" s="71" t="s">
        <v>635</v>
      </c>
      <c r="D59" s="72" t="s">
        <v>636</v>
      </c>
      <c r="E59" s="72" t="s">
        <v>637</v>
      </c>
      <c r="H59" s="72"/>
    </row>
    <row r="60" spans="1:16" x14ac:dyDescent="0.25">
      <c r="A60" s="32" t="s">
        <v>748</v>
      </c>
      <c r="B60" t="s">
        <v>744</v>
      </c>
      <c r="C60" s="27" t="s">
        <v>746</v>
      </c>
      <c r="D60" s="32" t="s">
        <v>747</v>
      </c>
      <c r="E60" s="32" t="s">
        <v>747</v>
      </c>
      <c r="H60" s="32"/>
    </row>
    <row r="61" spans="1:16" x14ac:dyDescent="0.25">
      <c r="A61" t="s">
        <v>441</v>
      </c>
      <c r="B61" t="s">
        <v>214</v>
      </c>
      <c r="C61" s="47" t="s">
        <v>749</v>
      </c>
      <c r="D61" s="32" t="s">
        <v>750</v>
      </c>
      <c r="E61" s="32" t="s">
        <v>750</v>
      </c>
      <c r="H61" s="32"/>
    </row>
    <row r="62" spans="1:16" x14ac:dyDescent="0.25">
      <c r="A62" t="s">
        <v>441</v>
      </c>
      <c r="B62" t="s">
        <v>751</v>
      </c>
      <c r="C62" s="27" t="s">
        <v>570</v>
      </c>
      <c r="D62" s="32" t="s">
        <v>571</v>
      </c>
      <c r="E62" s="32" t="s">
        <v>571</v>
      </c>
      <c r="H62" s="32"/>
    </row>
    <row r="63" spans="1:16" x14ac:dyDescent="0.25">
      <c r="A63" t="s">
        <v>441</v>
      </c>
      <c r="B63" t="s">
        <v>754</v>
      </c>
      <c r="C63" s="27" t="s">
        <v>752</v>
      </c>
      <c r="D63" s="32" t="s">
        <v>753</v>
      </c>
      <c r="E63" s="32" t="s">
        <v>753</v>
      </c>
      <c r="H63" s="32"/>
    </row>
    <row r="64" spans="1:16" x14ac:dyDescent="0.25">
      <c r="A64" t="s">
        <v>441</v>
      </c>
      <c r="B64" t="s">
        <v>757</v>
      </c>
      <c r="C64" s="27" t="s">
        <v>755</v>
      </c>
      <c r="D64" s="32" t="s">
        <v>756</v>
      </c>
      <c r="E64" s="32" t="s">
        <v>756</v>
      </c>
      <c r="H64" s="32"/>
    </row>
    <row r="65" spans="1:8" x14ac:dyDescent="0.25">
      <c r="A65" t="s">
        <v>441</v>
      </c>
      <c r="B65" t="s">
        <v>760</v>
      </c>
      <c r="C65" s="27" t="s">
        <v>758</v>
      </c>
      <c r="D65" s="32" t="s">
        <v>759</v>
      </c>
      <c r="E65" s="32" t="s">
        <v>759</v>
      </c>
      <c r="H65" s="32"/>
    </row>
    <row r="66" spans="1:8" x14ac:dyDescent="0.25">
      <c r="A66" t="s">
        <v>441</v>
      </c>
      <c r="B66" t="s">
        <v>762</v>
      </c>
      <c r="C66" s="27" t="s">
        <v>761</v>
      </c>
      <c r="D66" s="32" t="s">
        <v>431</v>
      </c>
      <c r="E66" s="32" t="s">
        <v>431</v>
      </c>
      <c r="H66" s="32"/>
    </row>
    <row r="67" spans="1:8" x14ac:dyDescent="0.25">
      <c r="A67" t="s">
        <v>441</v>
      </c>
      <c r="B67" t="s">
        <v>765</v>
      </c>
      <c r="C67" s="27" t="s">
        <v>763</v>
      </c>
      <c r="D67" s="32" t="s">
        <v>764</v>
      </c>
      <c r="E67" s="32" t="s">
        <v>764</v>
      </c>
    </row>
    <row r="68" spans="1:8" x14ac:dyDescent="0.25">
      <c r="A68" t="s">
        <v>441</v>
      </c>
      <c r="B68" t="s">
        <v>768</v>
      </c>
      <c r="C68" s="27" t="s">
        <v>766</v>
      </c>
      <c r="D68" s="32" t="s">
        <v>767</v>
      </c>
      <c r="E68" s="32" t="s">
        <v>767</v>
      </c>
    </row>
    <row r="69" spans="1:8" x14ac:dyDescent="0.25">
      <c r="A69" t="s">
        <v>441</v>
      </c>
      <c r="B69" t="s">
        <v>390</v>
      </c>
      <c r="C69" s="27" t="s">
        <v>769</v>
      </c>
      <c r="D69" s="32" t="s">
        <v>770</v>
      </c>
      <c r="E69" s="32" t="s">
        <v>770</v>
      </c>
    </row>
    <row r="70" spans="1:8" x14ac:dyDescent="0.25">
      <c r="A70" t="s">
        <v>441</v>
      </c>
      <c r="B70" t="s">
        <v>771</v>
      </c>
      <c r="C70" s="27" t="s">
        <v>442</v>
      </c>
      <c r="D70" s="32" t="s">
        <v>443</v>
      </c>
      <c r="E70" s="32" t="s">
        <v>443</v>
      </c>
    </row>
    <row r="71" spans="1:8" x14ac:dyDescent="0.25">
      <c r="A71" t="s">
        <v>441</v>
      </c>
      <c r="B71" t="s">
        <v>391</v>
      </c>
      <c r="C71" s="27" t="s">
        <v>772</v>
      </c>
      <c r="D71" s="32" t="s">
        <v>773</v>
      </c>
      <c r="E71" s="32" t="s">
        <v>773</v>
      </c>
    </row>
    <row r="72" spans="1:8" x14ac:dyDescent="0.25">
      <c r="A72" t="s">
        <v>441</v>
      </c>
      <c r="B72" t="s">
        <v>392</v>
      </c>
      <c r="C72" s="27" t="s">
        <v>444</v>
      </c>
      <c r="D72" s="32" t="s">
        <v>774</v>
      </c>
      <c r="E72" s="32" t="s">
        <v>774</v>
      </c>
    </row>
    <row r="73" spans="1:8" x14ac:dyDescent="0.25">
      <c r="A73" t="s">
        <v>441</v>
      </c>
      <c r="B73" t="s">
        <v>393</v>
      </c>
      <c r="C73" s="27" t="s">
        <v>445</v>
      </c>
      <c r="D73" s="32" t="s">
        <v>775</v>
      </c>
      <c r="E73" s="32" t="s">
        <v>775</v>
      </c>
    </row>
    <row r="74" spans="1:8" x14ac:dyDescent="0.25">
      <c r="A74" t="s">
        <v>441</v>
      </c>
      <c r="B74" t="s">
        <v>394</v>
      </c>
      <c r="C74" s="27" t="s">
        <v>446</v>
      </c>
      <c r="D74" s="32" t="s">
        <v>776</v>
      </c>
      <c r="E74" s="32" t="s">
        <v>776</v>
      </c>
    </row>
    <row r="75" spans="1:8" x14ac:dyDescent="0.25">
      <c r="A75" t="s">
        <v>441</v>
      </c>
      <c r="B75" t="s">
        <v>777</v>
      </c>
      <c r="C75" s="47" t="s">
        <v>447</v>
      </c>
      <c r="D75" s="32" t="s">
        <v>448</v>
      </c>
      <c r="E75" s="32" t="s">
        <v>448</v>
      </c>
    </row>
    <row r="76" spans="1:8" x14ac:dyDescent="0.25">
      <c r="A76" s="32" t="s">
        <v>441</v>
      </c>
      <c r="B76" t="s">
        <v>395</v>
      </c>
      <c r="C76" s="47" t="s">
        <v>778</v>
      </c>
      <c r="D76" s="32" t="s">
        <v>779</v>
      </c>
      <c r="E76" s="32" t="s">
        <v>779</v>
      </c>
    </row>
    <row r="77" spans="1:8" x14ac:dyDescent="0.25">
      <c r="A77" s="32" t="s">
        <v>441</v>
      </c>
      <c r="B77" t="s">
        <v>396</v>
      </c>
      <c r="C77" s="47" t="s">
        <v>449</v>
      </c>
      <c r="D77" s="32" t="s">
        <v>780</v>
      </c>
      <c r="E77" s="32" t="s">
        <v>780</v>
      </c>
    </row>
    <row r="78" spans="1:8" x14ac:dyDescent="0.25">
      <c r="A78" s="32" t="s">
        <v>441</v>
      </c>
      <c r="B78" t="s">
        <v>397</v>
      </c>
      <c r="C78" s="47" t="s">
        <v>450</v>
      </c>
      <c r="D78" s="32" t="s">
        <v>781</v>
      </c>
      <c r="E78" s="32" t="s">
        <v>781</v>
      </c>
    </row>
    <row r="79" spans="1:8" x14ac:dyDescent="0.25">
      <c r="A79" s="32" t="s">
        <v>441</v>
      </c>
      <c r="B79" t="s">
        <v>578</v>
      </c>
      <c r="C79" s="47" t="s">
        <v>451</v>
      </c>
      <c r="D79" s="32" t="s">
        <v>782</v>
      </c>
      <c r="E79" s="32" t="s">
        <v>782</v>
      </c>
    </row>
    <row r="80" spans="1:8" x14ac:dyDescent="0.25">
      <c r="A80" s="32" t="s">
        <v>441</v>
      </c>
      <c r="B80" t="s">
        <v>398</v>
      </c>
      <c r="C80" s="47" t="s">
        <v>579</v>
      </c>
      <c r="D80" s="32" t="s">
        <v>580</v>
      </c>
      <c r="E80" s="32" t="s">
        <v>580</v>
      </c>
    </row>
    <row r="81" spans="1:5" x14ac:dyDescent="0.25">
      <c r="A81" s="32" t="s">
        <v>441</v>
      </c>
      <c r="B81" t="s">
        <v>582</v>
      </c>
      <c r="C81" s="47" t="s">
        <v>452</v>
      </c>
      <c r="D81" s="32" t="s">
        <v>783</v>
      </c>
      <c r="E81" s="32" t="s">
        <v>783</v>
      </c>
    </row>
    <row r="82" spans="1:5" x14ac:dyDescent="0.25">
      <c r="A82" s="32" t="s">
        <v>441</v>
      </c>
      <c r="B82" t="s">
        <v>784</v>
      </c>
      <c r="C82" s="47" t="s">
        <v>583</v>
      </c>
      <c r="D82" s="32" t="s">
        <v>584</v>
      </c>
      <c r="E82" s="32" t="s">
        <v>584</v>
      </c>
    </row>
    <row r="83" spans="1:5" x14ac:dyDescent="0.25">
      <c r="A83" t="s">
        <v>441</v>
      </c>
      <c r="B83" t="s">
        <v>399</v>
      </c>
      <c r="C83" s="27" t="s">
        <v>785</v>
      </c>
      <c r="D83" s="32" t="s">
        <v>786</v>
      </c>
      <c r="E83" s="32" t="s">
        <v>786</v>
      </c>
    </row>
    <row r="84" spans="1:5" x14ac:dyDescent="0.25">
      <c r="A84" t="s">
        <v>441</v>
      </c>
      <c r="B84" t="s">
        <v>400</v>
      </c>
      <c r="C84" s="27" t="s">
        <v>453</v>
      </c>
      <c r="D84" s="32" t="s">
        <v>787</v>
      </c>
      <c r="E84" s="32" t="s">
        <v>787</v>
      </c>
    </row>
    <row r="85" spans="1:5" x14ac:dyDescent="0.25">
      <c r="A85" t="s">
        <v>441</v>
      </c>
      <c r="B85" t="s">
        <v>402</v>
      </c>
      <c r="C85" s="27" t="s">
        <v>454</v>
      </c>
      <c r="D85" s="32" t="s">
        <v>659</v>
      </c>
      <c r="E85" s="32" t="s">
        <v>659</v>
      </c>
    </row>
    <row r="86" spans="1:5" x14ac:dyDescent="0.25">
      <c r="A86" t="s">
        <v>441</v>
      </c>
      <c r="B86" t="s">
        <v>404</v>
      </c>
      <c r="C86" s="27" t="s">
        <v>455</v>
      </c>
      <c r="D86" s="32" t="s">
        <v>403</v>
      </c>
      <c r="E86" s="32" t="s">
        <v>403</v>
      </c>
    </row>
    <row r="87" spans="1:5" x14ac:dyDescent="0.25">
      <c r="A87" t="s">
        <v>441</v>
      </c>
      <c r="B87" t="s">
        <v>586</v>
      </c>
      <c r="C87" s="27" t="s">
        <v>456</v>
      </c>
      <c r="D87" s="32" t="s">
        <v>663</v>
      </c>
      <c r="E87" s="32" t="s">
        <v>663</v>
      </c>
    </row>
    <row r="88" spans="1:5" x14ac:dyDescent="0.25">
      <c r="A88" t="s">
        <v>441</v>
      </c>
      <c r="B88" t="s">
        <v>788</v>
      </c>
      <c r="C88" s="27" t="s">
        <v>587</v>
      </c>
      <c r="D88" s="32" t="s">
        <v>406</v>
      </c>
      <c r="E88" s="32" t="s">
        <v>406</v>
      </c>
    </row>
    <row r="89" spans="1:5" x14ac:dyDescent="0.25">
      <c r="A89" t="s">
        <v>441</v>
      </c>
      <c r="B89" t="s">
        <v>588</v>
      </c>
      <c r="C89" s="27" t="s">
        <v>789</v>
      </c>
      <c r="D89" s="32" t="s">
        <v>790</v>
      </c>
      <c r="E89" s="32" t="s">
        <v>790</v>
      </c>
    </row>
    <row r="90" spans="1:5" x14ac:dyDescent="0.25">
      <c r="B90" t="s">
        <v>591</v>
      </c>
      <c r="C90" s="27" t="s">
        <v>589</v>
      </c>
      <c r="D90" s="32" t="s">
        <v>791</v>
      </c>
      <c r="E90" s="32" t="s">
        <v>791</v>
      </c>
    </row>
    <row r="91" spans="1:5" x14ac:dyDescent="0.25">
      <c r="A91" t="s">
        <v>441</v>
      </c>
      <c r="B91" t="s">
        <v>407</v>
      </c>
      <c r="C91" s="27" t="s">
        <v>591</v>
      </c>
      <c r="D91" s="32" t="s">
        <v>792</v>
      </c>
      <c r="E91" s="32" t="s">
        <v>792</v>
      </c>
    </row>
    <row r="92" spans="1:5" x14ac:dyDescent="0.25">
      <c r="A92" t="s">
        <v>441</v>
      </c>
      <c r="B92" t="s">
        <v>793</v>
      </c>
      <c r="C92" s="27" t="s">
        <v>457</v>
      </c>
      <c r="D92" s="32" t="s">
        <v>458</v>
      </c>
      <c r="E92" s="32" t="s">
        <v>458</v>
      </c>
    </row>
    <row r="93" spans="1:5" x14ac:dyDescent="0.25">
      <c r="A93" t="s">
        <v>441</v>
      </c>
      <c r="B93" t="s">
        <v>408</v>
      </c>
      <c r="C93" s="27" t="s">
        <v>794</v>
      </c>
      <c r="D93" s="32" t="s">
        <v>795</v>
      </c>
      <c r="E93" s="32" t="s">
        <v>795</v>
      </c>
    </row>
    <row r="94" spans="1:5" x14ac:dyDescent="0.25">
      <c r="A94" t="s">
        <v>441</v>
      </c>
      <c r="B94" t="s">
        <v>409</v>
      </c>
      <c r="C94" s="27" t="s">
        <v>459</v>
      </c>
      <c r="D94" s="32" t="s">
        <v>796</v>
      </c>
      <c r="E94" s="32" t="s">
        <v>796</v>
      </c>
    </row>
    <row r="95" spans="1:5" x14ac:dyDescent="0.25">
      <c r="A95" t="s">
        <v>441</v>
      </c>
      <c r="B95" t="s">
        <v>410</v>
      </c>
      <c r="C95" s="27" t="s">
        <v>460</v>
      </c>
      <c r="D95" s="32" t="s">
        <v>797</v>
      </c>
      <c r="E95" s="32" t="s">
        <v>797</v>
      </c>
    </row>
    <row r="96" spans="1:5" x14ac:dyDescent="0.25">
      <c r="A96" t="s">
        <v>441</v>
      </c>
      <c r="B96" t="s">
        <v>596</v>
      </c>
      <c r="C96" s="27" t="s">
        <v>461</v>
      </c>
      <c r="D96" s="32" t="s">
        <v>798</v>
      </c>
      <c r="E96" s="32" t="s">
        <v>798</v>
      </c>
    </row>
    <row r="97" spans="1:5" x14ac:dyDescent="0.25">
      <c r="A97" t="s">
        <v>441</v>
      </c>
      <c r="B97" t="s">
        <v>799</v>
      </c>
      <c r="C97" s="27" t="s">
        <v>597</v>
      </c>
      <c r="D97" s="32" t="s">
        <v>598</v>
      </c>
      <c r="E97" s="32" t="s">
        <v>598</v>
      </c>
    </row>
    <row r="98" spans="1:5" x14ac:dyDescent="0.25">
      <c r="A98" t="s">
        <v>441</v>
      </c>
      <c r="B98" t="s">
        <v>411</v>
      </c>
      <c r="C98" s="27" t="s">
        <v>800</v>
      </c>
      <c r="D98" s="32" t="s">
        <v>801</v>
      </c>
      <c r="E98" s="32" t="s">
        <v>801</v>
      </c>
    </row>
    <row r="99" spans="1:5" x14ac:dyDescent="0.25">
      <c r="A99" t="s">
        <v>441</v>
      </c>
      <c r="B99" t="s">
        <v>412</v>
      </c>
      <c r="C99" s="27" t="s">
        <v>462</v>
      </c>
      <c r="D99" s="32" t="s">
        <v>802</v>
      </c>
      <c r="E99" s="32" t="s">
        <v>802</v>
      </c>
    </row>
    <row r="100" spans="1:5" x14ac:dyDescent="0.25">
      <c r="A100" t="s">
        <v>441</v>
      </c>
      <c r="B100" t="s">
        <v>414</v>
      </c>
      <c r="C100" s="27" t="s">
        <v>463</v>
      </c>
      <c r="D100" s="32" t="s">
        <v>803</v>
      </c>
      <c r="E100" s="32" t="s">
        <v>803</v>
      </c>
    </row>
    <row r="101" spans="1:5" x14ac:dyDescent="0.25">
      <c r="A101" t="s">
        <v>441</v>
      </c>
      <c r="B101" t="s">
        <v>416</v>
      </c>
      <c r="C101" s="27" t="s">
        <v>464</v>
      </c>
      <c r="D101" s="32" t="s">
        <v>415</v>
      </c>
      <c r="E101" s="32" t="s">
        <v>415</v>
      </c>
    </row>
    <row r="102" spans="1:5" x14ac:dyDescent="0.25">
      <c r="A102" t="s">
        <v>441</v>
      </c>
      <c r="B102" t="s">
        <v>418</v>
      </c>
      <c r="C102" s="27" t="s">
        <v>465</v>
      </c>
      <c r="D102" s="32" t="s">
        <v>804</v>
      </c>
      <c r="E102" s="32" t="s">
        <v>804</v>
      </c>
    </row>
    <row r="103" spans="1:5" x14ac:dyDescent="0.25">
      <c r="A103" t="s">
        <v>441</v>
      </c>
      <c r="B103" t="s">
        <v>805</v>
      </c>
      <c r="C103" s="27" t="s">
        <v>466</v>
      </c>
      <c r="D103" s="32" t="s">
        <v>419</v>
      </c>
      <c r="E103" s="32" t="s">
        <v>419</v>
      </c>
    </row>
    <row r="104" spans="1:5" x14ac:dyDescent="0.25">
      <c r="A104" t="s">
        <v>441</v>
      </c>
      <c r="B104" t="s">
        <v>600</v>
      </c>
      <c r="C104" s="27" t="s">
        <v>806</v>
      </c>
      <c r="D104" s="32" t="s">
        <v>807</v>
      </c>
      <c r="E104" s="32" t="s">
        <v>807</v>
      </c>
    </row>
    <row r="105" spans="1:5" x14ac:dyDescent="0.25">
      <c r="A105" t="s">
        <v>441</v>
      </c>
      <c r="B105" t="s">
        <v>809</v>
      </c>
      <c r="C105" s="27" t="s">
        <v>601</v>
      </c>
      <c r="D105" s="32" t="s">
        <v>808</v>
      </c>
      <c r="E105" s="32" t="s">
        <v>808</v>
      </c>
    </row>
    <row r="106" spans="1:5" x14ac:dyDescent="0.25">
      <c r="A106" t="s">
        <v>441</v>
      </c>
      <c r="B106" t="s">
        <v>812</v>
      </c>
      <c r="C106" s="27" t="s">
        <v>810</v>
      </c>
      <c r="D106" s="32" t="s">
        <v>811</v>
      </c>
      <c r="E106" s="32" t="s">
        <v>811</v>
      </c>
    </row>
    <row r="107" spans="1:5" x14ac:dyDescent="0.25">
      <c r="A107" t="s">
        <v>441</v>
      </c>
      <c r="B107" t="s">
        <v>815</v>
      </c>
      <c r="C107" s="27" t="s">
        <v>813</v>
      </c>
      <c r="D107" s="32" t="s">
        <v>814</v>
      </c>
      <c r="E107" s="32" t="s">
        <v>814</v>
      </c>
    </row>
    <row r="108" spans="1:5" x14ac:dyDescent="0.25">
      <c r="A108" t="s">
        <v>441</v>
      </c>
      <c r="B108" t="s">
        <v>420</v>
      </c>
      <c r="C108" s="27" t="s">
        <v>816</v>
      </c>
      <c r="D108" s="32" t="s">
        <v>817</v>
      </c>
      <c r="E108" s="32" t="s">
        <v>817</v>
      </c>
    </row>
    <row r="109" spans="1:5" x14ac:dyDescent="0.25">
      <c r="A109" t="s">
        <v>441</v>
      </c>
      <c r="B109" t="s">
        <v>421</v>
      </c>
      <c r="C109" s="27" t="s">
        <v>467</v>
      </c>
      <c r="D109" s="32" t="s">
        <v>818</v>
      </c>
      <c r="E109" s="32" t="s">
        <v>818</v>
      </c>
    </row>
    <row r="110" spans="1:5" x14ac:dyDescent="0.25">
      <c r="A110" t="s">
        <v>441</v>
      </c>
      <c r="B110" t="s">
        <v>422</v>
      </c>
      <c r="C110" s="27" t="s">
        <v>468</v>
      </c>
      <c r="D110" s="32" t="s">
        <v>819</v>
      </c>
      <c r="E110" s="32" t="s">
        <v>819</v>
      </c>
    </row>
    <row r="111" spans="1:5" x14ac:dyDescent="0.25">
      <c r="A111" t="s">
        <v>441</v>
      </c>
      <c r="B111" t="s">
        <v>606</v>
      </c>
      <c r="C111" s="27" t="s">
        <v>469</v>
      </c>
      <c r="D111" s="32" t="s">
        <v>820</v>
      </c>
      <c r="E111" s="32" t="s">
        <v>820</v>
      </c>
    </row>
    <row r="112" spans="1:5" x14ac:dyDescent="0.25">
      <c r="A112" t="s">
        <v>441</v>
      </c>
      <c r="B112" t="s">
        <v>821</v>
      </c>
      <c r="C112" s="27" t="s">
        <v>607</v>
      </c>
      <c r="D112" s="32" t="s">
        <v>608</v>
      </c>
      <c r="E112" s="32" t="s">
        <v>608</v>
      </c>
    </row>
    <row r="113" spans="1:5" x14ac:dyDescent="0.25">
      <c r="A113" t="s">
        <v>441</v>
      </c>
      <c r="B113" t="s">
        <v>423</v>
      </c>
      <c r="C113" s="27" t="s">
        <v>822</v>
      </c>
      <c r="D113" s="32" t="s">
        <v>823</v>
      </c>
      <c r="E113" s="32" t="s">
        <v>823</v>
      </c>
    </row>
    <row r="114" spans="1:5" x14ac:dyDescent="0.25">
      <c r="A114" t="s">
        <v>441</v>
      </c>
      <c r="B114" t="s">
        <v>610</v>
      </c>
      <c r="C114" s="27" t="s">
        <v>470</v>
      </c>
      <c r="D114" s="32" t="s">
        <v>824</v>
      </c>
      <c r="E114" s="32" t="s">
        <v>824</v>
      </c>
    </row>
    <row r="115" spans="1:5" x14ac:dyDescent="0.25">
      <c r="A115" t="s">
        <v>441</v>
      </c>
      <c r="B115" t="s">
        <v>424</v>
      </c>
      <c r="C115" s="27" t="s">
        <v>611</v>
      </c>
      <c r="D115" s="32" t="s">
        <v>612</v>
      </c>
      <c r="E115" s="32" t="s">
        <v>612</v>
      </c>
    </row>
    <row r="116" spans="1:5" x14ac:dyDescent="0.25">
      <c r="A116" t="s">
        <v>441</v>
      </c>
      <c r="B116" t="s">
        <v>426</v>
      </c>
      <c r="C116" s="27" t="s">
        <v>471</v>
      </c>
      <c r="D116" s="32" t="s">
        <v>825</v>
      </c>
      <c r="E116" s="32" t="s">
        <v>825</v>
      </c>
    </row>
    <row r="117" spans="1:5" x14ac:dyDescent="0.25">
      <c r="A117" t="s">
        <v>441</v>
      </c>
      <c r="B117" t="s">
        <v>428</v>
      </c>
      <c r="C117" s="27" t="s">
        <v>472</v>
      </c>
      <c r="D117" s="32" t="s">
        <v>427</v>
      </c>
      <c r="E117" s="32" t="s">
        <v>427</v>
      </c>
    </row>
    <row r="118" spans="1:5" x14ac:dyDescent="0.25">
      <c r="A118" t="s">
        <v>441</v>
      </c>
      <c r="B118" t="s">
        <v>430</v>
      </c>
      <c r="C118" s="27" t="s">
        <v>473</v>
      </c>
      <c r="D118" s="32" t="s">
        <v>826</v>
      </c>
      <c r="E118" s="32" t="s">
        <v>826</v>
      </c>
    </row>
    <row r="119" spans="1:5" x14ac:dyDescent="0.25">
      <c r="A119" t="s">
        <v>441</v>
      </c>
      <c r="B119" t="s">
        <v>827</v>
      </c>
      <c r="C119" s="27" t="s">
        <v>474</v>
      </c>
      <c r="D119" s="32" t="s">
        <v>431</v>
      </c>
      <c r="E119" s="32" t="s">
        <v>431</v>
      </c>
    </row>
    <row r="120" spans="1:5" x14ac:dyDescent="0.25">
      <c r="A120" t="s">
        <v>441</v>
      </c>
      <c r="B120" t="s">
        <v>830</v>
      </c>
      <c r="C120" s="27" t="s">
        <v>828</v>
      </c>
      <c r="D120" s="32" t="s">
        <v>829</v>
      </c>
      <c r="E120" s="32" t="s">
        <v>829</v>
      </c>
    </row>
    <row r="121" spans="1:5" x14ac:dyDescent="0.25">
      <c r="A121" t="s">
        <v>441</v>
      </c>
      <c r="B121" t="s">
        <v>613</v>
      </c>
      <c r="C121" s="27" t="s">
        <v>831</v>
      </c>
      <c r="D121" s="32" t="s">
        <v>832</v>
      </c>
      <c r="E121" s="32" t="s">
        <v>832</v>
      </c>
    </row>
    <row r="122" spans="1:5" x14ac:dyDescent="0.25">
      <c r="A122" t="s">
        <v>441</v>
      </c>
      <c r="B122" t="s">
        <v>670</v>
      </c>
      <c r="C122" s="27" t="s">
        <v>614</v>
      </c>
      <c r="D122" s="32" t="s">
        <v>833</v>
      </c>
      <c r="E122" s="32" t="s">
        <v>833</v>
      </c>
    </row>
    <row r="123" spans="1:5" x14ac:dyDescent="0.25">
      <c r="B123" t="s">
        <v>836</v>
      </c>
      <c r="C123" s="27" t="s">
        <v>834</v>
      </c>
      <c r="D123" s="32" t="s">
        <v>835</v>
      </c>
      <c r="E123" s="32" t="s">
        <v>835</v>
      </c>
    </row>
    <row r="124" spans="1:5" x14ac:dyDescent="0.25">
      <c r="A124" t="s">
        <v>441</v>
      </c>
      <c r="B124" t="s">
        <v>158</v>
      </c>
      <c r="C124" s="27" t="s">
        <v>836</v>
      </c>
      <c r="D124" s="32" t="s">
        <v>837</v>
      </c>
      <c r="E124" s="32" t="s">
        <v>837</v>
      </c>
    </row>
    <row r="125" spans="1:5" x14ac:dyDescent="0.25">
      <c r="A125" t="s">
        <v>441</v>
      </c>
      <c r="B125" t="s">
        <v>838</v>
      </c>
      <c r="C125" s="27" t="s">
        <v>475</v>
      </c>
      <c r="D125" s="32" t="s">
        <v>476</v>
      </c>
      <c r="E125" s="32" t="s">
        <v>476</v>
      </c>
    </row>
    <row r="126" spans="1:5" x14ac:dyDescent="0.25">
      <c r="A126" t="s">
        <v>441</v>
      </c>
      <c r="B126" t="s">
        <v>432</v>
      </c>
      <c r="C126" s="27" t="s">
        <v>839</v>
      </c>
      <c r="D126" s="32" t="s">
        <v>840</v>
      </c>
      <c r="E126" s="32" t="s">
        <v>840</v>
      </c>
    </row>
    <row r="127" spans="1:5" x14ac:dyDescent="0.25">
      <c r="A127" t="s">
        <v>441</v>
      </c>
      <c r="B127" t="s">
        <v>433</v>
      </c>
      <c r="C127" s="27" t="s">
        <v>477</v>
      </c>
      <c r="D127" s="32" t="s">
        <v>841</v>
      </c>
      <c r="E127" s="32" t="s">
        <v>841</v>
      </c>
    </row>
    <row r="128" spans="1:5" x14ac:dyDescent="0.25">
      <c r="A128" t="s">
        <v>441</v>
      </c>
      <c r="B128" t="s">
        <v>434</v>
      </c>
      <c r="C128" s="27" t="s">
        <v>478</v>
      </c>
      <c r="D128" s="32" t="s">
        <v>842</v>
      </c>
      <c r="E128" s="32" t="s">
        <v>842</v>
      </c>
    </row>
    <row r="129" spans="1:5" x14ac:dyDescent="0.25">
      <c r="A129" t="s">
        <v>441</v>
      </c>
      <c r="B129" t="s">
        <v>619</v>
      </c>
      <c r="C129" s="27" t="s">
        <v>479</v>
      </c>
      <c r="D129" s="32" t="s">
        <v>843</v>
      </c>
      <c r="E129" s="32" t="s">
        <v>843</v>
      </c>
    </row>
    <row r="130" spans="1:5" x14ac:dyDescent="0.25">
      <c r="A130" t="s">
        <v>441</v>
      </c>
      <c r="B130" t="s">
        <v>622</v>
      </c>
      <c r="C130" s="27" t="s">
        <v>620</v>
      </c>
      <c r="D130" s="32" t="s">
        <v>621</v>
      </c>
      <c r="E130" s="32" t="s">
        <v>621</v>
      </c>
    </row>
    <row r="131" spans="1:5" x14ac:dyDescent="0.25">
      <c r="A131" t="s">
        <v>441</v>
      </c>
      <c r="B131" t="s">
        <v>844</v>
      </c>
      <c r="C131" s="27" t="s">
        <v>623</v>
      </c>
      <c r="D131" s="32" t="s">
        <v>624</v>
      </c>
      <c r="E131" s="32" t="s">
        <v>624</v>
      </c>
    </row>
    <row r="132" spans="1:5" x14ac:dyDescent="0.25">
      <c r="A132" t="s">
        <v>441</v>
      </c>
      <c r="B132" t="s">
        <v>435</v>
      </c>
      <c r="C132" s="27" t="s">
        <v>845</v>
      </c>
      <c r="D132" s="32" t="s">
        <v>846</v>
      </c>
      <c r="E132" s="32" t="s">
        <v>846</v>
      </c>
    </row>
    <row r="133" spans="1:5" x14ac:dyDescent="0.25">
      <c r="A133" t="s">
        <v>441</v>
      </c>
      <c r="B133" t="s">
        <v>848</v>
      </c>
      <c r="C133" s="27" t="s">
        <v>480</v>
      </c>
      <c r="D133" s="32" t="s">
        <v>847</v>
      </c>
      <c r="E133" s="32" t="s">
        <v>847</v>
      </c>
    </row>
    <row r="134" spans="1:5" x14ac:dyDescent="0.25">
      <c r="A134" t="s">
        <v>441</v>
      </c>
      <c r="B134" t="s">
        <v>851</v>
      </c>
      <c r="C134" s="27" t="s">
        <v>849</v>
      </c>
      <c r="D134" s="32" t="s">
        <v>850</v>
      </c>
      <c r="E134" s="32" t="s">
        <v>850</v>
      </c>
    </row>
    <row r="135" spans="1:5" x14ac:dyDescent="0.25">
      <c r="A135" t="s">
        <v>441</v>
      </c>
      <c r="B135" t="s">
        <v>854</v>
      </c>
      <c r="C135" s="27" t="s">
        <v>852</v>
      </c>
      <c r="D135" s="32" t="s">
        <v>853</v>
      </c>
      <c r="E135" s="32" t="s">
        <v>853</v>
      </c>
    </row>
    <row r="136" spans="1:5" x14ac:dyDescent="0.25">
      <c r="A136" t="s">
        <v>441</v>
      </c>
      <c r="B136" t="s">
        <v>857</v>
      </c>
      <c r="C136" s="27" t="s">
        <v>855</v>
      </c>
      <c r="D136" s="32" t="s">
        <v>856</v>
      </c>
      <c r="E136" s="32" t="s">
        <v>856</v>
      </c>
    </row>
    <row r="137" spans="1:5" x14ac:dyDescent="0.25">
      <c r="A137" t="s">
        <v>441</v>
      </c>
      <c r="B137" t="s">
        <v>859</v>
      </c>
      <c r="C137" s="27" t="s">
        <v>858</v>
      </c>
      <c r="D137" s="32" t="s">
        <v>856</v>
      </c>
      <c r="E137" s="32" t="s">
        <v>856</v>
      </c>
    </row>
    <row r="138" spans="1:5" x14ac:dyDescent="0.25">
      <c r="A138" t="s">
        <v>441</v>
      </c>
      <c r="B138" t="s">
        <v>861</v>
      </c>
      <c r="C138" s="27" t="s">
        <v>860</v>
      </c>
      <c r="D138" s="32" t="s">
        <v>856</v>
      </c>
      <c r="E138" s="32" t="s">
        <v>856</v>
      </c>
    </row>
    <row r="139" spans="1:5" x14ac:dyDescent="0.25">
      <c r="A139" t="s">
        <v>441</v>
      </c>
      <c r="B139" t="s">
        <v>864</v>
      </c>
      <c r="C139" s="27" t="s">
        <v>862</v>
      </c>
      <c r="D139" s="32" t="s">
        <v>863</v>
      </c>
      <c r="E139" s="32" t="s">
        <v>863</v>
      </c>
    </row>
    <row r="140" spans="1:5" x14ac:dyDescent="0.25">
      <c r="A140" t="s">
        <v>441</v>
      </c>
      <c r="B140" t="s">
        <v>866</v>
      </c>
      <c r="C140" s="27" t="s">
        <v>865</v>
      </c>
      <c r="D140" s="32" t="s">
        <v>443</v>
      </c>
      <c r="E140" s="32" t="s">
        <v>443</v>
      </c>
    </row>
    <row r="141" spans="1:5" x14ac:dyDescent="0.25">
      <c r="A141" t="s">
        <v>441</v>
      </c>
      <c r="B141" t="s">
        <v>868</v>
      </c>
      <c r="C141" s="27" t="s">
        <v>867</v>
      </c>
      <c r="D141" s="32" t="s">
        <v>448</v>
      </c>
      <c r="E141" s="32" t="s">
        <v>448</v>
      </c>
    </row>
    <row r="142" spans="1:5" x14ac:dyDescent="0.25">
      <c r="A142" t="s">
        <v>441</v>
      </c>
      <c r="B142" t="s">
        <v>870</v>
      </c>
      <c r="C142" s="27" t="s">
        <v>869</v>
      </c>
      <c r="D142" s="32" t="s">
        <v>458</v>
      </c>
      <c r="E142" s="32" t="s">
        <v>458</v>
      </c>
    </row>
    <row r="143" spans="1:5" x14ac:dyDescent="0.25">
      <c r="A143" t="s">
        <v>441</v>
      </c>
      <c r="B143" t="s">
        <v>872</v>
      </c>
      <c r="C143" s="27" t="s">
        <v>871</v>
      </c>
      <c r="D143" s="32" t="s">
        <v>458</v>
      </c>
      <c r="E143" s="32" t="s">
        <v>458</v>
      </c>
    </row>
    <row r="144" spans="1:5" x14ac:dyDescent="0.25">
      <c r="A144" t="s">
        <v>441</v>
      </c>
      <c r="B144" t="s">
        <v>874</v>
      </c>
      <c r="C144" s="27" t="s">
        <v>873</v>
      </c>
      <c r="D144" s="32" t="s">
        <v>598</v>
      </c>
      <c r="E144" s="32" t="s">
        <v>598</v>
      </c>
    </row>
    <row r="145" spans="1:5" x14ac:dyDescent="0.25">
      <c r="A145" t="s">
        <v>441</v>
      </c>
      <c r="B145" t="s">
        <v>876</v>
      </c>
      <c r="C145" s="27" t="s">
        <v>875</v>
      </c>
      <c r="D145" s="32" t="s">
        <v>863</v>
      </c>
      <c r="E145" s="32" t="s">
        <v>863</v>
      </c>
    </row>
    <row r="146" spans="1:5" x14ac:dyDescent="0.25">
      <c r="A146" t="s">
        <v>441</v>
      </c>
      <c r="B146" t="s">
        <v>879</v>
      </c>
      <c r="C146" s="27" t="s">
        <v>877</v>
      </c>
      <c r="D146" s="32" t="s">
        <v>878</v>
      </c>
      <c r="E146" s="32" t="s">
        <v>878</v>
      </c>
    </row>
    <row r="147" spans="1:5" x14ac:dyDescent="0.25">
      <c r="A147" t="s">
        <v>441</v>
      </c>
      <c r="B147" t="s">
        <v>882</v>
      </c>
      <c r="C147" s="27" t="s">
        <v>880</v>
      </c>
      <c r="D147" s="32" t="s">
        <v>881</v>
      </c>
      <c r="E147" s="32" t="s">
        <v>881</v>
      </c>
    </row>
    <row r="148" spans="1:5" x14ac:dyDescent="0.25">
      <c r="A148" t="s">
        <v>441</v>
      </c>
      <c r="B148" t="s">
        <v>885</v>
      </c>
      <c r="C148" s="27" t="s">
        <v>883</v>
      </c>
      <c r="D148" s="32" t="s">
        <v>884</v>
      </c>
      <c r="E148" s="32" t="s">
        <v>884</v>
      </c>
    </row>
    <row r="149" spans="1:5" x14ac:dyDescent="0.25">
      <c r="A149" t="s">
        <v>441</v>
      </c>
      <c r="B149" t="s">
        <v>887</v>
      </c>
      <c r="C149" s="27" t="s">
        <v>886</v>
      </c>
      <c r="D149" s="32" t="s">
        <v>856</v>
      </c>
      <c r="E149" s="32" t="s">
        <v>856</v>
      </c>
    </row>
    <row r="150" spans="1:5" x14ac:dyDescent="0.25">
      <c r="A150" t="s">
        <v>441</v>
      </c>
      <c r="B150" t="s">
        <v>889</v>
      </c>
      <c r="C150" s="27" t="s">
        <v>888</v>
      </c>
      <c r="D150" s="32" t="s">
        <v>863</v>
      </c>
      <c r="E150" s="32" t="s">
        <v>863</v>
      </c>
    </row>
    <row r="151" spans="1:5" x14ac:dyDescent="0.25">
      <c r="A151" t="s">
        <v>441</v>
      </c>
      <c r="B151" t="s">
        <v>892</v>
      </c>
      <c r="C151" s="27" t="s">
        <v>890</v>
      </c>
      <c r="D151" s="32" t="s">
        <v>891</v>
      </c>
      <c r="E151" s="32" t="s">
        <v>891</v>
      </c>
    </row>
    <row r="152" spans="1:5" x14ac:dyDescent="0.25">
      <c r="A152" t="s">
        <v>441</v>
      </c>
      <c r="B152" t="s">
        <v>894</v>
      </c>
      <c r="C152" s="27" t="s">
        <v>893</v>
      </c>
      <c r="D152" s="32" t="s">
        <v>856</v>
      </c>
      <c r="E152" s="32" t="s">
        <v>856</v>
      </c>
    </row>
    <row r="153" spans="1:5" x14ac:dyDescent="0.25">
      <c r="A153" t="s">
        <v>441</v>
      </c>
      <c r="B153" t="s">
        <v>896</v>
      </c>
      <c r="C153" s="27" t="s">
        <v>895</v>
      </c>
      <c r="D153" s="32" t="s">
        <v>608</v>
      </c>
      <c r="E153" s="32" t="s">
        <v>608</v>
      </c>
    </row>
    <row r="154" spans="1:5" x14ac:dyDescent="0.25">
      <c r="A154" t="s">
        <v>441</v>
      </c>
      <c r="B154" t="s">
        <v>899</v>
      </c>
      <c r="C154" s="27" t="s">
        <v>897</v>
      </c>
      <c r="D154" s="32" t="s">
        <v>898</v>
      </c>
      <c r="E154" s="32" t="s">
        <v>898</v>
      </c>
    </row>
    <row r="155" spans="1:5" x14ac:dyDescent="0.25">
      <c r="A155" t="s">
        <v>441</v>
      </c>
      <c r="B155" t="s">
        <v>901</v>
      </c>
      <c r="C155" s="27" t="s">
        <v>900</v>
      </c>
      <c r="D155" s="32" t="s">
        <v>856</v>
      </c>
      <c r="E155" s="32" t="s">
        <v>856</v>
      </c>
    </row>
    <row r="156" spans="1:5" x14ac:dyDescent="0.25">
      <c r="A156" t="s">
        <v>441</v>
      </c>
      <c r="B156" t="s">
        <v>903</v>
      </c>
      <c r="C156" s="27" t="s">
        <v>902</v>
      </c>
      <c r="D156" s="32" t="s">
        <v>891</v>
      </c>
      <c r="E156" s="32" t="s">
        <v>891</v>
      </c>
    </row>
    <row r="157" spans="1:5" x14ac:dyDescent="0.25">
      <c r="A157" t="s">
        <v>441</v>
      </c>
      <c r="B157" t="s">
        <v>905</v>
      </c>
      <c r="C157" s="27" t="s">
        <v>904</v>
      </c>
      <c r="D157" s="32" t="s">
        <v>891</v>
      </c>
      <c r="E157" s="32" t="s">
        <v>891</v>
      </c>
    </row>
    <row r="158" spans="1:5" x14ac:dyDescent="0.25">
      <c r="A158" t="s">
        <v>441</v>
      </c>
      <c r="B158" t="s">
        <v>907</v>
      </c>
      <c r="C158" s="27" t="s">
        <v>906</v>
      </c>
      <c r="D158" s="32" t="s">
        <v>891</v>
      </c>
      <c r="E158" s="32" t="s">
        <v>891</v>
      </c>
    </row>
    <row r="159" spans="1:5" x14ac:dyDescent="0.25">
      <c r="A159" t="s">
        <v>441</v>
      </c>
      <c r="B159" t="s">
        <v>909</v>
      </c>
      <c r="C159" s="27" t="s">
        <v>908</v>
      </c>
      <c r="D159" s="32" t="s">
        <v>891</v>
      </c>
      <c r="E159" s="32" t="s">
        <v>891</v>
      </c>
    </row>
    <row r="160" spans="1:5" x14ac:dyDescent="0.25">
      <c r="A160" t="s">
        <v>441</v>
      </c>
      <c r="B160" t="s">
        <v>911</v>
      </c>
      <c r="C160" s="27" t="s">
        <v>910</v>
      </c>
      <c r="D160" s="32" t="s">
        <v>891</v>
      </c>
      <c r="E160" s="32" t="s">
        <v>891</v>
      </c>
    </row>
    <row r="161" spans="1:5" x14ac:dyDescent="0.25">
      <c r="A161" t="s">
        <v>441</v>
      </c>
      <c r="B161" t="s">
        <v>914</v>
      </c>
      <c r="C161" s="27" t="s">
        <v>912</v>
      </c>
      <c r="D161" s="32" t="s">
        <v>913</v>
      </c>
      <c r="E161" s="32" t="s">
        <v>913</v>
      </c>
    </row>
    <row r="162" spans="1:5" x14ac:dyDescent="0.25">
      <c r="A162" t="s">
        <v>441</v>
      </c>
      <c r="B162" t="s">
        <v>917</v>
      </c>
      <c r="C162" s="27" t="s">
        <v>915</v>
      </c>
      <c r="D162" s="32" t="s">
        <v>916</v>
      </c>
      <c r="E162" s="32" t="s">
        <v>916</v>
      </c>
    </row>
    <row r="163" spans="1:5" x14ac:dyDescent="0.25">
      <c r="A163" t="s">
        <v>441</v>
      </c>
      <c r="B163" t="s">
        <v>919</v>
      </c>
      <c r="C163" s="27" t="s">
        <v>918</v>
      </c>
      <c r="D163" s="32" t="s">
        <v>913</v>
      </c>
      <c r="E163" s="32" t="s">
        <v>913</v>
      </c>
    </row>
    <row r="164" spans="1:5" x14ac:dyDescent="0.25">
      <c r="A164" t="s">
        <v>441</v>
      </c>
      <c r="B164" t="s">
        <v>922</v>
      </c>
      <c r="C164" s="27" t="s">
        <v>920</v>
      </c>
      <c r="D164" s="32" t="s">
        <v>921</v>
      </c>
      <c r="E164" s="32" t="s">
        <v>921</v>
      </c>
    </row>
    <row r="165" spans="1:5" x14ac:dyDescent="0.25">
      <c r="A165" t="s">
        <v>441</v>
      </c>
      <c r="B165" t="s">
        <v>924</v>
      </c>
      <c r="C165" s="27" t="s">
        <v>923</v>
      </c>
      <c r="D165" s="32" t="s">
        <v>916</v>
      </c>
      <c r="E165" s="32" t="s">
        <v>916</v>
      </c>
    </row>
    <row r="166" spans="1:5" x14ac:dyDescent="0.25">
      <c r="A166" t="s">
        <v>441</v>
      </c>
      <c r="B166" t="s">
        <v>926</v>
      </c>
      <c r="C166" s="27" t="s">
        <v>925</v>
      </c>
      <c r="D166" s="32" t="s">
        <v>884</v>
      </c>
      <c r="E166" s="32" t="s">
        <v>884</v>
      </c>
    </row>
    <row r="167" spans="1:5" x14ac:dyDescent="0.25">
      <c r="A167" t="s">
        <v>441</v>
      </c>
      <c r="B167" t="s">
        <v>928</v>
      </c>
      <c r="C167" s="27" t="s">
        <v>927</v>
      </c>
      <c r="D167" s="32" t="s">
        <v>916</v>
      </c>
      <c r="E167" s="32" t="s">
        <v>916</v>
      </c>
    </row>
    <row r="168" spans="1:5" x14ac:dyDescent="0.25">
      <c r="A168" t="s">
        <v>441</v>
      </c>
      <c r="B168" t="s">
        <v>930</v>
      </c>
      <c r="C168" s="27" t="s">
        <v>929</v>
      </c>
      <c r="D168" s="32" t="s">
        <v>856</v>
      </c>
      <c r="E168" s="32" t="s">
        <v>856</v>
      </c>
    </row>
    <row r="169" spans="1:5" x14ac:dyDescent="0.25">
      <c r="A169" t="s">
        <v>441</v>
      </c>
      <c r="B169" t="s">
        <v>932</v>
      </c>
      <c r="C169" s="27" t="s">
        <v>931</v>
      </c>
      <c r="D169" s="32" t="s">
        <v>884</v>
      </c>
      <c r="E169" s="32" t="s">
        <v>884</v>
      </c>
    </row>
    <row r="170" spans="1:5" x14ac:dyDescent="0.25">
      <c r="A170" t="s">
        <v>441</v>
      </c>
      <c r="B170" t="s">
        <v>935</v>
      </c>
      <c r="C170" s="27" t="s">
        <v>933</v>
      </c>
      <c r="D170" s="32" t="s">
        <v>934</v>
      </c>
      <c r="E170" s="32" t="s">
        <v>934</v>
      </c>
    </row>
    <row r="171" spans="1:5" x14ac:dyDescent="0.25">
      <c r="A171" t="s">
        <v>441</v>
      </c>
      <c r="B171" t="s">
        <v>937</v>
      </c>
      <c r="C171" s="27" t="s">
        <v>936</v>
      </c>
      <c r="D171" s="32" t="s">
        <v>863</v>
      </c>
      <c r="E171" s="32" t="s">
        <v>863</v>
      </c>
    </row>
    <row r="172" spans="1:5" x14ac:dyDescent="0.25">
      <c r="A172" t="s">
        <v>441</v>
      </c>
      <c r="B172" t="s">
        <v>940</v>
      </c>
      <c r="C172" s="27" t="s">
        <v>938</v>
      </c>
      <c r="D172" s="32" t="s">
        <v>939</v>
      </c>
      <c r="E172" s="32" t="s">
        <v>939</v>
      </c>
    </row>
    <row r="173" spans="1:5" x14ac:dyDescent="0.25">
      <c r="A173" t="s">
        <v>441</v>
      </c>
      <c r="B173" t="s">
        <v>942</v>
      </c>
      <c r="C173" s="27" t="s">
        <v>941</v>
      </c>
      <c r="D173" s="32" t="s">
        <v>884</v>
      </c>
      <c r="E173" s="32" t="s">
        <v>884</v>
      </c>
    </row>
    <row r="174" spans="1:5" x14ac:dyDescent="0.25">
      <c r="A174" t="s">
        <v>441</v>
      </c>
      <c r="B174" t="s">
        <v>944</v>
      </c>
      <c r="C174" s="27" t="s">
        <v>943</v>
      </c>
      <c r="D174" s="32" t="s">
        <v>916</v>
      </c>
      <c r="E174" s="32" t="s">
        <v>916</v>
      </c>
    </row>
    <row r="175" spans="1:5" x14ac:dyDescent="0.25">
      <c r="B175" t="s">
        <v>626</v>
      </c>
      <c r="C175" s="27" t="s">
        <v>945</v>
      </c>
      <c r="D175" s="32" t="s">
        <v>891</v>
      </c>
      <c r="E175" s="32" t="s">
        <v>891</v>
      </c>
    </row>
    <row r="176" spans="1:5" x14ac:dyDescent="0.25">
      <c r="A176" t="s">
        <v>441</v>
      </c>
      <c r="B176" t="s">
        <v>436</v>
      </c>
      <c r="C176" s="27" t="s">
        <v>626</v>
      </c>
      <c r="D176" s="32" t="s">
        <v>627</v>
      </c>
      <c r="E176" s="32" t="s">
        <v>627</v>
      </c>
    </row>
    <row r="177" spans="1:5" x14ac:dyDescent="0.25">
      <c r="A177" t="s">
        <v>441</v>
      </c>
      <c r="B177" t="s">
        <v>437</v>
      </c>
      <c r="C177" s="27" t="s">
        <v>481</v>
      </c>
      <c r="D177" s="32" t="s">
        <v>946</v>
      </c>
      <c r="E177" s="32" t="s">
        <v>946</v>
      </c>
    </row>
    <row r="178" spans="1:5" x14ac:dyDescent="0.25">
      <c r="A178" t="s">
        <v>441</v>
      </c>
      <c r="B178" t="s">
        <v>438</v>
      </c>
      <c r="C178" s="27" t="s">
        <v>482</v>
      </c>
      <c r="D178" s="32" t="s">
        <v>947</v>
      </c>
      <c r="E178" s="32" t="s">
        <v>947</v>
      </c>
    </row>
    <row r="179" spans="1:5" x14ac:dyDescent="0.25">
      <c r="A179" t="s">
        <v>441</v>
      </c>
      <c r="B179" t="s">
        <v>439</v>
      </c>
      <c r="C179" s="27" t="s">
        <v>483</v>
      </c>
      <c r="D179" s="32" t="s">
        <v>948</v>
      </c>
      <c r="E179" s="32" t="s">
        <v>948</v>
      </c>
    </row>
    <row r="180" spans="1:5" x14ac:dyDescent="0.25">
      <c r="A180" t="s">
        <v>441</v>
      </c>
      <c r="B180" t="s">
        <v>440</v>
      </c>
      <c r="C180" s="27" t="s">
        <v>484</v>
      </c>
      <c r="D180" s="32" t="s">
        <v>949</v>
      </c>
      <c r="E180" s="32" t="s">
        <v>949</v>
      </c>
    </row>
    <row r="181" spans="1:5" x14ac:dyDescent="0.25">
      <c r="A181" t="s">
        <v>441</v>
      </c>
      <c r="B181" t="s">
        <v>951</v>
      </c>
      <c r="C181" s="27" t="s">
        <v>485</v>
      </c>
      <c r="D181" s="32" t="s">
        <v>950</v>
      </c>
      <c r="E181" s="32" t="s">
        <v>950</v>
      </c>
    </row>
    <row r="182" spans="1:5" x14ac:dyDescent="0.25">
      <c r="A182" t="s">
        <v>441</v>
      </c>
      <c r="B182" t="s">
        <v>628</v>
      </c>
      <c r="C182" s="27" t="s">
        <v>952</v>
      </c>
      <c r="D182" s="32" t="s">
        <v>953</v>
      </c>
      <c r="E182" s="32" t="s">
        <v>953</v>
      </c>
    </row>
    <row r="183" spans="1:5" x14ac:dyDescent="0.25">
      <c r="C183" s="27" t="s">
        <v>629</v>
      </c>
      <c r="D183" s="32" t="s">
        <v>954</v>
      </c>
      <c r="E183" s="32" t="s">
        <v>954</v>
      </c>
    </row>
    <row r="184" spans="1:5" s="25" customFormat="1" x14ac:dyDescent="0.25">
      <c r="C184" s="27"/>
      <c r="D184" s="32"/>
      <c r="E184" s="32"/>
    </row>
    <row r="185" spans="1:5" x14ac:dyDescent="0.25">
      <c r="C185" t="s">
        <v>635</v>
      </c>
      <c r="D185" t="s">
        <v>636</v>
      </c>
      <c r="E185" t="s">
        <v>637</v>
      </c>
    </row>
    <row r="186" spans="1:5" x14ac:dyDescent="0.25">
      <c r="A186" s="32" t="s">
        <v>748</v>
      </c>
      <c r="B186" t="s">
        <v>744</v>
      </c>
    </row>
    <row r="187" spans="1:5" x14ac:dyDescent="0.25">
      <c r="B187" t="s">
        <v>1168</v>
      </c>
      <c r="C187" s="32" t="s">
        <v>749</v>
      </c>
      <c r="D187" s="32" t="s">
        <v>1436</v>
      </c>
      <c r="E187" s="47" t="s">
        <v>1436</v>
      </c>
    </row>
    <row r="188" spans="1:5" x14ac:dyDescent="0.25">
      <c r="A188" t="s">
        <v>441</v>
      </c>
      <c r="B188" t="s">
        <v>214</v>
      </c>
      <c r="C188" t="s">
        <v>1168</v>
      </c>
      <c r="D188" s="32" t="s">
        <v>1169</v>
      </c>
      <c r="E188" s="47" t="s">
        <v>1169</v>
      </c>
    </row>
    <row r="189" spans="1:5" x14ac:dyDescent="0.25">
      <c r="A189" t="s">
        <v>441</v>
      </c>
      <c r="B189" t="s">
        <v>751</v>
      </c>
      <c r="C189" t="s">
        <v>570</v>
      </c>
      <c r="D189" s="32" t="s">
        <v>571</v>
      </c>
      <c r="E189" s="47" t="s">
        <v>571</v>
      </c>
    </row>
    <row r="190" spans="1:5" x14ac:dyDescent="0.25">
      <c r="A190" t="s">
        <v>441</v>
      </c>
      <c r="B190" t="s">
        <v>754</v>
      </c>
      <c r="C190" t="s">
        <v>752</v>
      </c>
      <c r="D190" s="32" t="s">
        <v>1170</v>
      </c>
      <c r="E190" s="47" t="s">
        <v>1170</v>
      </c>
    </row>
    <row r="191" spans="1:5" x14ac:dyDescent="0.25">
      <c r="A191" t="s">
        <v>441</v>
      </c>
      <c r="B191" t="s">
        <v>757</v>
      </c>
      <c r="C191" t="s">
        <v>755</v>
      </c>
      <c r="D191" s="32" t="s">
        <v>756</v>
      </c>
      <c r="E191" s="47" t="s">
        <v>756</v>
      </c>
    </row>
    <row r="192" spans="1:5" x14ac:dyDescent="0.25">
      <c r="A192" t="s">
        <v>441</v>
      </c>
      <c r="B192" t="s">
        <v>760</v>
      </c>
      <c r="C192" t="s">
        <v>758</v>
      </c>
      <c r="D192" s="32" t="s">
        <v>1171</v>
      </c>
      <c r="E192" s="47" t="s">
        <v>1171</v>
      </c>
    </row>
    <row r="193" spans="1:5" x14ac:dyDescent="0.25">
      <c r="A193" t="s">
        <v>441</v>
      </c>
      <c r="B193" t="s">
        <v>762</v>
      </c>
      <c r="C193" t="s">
        <v>761</v>
      </c>
      <c r="D193" s="32" t="s">
        <v>1172</v>
      </c>
      <c r="E193" s="47" t="s">
        <v>1172</v>
      </c>
    </row>
    <row r="194" spans="1:5" x14ac:dyDescent="0.25">
      <c r="A194" t="s">
        <v>441</v>
      </c>
      <c r="B194" t="s">
        <v>765</v>
      </c>
      <c r="C194" t="s">
        <v>763</v>
      </c>
      <c r="D194" s="32" t="s">
        <v>1437</v>
      </c>
      <c r="E194" s="47" t="s">
        <v>1437</v>
      </c>
    </row>
    <row r="195" spans="1:5" x14ac:dyDescent="0.25">
      <c r="A195" t="s">
        <v>441</v>
      </c>
      <c r="B195" t="s">
        <v>768</v>
      </c>
      <c r="C195" t="s">
        <v>766</v>
      </c>
      <c r="D195" s="32" t="s">
        <v>1438</v>
      </c>
      <c r="E195" s="47" t="s">
        <v>1438</v>
      </c>
    </row>
    <row r="196" spans="1:5" x14ac:dyDescent="0.25">
      <c r="A196" t="s">
        <v>441</v>
      </c>
      <c r="B196" t="s">
        <v>390</v>
      </c>
      <c r="C196" t="s">
        <v>769</v>
      </c>
      <c r="D196" s="32" t="s">
        <v>1439</v>
      </c>
      <c r="E196" s="47" t="s">
        <v>1439</v>
      </c>
    </row>
    <row r="197" spans="1:5" x14ac:dyDescent="0.25">
      <c r="A197" t="s">
        <v>441</v>
      </c>
      <c r="B197" t="s">
        <v>771</v>
      </c>
      <c r="C197" t="s">
        <v>442</v>
      </c>
      <c r="D197" s="32" t="s">
        <v>443</v>
      </c>
      <c r="E197" s="47" t="s">
        <v>443</v>
      </c>
    </row>
    <row r="198" spans="1:5" x14ac:dyDescent="0.25">
      <c r="A198" t="s">
        <v>441</v>
      </c>
      <c r="B198" t="s">
        <v>391</v>
      </c>
      <c r="C198" t="s">
        <v>772</v>
      </c>
      <c r="D198" s="32" t="s">
        <v>1440</v>
      </c>
      <c r="E198" s="47" t="s">
        <v>1440</v>
      </c>
    </row>
    <row r="199" spans="1:5" x14ac:dyDescent="0.25">
      <c r="A199" t="s">
        <v>441</v>
      </c>
      <c r="B199" t="s">
        <v>1442</v>
      </c>
      <c r="C199" t="s">
        <v>444</v>
      </c>
      <c r="D199" s="32" t="s">
        <v>1441</v>
      </c>
      <c r="E199" s="47" t="s">
        <v>1441</v>
      </c>
    </row>
    <row r="200" spans="1:5" x14ac:dyDescent="0.25">
      <c r="A200" t="s">
        <v>441</v>
      </c>
      <c r="B200" t="s">
        <v>392</v>
      </c>
      <c r="C200" t="s">
        <v>1443</v>
      </c>
      <c r="D200" s="32" t="s">
        <v>1444</v>
      </c>
      <c r="E200" s="47" t="s">
        <v>1444</v>
      </c>
    </row>
    <row r="201" spans="1:5" x14ac:dyDescent="0.25">
      <c r="A201" t="s">
        <v>441</v>
      </c>
      <c r="B201" t="s">
        <v>393</v>
      </c>
      <c r="C201" t="s">
        <v>445</v>
      </c>
      <c r="D201" s="32" t="s">
        <v>1445</v>
      </c>
      <c r="E201" s="47" t="s">
        <v>1445</v>
      </c>
    </row>
    <row r="202" spans="1:5" x14ac:dyDescent="0.25">
      <c r="A202" t="s">
        <v>441</v>
      </c>
      <c r="B202" t="s">
        <v>394</v>
      </c>
      <c r="C202" t="s">
        <v>446</v>
      </c>
      <c r="D202" s="32" t="s">
        <v>1446</v>
      </c>
      <c r="E202" s="47" t="s">
        <v>1446</v>
      </c>
    </row>
    <row r="203" spans="1:5" x14ac:dyDescent="0.25">
      <c r="A203" t="s">
        <v>441</v>
      </c>
      <c r="B203" t="s">
        <v>777</v>
      </c>
      <c r="C203" t="s">
        <v>447</v>
      </c>
      <c r="D203" s="32" t="s">
        <v>448</v>
      </c>
      <c r="E203" s="47" t="s">
        <v>448</v>
      </c>
    </row>
    <row r="204" spans="1:5" x14ac:dyDescent="0.25">
      <c r="A204" t="s">
        <v>441</v>
      </c>
      <c r="B204" t="s">
        <v>395</v>
      </c>
      <c r="C204" t="s">
        <v>778</v>
      </c>
      <c r="D204" s="32" t="s">
        <v>1173</v>
      </c>
      <c r="E204" s="47" t="s">
        <v>1173</v>
      </c>
    </row>
    <row r="205" spans="1:5" x14ac:dyDescent="0.25">
      <c r="A205" t="s">
        <v>441</v>
      </c>
      <c r="B205" t="s">
        <v>1447</v>
      </c>
      <c r="C205" t="s">
        <v>449</v>
      </c>
      <c r="D205" s="32" t="s">
        <v>1183</v>
      </c>
      <c r="E205" s="47" t="s">
        <v>1183</v>
      </c>
    </row>
    <row r="206" spans="1:5" x14ac:dyDescent="0.25">
      <c r="A206" t="s">
        <v>441</v>
      </c>
      <c r="B206" t="s">
        <v>396</v>
      </c>
      <c r="C206" t="s">
        <v>1448</v>
      </c>
      <c r="D206" s="32" t="s">
        <v>1449</v>
      </c>
      <c r="E206" s="47" t="s">
        <v>1449</v>
      </c>
    </row>
    <row r="207" spans="1:5" x14ac:dyDescent="0.25">
      <c r="A207" t="s">
        <v>441</v>
      </c>
      <c r="B207" t="s">
        <v>397</v>
      </c>
      <c r="C207" t="s">
        <v>450</v>
      </c>
      <c r="D207" s="32" t="s">
        <v>1199</v>
      </c>
      <c r="E207" s="47" t="s">
        <v>1199</v>
      </c>
    </row>
    <row r="208" spans="1:5" x14ac:dyDescent="0.25">
      <c r="A208" t="s">
        <v>441</v>
      </c>
      <c r="B208" t="s">
        <v>1450</v>
      </c>
      <c r="C208" t="s">
        <v>451</v>
      </c>
      <c r="D208" s="32" t="s">
        <v>1215</v>
      </c>
      <c r="E208" s="47" t="s">
        <v>1215</v>
      </c>
    </row>
    <row r="209" spans="1:5" x14ac:dyDescent="0.25">
      <c r="A209" t="s">
        <v>441</v>
      </c>
      <c r="B209" t="s">
        <v>1174</v>
      </c>
      <c r="C209" t="s">
        <v>1451</v>
      </c>
      <c r="D209" s="32" t="s">
        <v>1452</v>
      </c>
      <c r="E209" s="47" t="s">
        <v>1452</v>
      </c>
    </row>
    <row r="210" spans="1:5" x14ac:dyDescent="0.25">
      <c r="A210" t="s">
        <v>441</v>
      </c>
      <c r="B210" t="s">
        <v>578</v>
      </c>
      <c r="C210" t="s">
        <v>1175</v>
      </c>
      <c r="D210" s="32" t="s">
        <v>1244</v>
      </c>
      <c r="E210" s="47" t="s">
        <v>1244</v>
      </c>
    </row>
    <row r="211" spans="1:5" x14ac:dyDescent="0.25">
      <c r="A211" t="s">
        <v>441</v>
      </c>
      <c r="B211" t="s">
        <v>1454</v>
      </c>
      <c r="C211" t="s">
        <v>579</v>
      </c>
      <c r="D211" s="32" t="s">
        <v>1453</v>
      </c>
      <c r="E211" s="47" t="s">
        <v>1453</v>
      </c>
    </row>
    <row r="212" spans="1:5" x14ac:dyDescent="0.25">
      <c r="A212" t="s">
        <v>441</v>
      </c>
      <c r="B212" t="s">
        <v>1176</v>
      </c>
      <c r="C212" t="s">
        <v>1455</v>
      </c>
      <c r="D212" s="32" t="s">
        <v>1456</v>
      </c>
      <c r="E212" s="47" t="s">
        <v>1456</v>
      </c>
    </row>
    <row r="213" spans="1:5" x14ac:dyDescent="0.25">
      <c r="A213" t="s">
        <v>441</v>
      </c>
      <c r="B213" t="s">
        <v>398</v>
      </c>
      <c r="C213" t="s">
        <v>1177</v>
      </c>
      <c r="D213" s="32" t="s">
        <v>1286</v>
      </c>
      <c r="E213" s="47" t="s">
        <v>1286</v>
      </c>
    </row>
    <row r="214" spans="1:5" x14ac:dyDescent="0.25">
      <c r="A214" t="s">
        <v>441</v>
      </c>
      <c r="B214" t="s">
        <v>1457</v>
      </c>
      <c r="C214" t="s">
        <v>452</v>
      </c>
      <c r="D214" s="32" t="s">
        <v>1294</v>
      </c>
      <c r="E214" s="47" t="s">
        <v>1294</v>
      </c>
    </row>
    <row r="215" spans="1:5" x14ac:dyDescent="0.25">
      <c r="A215" t="s">
        <v>441</v>
      </c>
      <c r="B215" t="s">
        <v>1178</v>
      </c>
      <c r="C215" t="s">
        <v>1458</v>
      </c>
      <c r="D215" s="32" t="s">
        <v>1459</v>
      </c>
      <c r="E215" s="47" t="s">
        <v>1459</v>
      </c>
    </row>
    <row r="216" spans="1:5" x14ac:dyDescent="0.25">
      <c r="A216" t="s">
        <v>441</v>
      </c>
      <c r="B216" t="s">
        <v>582</v>
      </c>
      <c r="C216" t="s">
        <v>1179</v>
      </c>
      <c r="D216" s="32" t="s">
        <v>1460</v>
      </c>
      <c r="E216" s="47" t="s">
        <v>1460</v>
      </c>
    </row>
    <row r="217" spans="1:5" x14ac:dyDescent="0.25">
      <c r="A217" t="s">
        <v>441</v>
      </c>
      <c r="B217" t="s">
        <v>784</v>
      </c>
      <c r="C217" t="s">
        <v>583</v>
      </c>
      <c r="D217" s="32" t="s">
        <v>1461</v>
      </c>
      <c r="E217" s="47" t="s">
        <v>1461</v>
      </c>
    </row>
    <row r="218" spans="1:5" x14ac:dyDescent="0.25">
      <c r="A218" t="s">
        <v>441</v>
      </c>
      <c r="B218" t="s">
        <v>1180</v>
      </c>
      <c r="C218" t="s">
        <v>785</v>
      </c>
      <c r="D218" s="32" t="s">
        <v>1462</v>
      </c>
      <c r="E218" s="47" t="s">
        <v>1462</v>
      </c>
    </row>
    <row r="219" spans="1:5" x14ac:dyDescent="0.25">
      <c r="A219" t="s">
        <v>441</v>
      </c>
      <c r="B219" t="s">
        <v>399</v>
      </c>
      <c r="C219" t="s">
        <v>1181</v>
      </c>
      <c r="D219" s="32" t="s">
        <v>1463</v>
      </c>
      <c r="E219" s="47" t="s">
        <v>1463</v>
      </c>
    </row>
    <row r="220" spans="1:5" x14ac:dyDescent="0.25">
      <c r="A220" t="s">
        <v>441</v>
      </c>
      <c r="B220" t="s">
        <v>400</v>
      </c>
      <c r="C220" t="s">
        <v>453</v>
      </c>
      <c r="D220" s="32" t="s">
        <v>1464</v>
      </c>
      <c r="E220" s="47" t="s">
        <v>1464</v>
      </c>
    </row>
    <row r="221" spans="1:5" x14ac:dyDescent="0.25">
      <c r="A221" t="s">
        <v>441</v>
      </c>
      <c r="B221" t="s">
        <v>402</v>
      </c>
      <c r="C221" t="s">
        <v>454</v>
      </c>
      <c r="D221" s="32" t="s">
        <v>659</v>
      </c>
      <c r="E221" s="47" t="s">
        <v>659</v>
      </c>
    </row>
    <row r="222" spans="1:5" x14ac:dyDescent="0.25">
      <c r="A222" t="s">
        <v>441</v>
      </c>
      <c r="B222" t="s">
        <v>404</v>
      </c>
      <c r="C222" t="s">
        <v>455</v>
      </c>
      <c r="D222" s="32" t="s">
        <v>403</v>
      </c>
      <c r="E222" s="47" t="s">
        <v>403</v>
      </c>
    </row>
    <row r="223" spans="1:5" x14ac:dyDescent="0.25">
      <c r="A223" t="s">
        <v>441</v>
      </c>
      <c r="B223" t="s">
        <v>586</v>
      </c>
      <c r="C223" t="s">
        <v>456</v>
      </c>
      <c r="D223" s="32" t="s">
        <v>663</v>
      </c>
      <c r="E223" s="47" t="s">
        <v>663</v>
      </c>
    </row>
    <row r="224" spans="1:5" x14ac:dyDescent="0.25">
      <c r="A224" t="s">
        <v>441</v>
      </c>
      <c r="B224" t="s">
        <v>788</v>
      </c>
      <c r="C224" t="s">
        <v>587</v>
      </c>
      <c r="D224" s="32" t="s">
        <v>406</v>
      </c>
      <c r="E224" s="47" t="s">
        <v>406</v>
      </c>
    </row>
    <row r="225" spans="1:5" x14ac:dyDescent="0.25">
      <c r="A225" t="s">
        <v>441</v>
      </c>
      <c r="B225" t="s">
        <v>588</v>
      </c>
      <c r="C225" t="s">
        <v>789</v>
      </c>
      <c r="D225" s="32" t="s">
        <v>1182</v>
      </c>
      <c r="E225" s="47" t="s">
        <v>1182</v>
      </c>
    </row>
    <row r="226" spans="1:5" x14ac:dyDescent="0.25">
      <c r="B226" t="s">
        <v>591</v>
      </c>
      <c r="C226" t="s">
        <v>589</v>
      </c>
      <c r="D226" s="32" t="s">
        <v>1465</v>
      </c>
      <c r="E226" s="47" t="s">
        <v>1465</v>
      </c>
    </row>
    <row r="227" spans="1:5" x14ac:dyDescent="0.25">
      <c r="A227" t="s">
        <v>441</v>
      </c>
      <c r="B227" t="s">
        <v>407</v>
      </c>
      <c r="C227" t="s">
        <v>591</v>
      </c>
      <c r="D227" s="32" t="s">
        <v>1466</v>
      </c>
      <c r="E227" s="47" t="s">
        <v>1466</v>
      </c>
    </row>
    <row r="228" spans="1:5" x14ac:dyDescent="0.25">
      <c r="A228" t="s">
        <v>441</v>
      </c>
      <c r="B228" t="s">
        <v>793</v>
      </c>
      <c r="C228" t="s">
        <v>457</v>
      </c>
      <c r="D228" s="32" t="s">
        <v>458</v>
      </c>
      <c r="E228" s="47" t="s">
        <v>458</v>
      </c>
    </row>
    <row r="229" spans="1:5" x14ac:dyDescent="0.25">
      <c r="A229" t="s">
        <v>441</v>
      </c>
      <c r="B229" t="s">
        <v>408</v>
      </c>
      <c r="C229" t="s">
        <v>794</v>
      </c>
      <c r="D229" s="32" t="s">
        <v>1467</v>
      </c>
      <c r="E229" s="47" t="s">
        <v>1467</v>
      </c>
    </row>
    <row r="230" spans="1:5" x14ac:dyDescent="0.25">
      <c r="A230" t="s">
        <v>441</v>
      </c>
      <c r="B230" t="s">
        <v>1184</v>
      </c>
      <c r="C230" t="s">
        <v>459</v>
      </c>
      <c r="D230" s="32" t="s">
        <v>1468</v>
      </c>
      <c r="E230" s="47" t="s">
        <v>1468</v>
      </c>
    </row>
    <row r="231" spans="1:5" x14ac:dyDescent="0.25">
      <c r="A231" t="s">
        <v>441</v>
      </c>
      <c r="B231" t="s">
        <v>1469</v>
      </c>
      <c r="C231" t="s">
        <v>1185</v>
      </c>
      <c r="D231" s="32" t="s">
        <v>1186</v>
      </c>
      <c r="E231" s="47" t="s">
        <v>1186</v>
      </c>
    </row>
    <row r="232" spans="1:5" x14ac:dyDescent="0.25">
      <c r="A232" t="s">
        <v>441</v>
      </c>
      <c r="B232" t="s">
        <v>409</v>
      </c>
      <c r="C232" t="s">
        <v>1470</v>
      </c>
      <c r="D232" s="32" t="s">
        <v>1471</v>
      </c>
      <c r="E232" s="47" t="s">
        <v>1471</v>
      </c>
    </row>
    <row r="233" spans="1:5" x14ac:dyDescent="0.25">
      <c r="A233" t="s">
        <v>441</v>
      </c>
      <c r="B233" t="s">
        <v>410</v>
      </c>
      <c r="C233" t="s">
        <v>460</v>
      </c>
      <c r="D233" s="32" t="s">
        <v>1472</v>
      </c>
      <c r="E233" s="47" t="s">
        <v>1472</v>
      </c>
    </row>
    <row r="234" spans="1:5" x14ac:dyDescent="0.25">
      <c r="A234" t="s">
        <v>441</v>
      </c>
      <c r="B234" t="s">
        <v>1474</v>
      </c>
      <c r="C234" t="s">
        <v>461</v>
      </c>
      <c r="D234" s="32" t="s">
        <v>1473</v>
      </c>
      <c r="E234" s="47" t="s">
        <v>1473</v>
      </c>
    </row>
    <row r="235" spans="1:5" x14ac:dyDescent="0.25">
      <c r="A235" t="s">
        <v>441</v>
      </c>
      <c r="B235" t="s">
        <v>1187</v>
      </c>
      <c r="C235" t="s">
        <v>1475</v>
      </c>
      <c r="D235" s="32" t="s">
        <v>1476</v>
      </c>
      <c r="E235" s="47" t="s">
        <v>1476</v>
      </c>
    </row>
    <row r="236" spans="1:5" x14ac:dyDescent="0.25">
      <c r="A236" t="s">
        <v>441</v>
      </c>
      <c r="B236" t="s">
        <v>596</v>
      </c>
      <c r="C236" t="s">
        <v>1188</v>
      </c>
      <c r="D236" s="32" t="s">
        <v>1477</v>
      </c>
      <c r="E236" s="47" t="s">
        <v>1477</v>
      </c>
    </row>
    <row r="237" spans="1:5" x14ac:dyDescent="0.25">
      <c r="A237" t="s">
        <v>441</v>
      </c>
      <c r="B237" t="s">
        <v>799</v>
      </c>
      <c r="C237" t="s">
        <v>597</v>
      </c>
      <c r="D237" s="32" t="s">
        <v>1478</v>
      </c>
      <c r="E237" s="47" t="s">
        <v>1478</v>
      </c>
    </row>
    <row r="238" spans="1:5" x14ac:dyDescent="0.25">
      <c r="A238" t="s">
        <v>441</v>
      </c>
      <c r="B238" t="s">
        <v>1189</v>
      </c>
      <c r="C238" t="s">
        <v>800</v>
      </c>
      <c r="D238" s="32" t="s">
        <v>1479</v>
      </c>
      <c r="E238" s="47" t="s">
        <v>1479</v>
      </c>
    </row>
    <row r="239" spans="1:5" x14ac:dyDescent="0.25">
      <c r="A239" t="s">
        <v>441</v>
      </c>
      <c r="B239" t="s">
        <v>411</v>
      </c>
      <c r="C239" t="s">
        <v>1190</v>
      </c>
      <c r="D239" s="32" t="s">
        <v>1480</v>
      </c>
      <c r="E239" s="47" t="s">
        <v>1480</v>
      </c>
    </row>
    <row r="240" spans="1:5" x14ac:dyDescent="0.25">
      <c r="A240" t="s">
        <v>441</v>
      </c>
      <c r="B240" t="s">
        <v>1427</v>
      </c>
      <c r="C240" t="s">
        <v>462</v>
      </c>
      <c r="D240" s="32" t="s">
        <v>1481</v>
      </c>
      <c r="E240" s="47" t="s">
        <v>1481</v>
      </c>
    </row>
    <row r="241" spans="1:5" x14ac:dyDescent="0.25">
      <c r="A241" t="s">
        <v>441</v>
      </c>
      <c r="B241" t="s">
        <v>1484</v>
      </c>
      <c r="C241" t="s">
        <v>1482</v>
      </c>
      <c r="D241" s="32" t="s">
        <v>1483</v>
      </c>
      <c r="E241" s="47" t="s">
        <v>1483</v>
      </c>
    </row>
    <row r="242" spans="1:5" x14ac:dyDescent="0.25">
      <c r="A242" t="s">
        <v>441</v>
      </c>
      <c r="B242" t="s">
        <v>1430</v>
      </c>
      <c r="C242" t="s">
        <v>1485</v>
      </c>
      <c r="D242" s="32" t="s">
        <v>1486</v>
      </c>
      <c r="E242" s="47" t="s">
        <v>1486</v>
      </c>
    </row>
    <row r="243" spans="1:5" x14ac:dyDescent="0.25">
      <c r="A243" t="s">
        <v>441</v>
      </c>
      <c r="B243" t="s">
        <v>1489</v>
      </c>
      <c r="C243" t="s">
        <v>1487</v>
      </c>
      <c r="D243" s="32" t="s">
        <v>1488</v>
      </c>
      <c r="E243" s="47" t="s">
        <v>1488</v>
      </c>
    </row>
    <row r="244" spans="1:5" x14ac:dyDescent="0.25">
      <c r="A244" t="s">
        <v>441</v>
      </c>
      <c r="B244" t="s">
        <v>1431</v>
      </c>
      <c r="C244" t="s">
        <v>1490</v>
      </c>
      <c r="D244" s="32" t="s">
        <v>1491</v>
      </c>
      <c r="E244" s="47" t="s">
        <v>1491</v>
      </c>
    </row>
    <row r="245" spans="1:5" x14ac:dyDescent="0.25">
      <c r="A245" t="s">
        <v>441</v>
      </c>
      <c r="B245" t="s">
        <v>1426</v>
      </c>
      <c r="C245" t="s">
        <v>1492</v>
      </c>
      <c r="D245" s="32" t="s">
        <v>1493</v>
      </c>
      <c r="E245" s="47" t="s">
        <v>1493</v>
      </c>
    </row>
    <row r="246" spans="1:5" x14ac:dyDescent="0.25">
      <c r="A246" t="s">
        <v>441</v>
      </c>
      <c r="B246" t="s">
        <v>1191</v>
      </c>
      <c r="C246" t="s">
        <v>1494</v>
      </c>
      <c r="D246" s="32" t="s">
        <v>1495</v>
      </c>
      <c r="E246" s="47" t="s">
        <v>1495</v>
      </c>
    </row>
    <row r="247" spans="1:5" x14ac:dyDescent="0.25">
      <c r="A247" t="s">
        <v>441</v>
      </c>
      <c r="B247" t="s">
        <v>1193</v>
      </c>
      <c r="C247" t="s">
        <v>1192</v>
      </c>
      <c r="D247" s="32" t="s">
        <v>1496</v>
      </c>
      <c r="E247" s="47" t="s">
        <v>1496</v>
      </c>
    </row>
    <row r="248" spans="1:5" x14ac:dyDescent="0.25">
      <c r="A248" t="s">
        <v>441</v>
      </c>
      <c r="B248" t="s">
        <v>412</v>
      </c>
      <c r="C248" t="s">
        <v>1194</v>
      </c>
      <c r="D248" s="32" t="s">
        <v>1497</v>
      </c>
      <c r="E248" s="47" t="s">
        <v>1497</v>
      </c>
    </row>
    <row r="249" spans="1:5" x14ac:dyDescent="0.25">
      <c r="A249" t="s">
        <v>441</v>
      </c>
      <c r="B249" t="s">
        <v>414</v>
      </c>
      <c r="C249" t="s">
        <v>463</v>
      </c>
      <c r="D249" s="32" t="s">
        <v>1195</v>
      </c>
      <c r="E249" s="47" t="s">
        <v>1195</v>
      </c>
    </row>
    <row r="250" spans="1:5" x14ac:dyDescent="0.25">
      <c r="A250" t="s">
        <v>441</v>
      </c>
      <c r="B250" t="s">
        <v>416</v>
      </c>
      <c r="C250" t="s">
        <v>464</v>
      </c>
      <c r="D250" s="32" t="s">
        <v>1196</v>
      </c>
      <c r="E250" s="47" t="s">
        <v>1196</v>
      </c>
    </row>
    <row r="251" spans="1:5" x14ac:dyDescent="0.25">
      <c r="A251" t="s">
        <v>441</v>
      </c>
      <c r="B251" t="s">
        <v>418</v>
      </c>
      <c r="C251" t="s">
        <v>465</v>
      </c>
      <c r="D251" s="32" t="s">
        <v>1197</v>
      </c>
      <c r="E251" s="47" t="s">
        <v>1197</v>
      </c>
    </row>
    <row r="252" spans="1:5" x14ac:dyDescent="0.25">
      <c r="A252" t="s">
        <v>441</v>
      </c>
      <c r="B252" t="s">
        <v>805</v>
      </c>
      <c r="C252" t="s">
        <v>466</v>
      </c>
      <c r="D252" s="32" t="s">
        <v>1198</v>
      </c>
      <c r="E252" s="47" t="s">
        <v>1198</v>
      </c>
    </row>
    <row r="253" spans="1:5" x14ac:dyDescent="0.25">
      <c r="A253" t="s">
        <v>441</v>
      </c>
      <c r="B253" t="s">
        <v>600</v>
      </c>
      <c r="C253" t="s">
        <v>806</v>
      </c>
      <c r="D253" s="32" t="s">
        <v>807</v>
      </c>
      <c r="E253" s="47" t="s">
        <v>807</v>
      </c>
    </row>
    <row r="254" spans="1:5" x14ac:dyDescent="0.25">
      <c r="A254" t="s">
        <v>441</v>
      </c>
      <c r="B254" t="s">
        <v>1200</v>
      </c>
      <c r="C254" t="s">
        <v>601</v>
      </c>
      <c r="D254" s="32" t="s">
        <v>1498</v>
      </c>
      <c r="E254" s="47" t="s">
        <v>1498</v>
      </c>
    </row>
    <row r="255" spans="1:5" x14ac:dyDescent="0.25">
      <c r="A255" t="s">
        <v>441</v>
      </c>
      <c r="B255" t="s">
        <v>1202</v>
      </c>
      <c r="C255" t="s">
        <v>1201</v>
      </c>
      <c r="D255" s="32" t="s">
        <v>1499</v>
      </c>
      <c r="E255" s="47" t="s">
        <v>1499</v>
      </c>
    </row>
    <row r="256" spans="1:5" x14ac:dyDescent="0.25">
      <c r="A256" t="s">
        <v>441</v>
      </c>
      <c r="B256" t="s">
        <v>1204</v>
      </c>
      <c r="C256" t="s">
        <v>1203</v>
      </c>
      <c r="D256" s="32" t="s">
        <v>1500</v>
      </c>
      <c r="E256" s="47" t="s">
        <v>1500</v>
      </c>
    </row>
    <row r="257" spans="1:5" x14ac:dyDescent="0.25">
      <c r="A257" t="s">
        <v>441</v>
      </c>
      <c r="B257" t="s">
        <v>1206</v>
      </c>
      <c r="C257" t="s">
        <v>1205</v>
      </c>
      <c r="D257" s="32" t="s">
        <v>1501</v>
      </c>
      <c r="E257" s="47" t="s">
        <v>1501</v>
      </c>
    </row>
    <row r="258" spans="1:5" x14ac:dyDescent="0.25">
      <c r="A258" t="s">
        <v>441</v>
      </c>
      <c r="B258" t="s">
        <v>809</v>
      </c>
      <c r="C258" t="s">
        <v>1207</v>
      </c>
      <c r="D258" s="32" t="s">
        <v>1502</v>
      </c>
      <c r="E258" s="47" t="s">
        <v>1502</v>
      </c>
    </row>
    <row r="259" spans="1:5" x14ac:dyDescent="0.25">
      <c r="A259" t="s">
        <v>441</v>
      </c>
      <c r="B259" t="s">
        <v>812</v>
      </c>
      <c r="C259" t="s">
        <v>810</v>
      </c>
      <c r="D259" s="32" t="s">
        <v>1503</v>
      </c>
      <c r="E259" s="47" t="s">
        <v>1503</v>
      </c>
    </row>
    <row r="260" spans="1:5" x14ac:dyDescent="0.25">
      <c r="A260" t="s">
        <v>441</v>
      </c>
      <c r="B260" t="s">
        <v>815</v>
      </c>
      <c r="C260" t="s">
        <v>813</v>
      </c>
      <c r="D260" s="32" t="s">
        <v>1504</v>
      </c>
      <c r="E260" s="47" t="s">
        <v>1504</v>
      </c>
    </row>
    <row r="261" spans="1:5" x14ac:dyDescent="0.25">
      <c r="A261" t="s">
        <v>441</v>
      </c>
      <c r="B261" t="s">
        <v>420</v>
      </c>
      <c r="C261" t="s">
        <v>816</v>
      </c>
      <c r="D261" s="32" t="s">
        <v>1505</v>
      </c>
      <c r="E261" s="47" t="s">
        <v>1505</v>
      </c>
    </row>
    <row r="262" spans="1:5" x14ac:dyDescent="0.25">
      <c r="A262" t="s">
        <v>441</v>
      </c>
      <c r="B262" t="s">
        <v>1507</v>
      </c>
      <c r="C262" t="s">
        <v>467</v>
      </c>
      <c r="D262" s="32" t="s">
        <v>1506</v>
      </c>
      <c r="E262" s="47" t="s">
        <v>1506</v>
      </c>
    </row>
    <row r="263" spans="1:5" x14ac:dyDescent="0.25">
      <c r="A263" t="s">
        <v>441</v>
      </c>
      <c r="B263" t="s">
        <v>421</v>
      </c>
      <c r="C263" t="s">
        <v>1508</v>
      </c>
      <c r="D263" s="32" t="s">
        <v>1509</v>
      </c>
      <c r="E263" s="47" t="s">
        <v>1509</v>
      </c>
    </row>
    <row r="264" spans="1:5" x14ac:dyDescent="0.25">
      <c r="A264" t="s">
        <v>441</v>
      </c>
      <c r="B264" t="s">
        <v>422</v>
      </c>
      <c r="C264" t="s">
        <v>468</v>
      </c>
      <c r="D264" s="32" t="s">
        <v>1510</v>
      </c>
      <c r="E264" s="47" t="s">
        <v>1510</v>
      </c>
    </row>
    <row r="265" spans="1:5" x14ac:dyDescent="0.25">
      <c r="A265" t="s">
        <v>441</v>
      </c>
      <c r="B265" t="s">
        <v>1512</v>
      </c>
      <c r="C265" t="s">
        <v>469</v>
      </c>
      <c r="D265" s="32" t="s">
        <v>1511</v>
      </c>
      <c r="E265" s="47" t="s">
        <v>1511</v>
      </c>
    </row>
    <row r="266" spans="1:5" x14ac:dyDescent="0.25">
      <c r="A266" t="s">
        <v>441</v>
      </c>
      <c r="B266" t="s">
        <v>1208</v>
      </c>
      <c r="C266" t="s">
        <v>1513</v>
      </c>
      <c r="D266" s="32" t="s">
        <v>1514</v>
      </c>
      <c r="E266" s="47" t="s">
        <v>1514</v>
      </c>
    </row>
    <row r="267" spans="1:5" x14ac:dyDescent="0.25">
      <c r="A267" t="s">
        <v>441</v>
      </c>
      <c r="B267" t="s">
        <v>606</v>
      </c>
      <c r="C267" t="s">
        <v>1209</v>
      </c>
      <c r="D267" s="32" t="s">
        <v>1515</v>
      </c>
      <c r="E267" s="47" t="s">
        <v>1515</v>
      </c>
    </row>
    <row r="268" spans="1:5" x14ac:dyDescent="0.25">
      <c r="A268" t="s">
        <v>441</v>
      </c>
      <c r="B268" t="s">
        <v>821</v>
      </c>
      <c r="C268" t="s">
        <v>607</v>
      </c>
      <c r="D268" s="32" t="s">
        <v>1516</v>
      </c>
      <c r="E268" s="47" t="s">
        <v>1516</v>
      </c>
    </row>
    <row r="269" spans="1:5" x14ac:dyDescent="0.25">
      <c r="A269" t="s">
        <v>441</v>
      </c>
      <c r="B269" t="s">
        <v>1210</v>
      </c>
      <c r="C269" t="s">
        <v>822</v>
      </c>
      <c r="D269" s="32" t="s">
        <v>1517</v>
      </c>
      <c r="E269" s="47" t="s">
        <v>1517</v>
      </c>
    </row>
    <row r="270" spans="1:5" x14ac:dyDescent="0.25">
      <c r="A270" t="s">
        <v>441</v>
      </c>
      <c r="B270" t="s">
        <v>423</v>
      </c>
      <c r="C270" t="s">
        <v>1211</v>
      </c>
      <c r="D270" s="32" t="s">
        <v>1518</v>
      </c>
      <c r="E270" s="47" t="s">
        <v>1518</v>
      </c>
    </row>
    <row r="271" spans="1:5" x14ac:dyDescent="0.25">
      <c r="A271" t="s">
        <v>441</v>
      </c>
      <c r="B271" t="s">
        <v>610</v>
      </c>
      <c r="C271" t="s">
        <v>470</v>
      </c>
      <c r="D271" s="32" t="s">
        <v>1519</v>
      </c>
      <c r="E271" s="47" t="s">
        <v>1519</v>
      </c>
    </row>
    <row r="272" spans="1:5" x14ac:dyDescent="0.25">
      <c r="A272" t="s">
        <v>441</v>
      </c>
      <c r="B272" t="s">
        <v>424</v>
      </c>
      <c r="C272" t="s">
        <v>611</v>
      </c>
      <c r="D272" s="32" t="s">
        <v>612</v>
      </c>
      <c r="E272" s="47" t="s">
        <v>612</v>
      </c>
    </row>
    <row r="273" spans="1:5" x14ac:dyDescent="0.25">
      <c r="A273" t="s">
        <v>441</v>
      </c>
      <c r="B273" t="s">
        <v>426</v>
      </c>
      <c r="C273" t="s">
        <v>471</v>
      </c>
      <c r="D273" s="32" t="s">
        <v>1212</v>
      </c>
      <c r="E273" s="47" t="s">
        <v>1212</v>
      </c>
    </row>
    <row r="274" spans="1:5" x14ac:dyDescent="0.25">
      <c r="A274" t="s">
        <v>441</v>
      </c>
      <c r="B274" t="s">
        <v>428</v>
      </c>
      <c r="C274" t="s">
        <v>472</v>
      </c>
      <c r="D274" s="32" t="s">
        <v>1213</v>
      </c>
      <c r="E274" s="47" t="s">
        <v>1213</v>
      </c>
    </row>
    <row r="275" spans="1:5" x14ac:dyDescent="0.25">
      <c r="A275" t="s">
        <v>441</v>
      </c>
      <c r="B275" t="s">
        <v>430</v>
      </c>
      <c r="C275" t="s">
        <v>473</v>
      </c>
      <c r="D275" s="32" t="s">
        <v>1214</v>
      </c>
      <c r="E275" s="47" t="s">
        <v>1214</v>
      </c>
    </row>
    <row r="276" spans="1:5" x14ac:dyDescent="0.25">
      <c r="A276" t="s">
        <v>441</v>
      </c>
      <c r="B276" t="s">
        <v>827</v>
      </c>
      <c r="C276" t="s">
        <v>474</v>
      </c>
      <c r="D276" s="32" t="s">
        <v>1172</v>
      </c>
      <c r="E276" s="47" t="s">
        <v>1172</v>
      </c>
    </row>
    <row r="277" spans="1:5" x14ac:dyDescent="0.25">
      <c r="A277" t="s">
        <v>441</v>
      </c>
      <c r="B277" t="s">
        <v>830</v>
      </c>
      <c r="C277" t="s">
        <v>828</v>
      </c>
      <c r="D277" s="32" t="s">
        <v>1520</v>
      </c>
      <c r="E277" s="47" t="s">
        <v>1520</v>
      </c>
    </row>
    <row r="278" spans="1:5" x14ac:dyDescent="0.25">
      <c r="A278" t="s">
        <v>441</v>
      </c>
      <c r="B278" t="s">
        <v>613</v>
      </c>
      <c r="C278" t="s">
        <v>831</v>
      </c>
      <c r="D278" s="32" t="s">
        <v>832</v>
      </c>
      <c r="E278" s="47" t="s">
        <v>832</v>
      </c>
    </row>
    <row r="279" spans="1:5" x14ac:dyDescent="0.25">
      <c r="A279" t="s">
        <v>441</v>
      </c>
      <c r="B279" t="s">
        <v>670</v>
      </c>
      <c r="C279" t="s">
        <v>614</v>
      </c>
      <c r="D279" s="32" t="s">
        <v>1521</v>
      </c>
      <c r="E279" s="47" t="s">
        <v>1521</v>
      </c>
    </row>
    <row r="280" spans="1:5" x14ac:dyDescent="0.25">
      <c r="B280" t="s">
        <v>836</v>
      </c>
      <c r="C280" t="s">
        <v>834</v>
      </c>
      <c r="D280" s="32" t="s">
        <v>1216</v>
      </c>
      <c r="E280" s="47" t="s">
        <v>1216</v>
      </c>
    </row>
    <row r="281" spans="1:5" x14ac:dyDescent="0.25">
      <c r="A281" t="s">
        <v>441</v>
      </c>
      <c r="B281" t="s">
        <v>158</v>
      </c>
      <c r="C281" t="s">
        <v>836</v>
      </c>
      <c r="D281" s="32" t="s">
        <v>1217</v>
      </c>
      <c r="E281" s="47" t="s">
        <v>1217</v>
      </c>
    </row>
    <row r="282" spans="1:5" x14ac:dyDescent="0.25">
      <c r="A282" t="s">
        <v>441</v>
      </c>
      <c r="B282" t="s">
        <v>838</v>
      </c>
      <c r="C282" t="s">
        <v>475</v>
      </c>
      <c r="D282" s="32" t="s">
        <v>476</v>
      </c>
      <c r="E282" s="47" t="s">
        <v>476</v>
      </c>
    </row>
    <row r="283" spans="1:5" x14ac:dyDescent="0.25">
      <c r="A283" t="s">
        <v>441</v>
      </c>
      <c r="B283" t="s">
        <v>432</v>
      </c>
      <c r="C283" t="s">
        <v>839</v>
      </c>
      <c r="D283" s="32" t="s">
        <v>1522</v>
      </c>
      <c r="E283" s="47" t="s">
        <v>1522</v>
      </c>
    </row>
    <row r="284" spans="1:5" x14ac:dyDescent="0.25">
      <c r="A284" t="s">
        <v>441</v>
      </c>
      <c r="B284" t="s">
        <v>1524</v>
      </c>
      <c r="C284" t="s">
        <v>477</v>
      </c>
      <c r="D284" s="32" t="s">
        <v>1523</v>
      </c>
      <c r="E284" s="47" t="s">
        <v>1523</v>
      </c>
    </row>
    <row r="285" spans="1:5" x14ac:dyDescent="0.25">
      <c r="A285" t="s">
        <v>441</v>
      </c>
      <c r="B285" t="s">
        <v>433</v>
      </c>
      <c r="C285" t="s">
        <v>1525</v>
      </c>
      <c r="D285" s="32" t="s">
        <v>1526</v>
      </c>
      <c r="E285" s="47" t="s">
        <v>1526</v>
      </c>
    </row>
    <row r="286" spans="1:5" x14ac:dyDescent="0.25">
      <c r="A286" t="s">
        <v>441</v>
      </c>
      <c r="B286" t="s">
        <v>434</v>
      </c>
      <c r="C286" t="s">
        <v>478</v>
      </c>
      <c r="D286" s="32" t="s">
        <v>1527</v>
      </c>
      <c r="E286" s="47" t="s">
        <v>1527</v>
      </c>
    </row>
    <row r="287" spans="1:5" x14ac:dyDescent="0.25">
      <c r="A287" t="s">
        <v>441</v>
      </c>
      <c r="B287" t="s">
        <v>619</v>
      </c>
      <c r="C287" t="s">
        <v>479</v>
      </c>
      <c r="D287" s="32" t="s">
        <v>1528</v>
      </c>
      <c r="E287" s="47" t="s">
        <v>1528</v>
      </c>
    </row>
    <row r="288" spans="1:5" x14ac:dyDescent="0.25">
      <c r="A288" t="s">
        <v>441</v>
      </c>
      <c r="B288" t="s">
        <v>1529</v>
      </c>
      <c r="C288" t="s">
        <v>620</v>
      </c>
      <c r="D288" s="32" t="s">
        <v>621</v>
      </c>
      <c r="E288" s="47" t="s">
        <v>621</v>
      </c>
    </row>
    <row r="289" spans="1:5" x14ac:dyDescent="0.25">
      <c r="A289" t="s">
        <v>441</v>
      </c>
      <c r="B289" t="s">
        <v>1218</v>
      </c>
      <c r="C289" t="s">
        <v>1530</v>
      </c>
      <c r="D289" s="32" t="s">
        <v>1531</v>
      </c>
      <c r="E289" s="47" t="s">
        <v>1531</v>
      </c>
    </row>
    <row r="290" spans="1:5" x14ac:dyDescent="0.25">
      <c r="A290" t="s">
        <v>441</v>
      </c>
      <c r="B290" t="s">
        <v>622</v>
      </c>
      <c r="C290" t="s">
        <v>1219</v>
      </c>
      <c r="D290" s="32" t="s">
        <v>1532</v>
      </c>
      <c r="E290" s="47" t="s">
        <v>1532</v>
      </c>
    </row>
    <row r="291" spans="1:5" x14ac:dyDescent="0.25">
      <c r="A291" t="s">
        <v>441</v>
      </c>
      <c r="B291" t="s">
        <v>844</v>
      </c>
      <c r="C291" t="s">
        <v>623</v>
      </c>
      <c r="D291" s="32" t="s">
        <v>1533</v>
      </c>
      <c r="E291" s="47" t="s">
        <v>1533</v>
      </c>
    </row>
    <row r="292" spans="1:5" x14ac:dyDescent="0.25">
      <c r="A292" t="s">
        <v>441</v>
      </c>
      <c r="B292" t="s">
        <v>1220</v>
      </c>
      <c r="C292" t="s">
        <v>845</v>
      </c>
      <c r="D292" s="32" t="s">
        <v>1534</v>
      </c>
      <c r="E292" s="47" t="s">
        <v>1534</v>
      </c>
    </row>
    <row r="293" spans="1:5" x14ac:dyDescent="0.25">
      <c r="A293" t="s">
        <v>441</v>
      </c>
      <c r="B293" t="s">
        <v>435</v>
      </c>
      <c r="C293" t="s">
        <v>1221</v>
      </c>
      <c r="D293" s="32" t="s">
        <v>1535</v>
      </c>
      <c r="E293" s="47" t="s">
        <v>1535</v>
      </c>
    </row>
    <row r="294" spans="1:5" x14ac:dyDescent="0.25">
      <c r="A294" t="s">
        <v>441</v>
      </c>
      <c r="B294" t="s">
        <v>1222</v>
      </c>
      <c r="C294" t="s">
        <v>480</v>
      </c>
      <c r="D294" s="32" t="s">
        <v>1536</v>
      </c>
      <c r="E294" s="47" t="s">
        <v>1536</v>
      </c>
    </row>
    <row r="295" spans="1:5" x14ac:dyDescent="0.25">
      <c r="A295" t="s">
        <v>441</v>
      </c>
      <c r="B295" t="s">
        <v>1224</v>
      </c>
      <c r="C295" t="s">
        <v>1223</v>
      </c>
      <c r="D295" s="32" t="s">
        <v>1537</v>
      </c>
      <c r="E295" s="47" t="s">
        <v>1537</v>
      </c>
    </row>
    <row r="296" spans="1:5" x14ac:dyDescent="0.25">
      <c r="A296" t="s">
        <v>441</v>
      </c>
      <c r="B296" t="s">
        <v>1226</v>
      </c>
      <c r="C296" t="s">
        <v>1225</v>
      </c>
      <c r="D296" s="32" t="s">
        <v>1538</v>
      </c>
      <c r="E296" s="47" t="s">
        <v>1538</v>
      </c>
    </row>
    <row r="297" spans="1:5" x14ac:dyDescent="0.25">
      <c r="A297" t="s">
        <v>441</v>
      </c>
      <c r="B297" t="s">
        <v>1228</v>
      </c>
      <c r="C297" t="s">
        <v>1227</v>
      </c>
      <c r="D297" s="32" t="s">
        <v>1539</v>
      </c>
      <c r="E297" s="47" t="s">
        <v>1539</v>
      </c>
    </row>
    <row r="298" spans="1:5" x14ac:dyDescent="0.25">
      <c r="A298" t="s">
        <v>441</v>
      </c>
      <c r="B298" t="s">
        <v>1541</v>
      </c>
      <c r="C298" t="s">
        <v>1229</v>
      </c>
      <c r="D298" s="32" t="s">
        <v>1540</v>
      </c>
      <c r="E298" s="47" t="s">
        <v>1540</v>
      </c>
    </row>
    <row r="299" spans="1:5" x14ac:dyDescent="0.25">
      <c r="A299" t="s">
        <v>441</v>
      </c>
      <c r="B299" t="s">
        <v>1544</v>
      </c>
      <c r="C299" t="s">
        <v>1542</v>
      </c>
      <c r="D299" s="32" t="s">
        <v>1543</v>
      </c>
      <c r="E299" s="47" t="s">
        <v>1543</v>
      </c>
    </row>
    <row r="300" spans="1:5" x14ac:dyDescent="0.25">
      <c r="A300" t="s">
        <v>441</v>
      </c>
      <c r="B300" t="s">
        <v>1547</v>
      </c>
      <c r="C300" t="s">
        <v>1545</v>
      </c>
      <c r="D300" s="32" t="s">
        <v>1546</v>
      </c>
      <c r="E300" s="47" t="s">
        <v>1546</v>
      </c>
    </row>
    <row r="301" spans="1:5" x14ac:dyDescent="0.25">
      <c r="A301" t="s">
        <v>441</v>
      </c>
      <c r="B301" t="s">
        <v>1550</v>
      </c>
      <c r="C301" t="s">
        <v>1548</v>
      </c>
      <c r="D301" s="32" t="s">
        <v>1549</v>
      </c>
      <c r="E301" s="47" t="s">
        <v>1549</v>
      </c>
    </row>
    <row r="302" spans="1:5" x14ac:dyDescent="0.25">
      <c r="A302" t="s">
        <v>441</v>
      </c>
      <c r="B302" t="s">
        <v>1553</v>
      </c>
      <c r="C302" t="s">
        <v>1551</v>
      </c>
      <c r="D302" s="32" t="s">
        <v>1552</v>
      </c>
      <c r="E302" s="47" t="s">
        <v>1552</v>
      </c>
    </row>
    <row r="303" spans="1:5" x14ac:dyDescent="0.25">
      <c r="A303" t="s">
        <v>441</v>
      </c>
      <c r="B303" t="s">
        <v>1556</v>
      </c>
      <c r="C303" t="s">
        <v>1554</v>
      </c>
      <c r="D303" s="32" t="s">
        <v>1555</v>
      </c>
      <c r="E303" s="47" t="s">
        <v>1555</v>
      </c>
    </row>
    <row r="304" spans="1:5" x14ac:dyDescent="0.25">
      <c r="A304" t="s">
        <v>441</v>
      </c>
      <c r="B304" t="s">
        <v>1559</v>
      </c>
      <c r="C304" t="s">
        <v>1557</v>
      </c>
      <c r="D304" s="32" t="s">
        <v>1558</v>
      </c>
      <c r="E304" s="47" t="s">
        <v>1558</v>
      </c>
    </row>
    <row r="305" spans="1:5" x14ac:dyDescent="0.25">
      <c r="A305" t="s">
        <v>441</v>
      </c>
      <c r="B305" t="s">
        <v>1230</v>
      </c>
      <c r="C305" t="s">
        <v>1560</v>
      </c>
      <c r="D305" s="32" t="s">
        <v>1561</v>
      </c>
      <c r="E305" s="47" t="s">
        <v>1561</v>
      </c>
    </row>
    <row r="306" spans="1:5" x14ac:dyDescent="0.25">
      <c r="A306" t="s">
        <v>441</v>
      </c>
      <c r="B306" t="s">
        <v>1233</v>
      </c>
      <c r="C306" t="s">
        <v>1231</v>
      </c>
      <c r="D306" s="32" t="s">
        <v>1232</v>
      </c>
      <c r="E306" s="47" t="s">
        <v>1232</v>
      </c>
    </row>
    <row r="307" spans="1:5" x14ac:dyDescent="0.25">
      <c r="A307" t="s">
        <v>441</v>
      </c>
      <c r="B307" t="s">
        <v>1236</v>
      </c>
      <c r="C307" t="s">
        <v>1234</v>
      </c>
      <c r="D307" s="32" t="s">
        <v>1235</v>
      </c>
      <c r="E307" s="47" t="s">
        <v>1235</v>
      </c>
    </row>
    <row r="308" spans="1:5" x14ac:dyDescent="0.25">
      <c r="A308" t="s">
        <v>441</v>
      </c>
      <c r="B308" t="s">
        <v>1238</v>
      </c>
      <c r="C308" t="s">
        <v>1237</v>
      </c>
      <c r="D308" s="32" t="s">
        <v>1562</v>
      </c>
      <c r="E308" s="47" t="s">
        <v>1562</v>
      </c>
    </row>
    <row r="309" spans="1:5" x14ac:dyDescent="0.25">
      <c r="A309" t="s">
        <v>441</v>
      </c>
      <c r="B309" t="s">
        <v>1240</v>
      </c>
      <c r="C309" t="s">
        <v>1239</v>
      </c>
      <c r="D309" s="32" t="s">
        <v>1563</v>
      </c>
      <c r="E309" s="47" t="s">
        <v>1563</v>
      </c>
    </row>
    <row r="310" spans="1:5" x14ac:dyDescent="0.25">
      <c r="A310" t="s">
        <v>441</v>
      </c>
      <c r="B310" t="s">
        <v>1242</v>
      </c>
      <c r="C310" t="s">
        <v>1241</v>
      </c>
      <c r="D310" s="32" t="s">
        <v>790</v>
      </c>
      <c r="E310" s="47" t="s">
        <v>790</v>
      </c>
    </row>
    <row r="311" spans="1:5" x14ac:dyDescent="0.25">
      <c r="A311" t="s">
        <v>441</v>
      </c>
      <c r="B311" t="s">
        <v>1245</v>
      </c>
      <c r="C311" t="s">
        <v>1243</v>
      </c>
      <c r="D311" s="32" t="s">
        <v>1564</v>
      </c>
      <c r="E311" s="47" t="s">
        <v>1564</v>
      </c>
    </row>
    <row r="312" spans="1:5" x14ac:dyDescent="0.25">
      <c r="A312" t="s">
        <v>441</v>
      </c>
      <c r="B312" t="s">
        <v>848</v>
      </c>
      <c r="C312" t="s">
        <v>1246</v>
      </c>
      <c r="D312" s="32" t="s">
        <v>1565</v>
      </c>
      <c r="E312" s="47" t="s">
        <v>1565</v>
      </c>
    </row>
    <row r="313" spans="1:5" x14ac:dyDescent="0.25">
      <c r="A313" t="s">
        <v>441</v>
      </c>
      <c r="B313" t="s">
        <v>851</v>
      </c>
      <c r="C313" t="s">
        <v>849</v>
      </c>
      <c r="D313" s="32"/>
      <c r="E313" s="47" t="s">
        <v>1857</v>
      </c>
    </row>
    <row r="314" spans="1:5" x14ac:dyDescent="0.25">
      <c r="A314" t="s">
        <v>441</v>
      </c>
      <c r="B314" t="s">
        <v>854</v>
      </c>
      <c r="C314" t="s">
        <v>852</v>
      </c>
      <c r="D314" s="32" t="s">
        <v>898</v>
      </c>
      <c r="E314" s="47" t="s">
        <v>898</v>
      </c>
    </row>
    <row r="315" spans="1:5" x14ac:dyDescent="0.25">
      <c r="A315" t="s">
        <v>441</v>
      </c>
      <c r="B315" t="s">
        <v>857</v>
      </c>
      <c r="C315" t="s">
        <v>855</v>
      </c>
      <c r="D315" s="32" t="s">
        <v>856</v>
      </c>
      <c r="E315" s="47" t="s">
        <v>856</v>
      </c>
    </row>
    <row r="316" spans="1:5" x14ac:dyDescent="0.25">
      <c r="A316" t="s">
        <v>441</v>
      </c>
      <c r="B316" t="s">
        <v>859</v>
      </c>
      <c r="C316" t="s">
        <v>858</v>
      </c>
      <c r="D316" s="32" t="s">
        <v>856</v>
      </c>
      <c r="E316" s="47" t="s">
        <v>856</v>
      </c>
    </row>
    <row r="317" spans="1:5" x14ac:dyDescent="0.25">
      <c r="A317" t="s">
        <v>441</v>
      </c>
      <c r="B317" t="s">
        <v>861</v>
      </c>
      <c r="C317" t="s">
        <v>860</v>
      </c>
      <c r="D317" s="32" t="s">
        <v>856</v>
      </c>
      <c r="E317" s="47" t="s">
        <v>856</v>
      </c>
    </row>
    <row r="318" spans="1:5" x14ac:dyDescent="0.25">
      <c r="A318" t="s">
        <v>441</v>
      </c>
      <c r="B318" t="s">
        <v>864</v>
      </c>
      <c r="C318" t="s">
        <v>862</v>
      </c>
      <c r="D318" s="32" t="s">
        <v>863</v>
      </c>
      <c r="E318" s="47" t="s">
        <v>863</v>
      </c>
    </row>
    <row r="319" spans="1:5" x14ac:dyDescent="0.25">
      <c r="A319" t="s">
        <v>441</v>
      </c>
      <c r="B319" t="s">
        <v>866</v>
      </c>
      <c r="C319" t="s">
        <v>865</v>
      </c>
      <c r="D319" s="32" t="s">
        <v>476</v>
      </c>
      <c r="E319" s="47" t="s">
        <v>476</v>
      </c>
    </row>
    <row r="320" spans="1:5" x14ac:dyDescent="0.25">
      <c r="A320" t="s">
        <v>441</v>
      </c>
      <c r="B320" t="s">
        <v>868</v>
      </c>
      <c r="C320" t="s">
        <v>867</v>
      </c>
      <c r="D320" s="32" t="s">
        <v>443</v>
      </c>
      <c r="E320" s="47" t="s">
        <v>443</v>
      </c>
    </row>
    <row r="321" spans="1:5" x14ac:dyDescent="0.25">
      <c r="A321" t="s">
        <v>441</v>
      </c>
      <c r="B321" t="s">
        <v>870</v>
      </c>
      <c r="C321" t="s">
        <v>869</v>
      </c>
      <c r="D321" s="32" t="s">
        <v>448</v>
      </c>
      <c r="E321" s="47" t="s">
        <v>448</v>
      </c>
    </row>
    <row r="322" spans="1:5" x14ac:dyDescent="0.25">
      <c r="A322" t="s">
        <v>441</v>
      </c>
      <c r="B322" t="s">
        <v>872</v>
      </c>
      <c r="C322" t="s">
        <v>871</v>
      </c>
      <c r="D322" s="32" t="s">
        <v>458</v>
      </c>
      <c r="E322" s="47" t="s">
        <v>458</v>
      </c>
    </row>
    <row r="323" spans="1:5" x14ac:dyDescent="0.25">
      <c r="A323" t="s">
        <v>441</v>
      </c>
      <c r="B323" t="s">
        <v>874</v>
      </c>
      <c r="C323" t="s">
        <v>873</v>
      </c>
      <c r="D323" s="32" t="s">
        <v>1478</v>
      </c>
      <c r="E323" s="47" t="s">
        <v>1478</v>
      </c>
    </row>
    <row r="324" spans="1:5" x14ac:dyDescent="0.25">
      <c r="A324" t="s">
        <v>441</v>
      </c>
      <c r="B324" t="s">
        <v>876</v>
      </c>
      <c r="C324" t="s">
        <v>875</v>
      </c>
      <c r="D324" s="32" t="s">
        <v>863</v>
      </c>
      <c r="E324" s="47" t="s">
        <v>863</v>
      </c>
    </row>
    <row r="325" spans="1:5" x14ac:dyDescent="0.25">
      <c r="A325" t="s">
        <v>441</v>
      </c>
      <c r="B325" t="s">
        <v>879</v>
      </c>
      <c r="C325" t="s">
        <v>877</v>
      </c>
      <c r="D325" s="32" t="s">
        <v>878</v>
      </c>
      <c r="E325" s="47" t="s">
        <v>878</v>
      </c>
    </row>
    <row r="326" spans="1:5" x14ac:dyDescent="0.25">
      <c r="A326" t="s">
        <v>441</v>
      </c>
      <c r="B326" t="s">
        <v>882</v>
      </c>
      <c r="C326" t="s">
        <v>880</v>
      </c>
      <c r="D326" s="32" t="s">
        <v>881</v>
      </c>
      <c r="E326" s="47" t="s">
        <v>881</v>
      </c>
    </row>
    <row r="327" spans="1:5" x14ac:dyDescent="0.25">
      <c r="A327" t="s">
        <v>441</v>
      </c>
      <c r="B327" t="s">
        <v>885</v>
      </c>
      <c r="C327" t="s">
        <v>883</v>
      </c>
      <c r="D327" s="32" t="s">
        <v>884</v>
      </c>
      <c r="E327" s="47" t="s">
        <v>884</v>
      </c>
    </row>
    <row r="328" spans="1:5" x14ac:dyDescent="0.25">
      <c r="A328" t="s">
        <v>441</v>
      </c>
      <c r="B328" t="s">
        <v>887</v>
      </c>
      <c r="C328" t="s">
        <v>886</v>
      </c>
      <c r="D328" s="32" t="s">
        <v>884</v>
      </c>
      <c r="E328" s="47" t="s">
        <v>884</v>
      </c>
    </row>
    <row r="329" spans="1:5" x14ac:dyDescent="0.25">
      <c r="A329" t="s">
        <v>441</v>
      </c>
      <c r="B329" t="s">
        <v>889</v>
      </c>
      <c r="C329" t="s">
        <v>888</v>
      </c>
      <c r="D329" s="32" t="s">
        <v>863</v>
      </c>
      <c r="E329" s="47" t="s">
        <v>863</v>
      </c>
    </row>
    <row r="330" spans="1:5" x14ac:dyDescent="0.25">
      <c r="A330" t="s">
        <v>441</v>
      </c>
      <c r="B330" t="s">
        <v>892</v>
      </c>
      <c r="C330" t="s">
        <v>890</v>
      </c>
      <c r="D330" s="32" t="s">
        <v>1247</v>
      </c>
      <c r="E330" s="47" t="s">
        <v>1247</v>
      </c>
    </row>
    <row r="331" spans="1:5" x14ac:dyDescent="0.25">
      <c r="A331" t="s">
        <v>441</v>
      </c>
      <c r="B331" t="s">
        <v>894</v>
      </c>
      <c r="C331" t="s">
        <v>893</v>
      </c>
      <c r="D331" s="32" t="s">
        <v>856</v>
      </c>
      <c r="E331" s="47" t="s">
        <v>856</v>
      </c>
    </row>
    <row r="332" spans="1:5" x14ac:dyDescent="0.25">
      <c r="A332" t="s">
        <v>441</v>
      </c>
      <c r="B332" t="s">
        <v>896</v>
      </c>
      <c r="C332" t="s">
        <v>895</v>
      </c>
      <c r="D332" s="32" t="s">
        <v>1857</v>
      </c>
      <c r="E332" s="47" t="s">
        <v>1857</v>
      </c>
    </row>
    <row r="333" spans="1:5" x14ac:dyDescent="0.25">
      <c r="A333" t="s">
        <v>441</v>
      </c>
      <c r="B333" t="s">
        <v>899</v>
      </c>
      <c r="C333" t="s">
        <v>897</v>
      </c>
      <c r="D333" s="32" t="s">
        <v>1566</v>
      </c>
      <c r="E333" s="47" t="s">
        <v>1566</v>
      </c>
    </row>
    <row r="334" spans="1:5" x14ac:dyDescent="0.25">
      <c r="A334" t="s">
        <v>441</v>
      </c>
      <c r="B334" t="s">
        <v>901</v>
      </c>
      <c r="C334" t="s">
        <v>900</v>
      </c>
      <c r="D334" s="32" t="s">
        <v>856</v>
      </c>
      <c r="E334" s="47" t="s">
        <v>856</v>
      </c>
    </row>
    <row r="335" spans="1:5" x14ac:dyDescent="0.25">
      <c r="A335" t="s">
        <v>441</v>
      </c>
      <c r="B335" t="s">
        <v>903</v>
      </c>
      <c r="C335" t="s">
        <v>902</v>
      </c>
      <c r="D335" s="32" t="s">
        <v>891</v>
      </c>
      <c r="E335" s="47" t="s">
        <v>891</v>
      </c>
    </row>
    <row r="336" spans="1:5" x14ac:dyDescent="0.25">
      <c r="A336" t="s">
        <v>441</v>
      </c>
      <c r="B336" t="s">
        <v>905</v>
      </c>
      <c r="C336" t="s">
        <v>904</v>
      </c>
      <c r="D336" s="32" t="s">
        <v>891</v>
      </c>
      <c r="E336" s="47" t="s">
        <v>891</v>
      </c>
    </row>
    <row r="337" spans="1:5" x14ac:dyDescent="0.25">
      <c r="A337" t="s">
        <v>441</v>
      </c>
      <c r="B337" t="s">
        <v>907</v>
      </c>
      <c r="C337" t="s">
        <v>906</v>
      </c>
      <c r="D337" s="32" t="s">
        <v>891</v>
      </c>
      <c r="E337" s="47" t="s">
        <v>891</v>
      </c>
    </row>
    <row r="338" spans="1:5" x14ac:dyDescent="0.25">
      <c r="A338" t="s">
        <v>441</v>
      </c>
      <c r="B338" t="s">
        <v>909</v>
      </c>
      <c r="C338" t="s">
        <v>908</v>
      </c>
      <c r="D338" s="32" t="s">
        <v>891</v>
      </c>
      <c r="E338" s="47" t="s">
        <v>891</v>
      </c>
    </row>
    <row r="339" spans="1:5" x14ac:dyDescent="0.25">
      <c r="A339" t="s">
        <v>441</v>
      </c>
      <c r="B339" t="s">
        <v>911</v>
      </c>
      <c r="C339" t="s">
        <v>910</v>
      </c>
      <c r="D339" s="32" t="s">
        <v>891</v>
      </c>
      <c r="E339" s="47" t="s">
        <v>891</v>
      </c>
    </row>
    <row r="340" spans="1:5" x14ac:dyDescent="0.25">
      <c r="A340" t="s">
        <v>441</v>
      </c>
      <c r="B340" t="s">
        <v>914</v>
      </c>
      <c r="C340" t="s">
        <v>912</v>
      </c>
      <c r="D340" s="32" t="s">
        <v>1248</v>
      </c>
      <c r="E340" s="47" t="s">
        <v>1248</v>
      </c>
    </row>
    <row r="341" spans="1:5" x14ac:dyDescent="0.25">
      <c r="A341" t="s">
        <v>441</v>
      </c>
      <c r="B341" t="s">
        <v>917</v>
      </c>
      <c r="C341" t="s">
        <v>915</v>
      </c>
      <c r="D341" s="32" t="s">
        <v>913</v>
      </c>
      <c r="E341" s="47" t="s">
        <v>913</v>
      </c>
    </row>
    <row r="342" spans="1:5" x14ac:dyDescent="0.25">
      <c r="A342" t="s">
        <v>441</v>
      </c>
      <c r="B342" t="s">
        <v>919</v>
      </c>
      <c r="C342" t="s">
        <v>918</v>
      </c>
      <c r="D342" s="32" t="s">
        <v>916</v>
      </c>
      <c r="E342" s="47" t="s">
        <v>916</v>
      </c>
    </row>
    <row r="343" spans="1:5" x14ac:dyDescent="0.25">
      <c r="A343" t="s">
        <v>441</v>
      </c>
      <c r="B343" t="s">
        <v>922</v>
      </c>
      <c r="C343" t="s">
        <v>920</v>
      </c>
      <c r="D343" s="32" t="s">
        <v>1186</v>
      </c>
      <c r="E343" s="47" t="s">
        <v>1186</v>
      </c>
    </row>
    <row r="344" spans="1:5" x14ac:dyDescent="0.25">
      <c r="A344" t="s">
        <v>441</v>
      </c>
      <c r="B344" t="s">
        <v>924</v>
      </c>
      <c r="C344" t="s">
        <v>923</v>
      </c>
      <c r="D344" s="32" t="s">
        <v>916</v>
      </c>
      <c r="E344" s="47" t="s">
        <v>916</v>
      </c>
    </row>
    <row r="345" spans="1:5" x14ac:dyDescent="0.25">
      <c r="A345" t="s">
        <v>441</v>
      </c>
      <c r="B345" t="s">
        <v>926</v>
      </c>
      <c r="C345" t="s">
        <v>925</v>
      </c>
      <c r="D345" s="32" t="s">
        <v>884</v>
      </c>
      <c r="E345" s="47" t="s">
        <v>884</v>
      </c>
    </row>
    <row r="346" spans="1:5" x14ac:dyDescent="0.25">
      <c r="A346" t="s">
        <v>441</v>
      </c>
      <c r="B346" t="s">
        <v>928</v>
      </c>
      <c r="C346" t="s">
        <v>927</v>
      </c>
      <c r="D346" s="32" t="s">
        <v>916</v>
      </c>
      <c r="E346" s="47" t="s">
        <v>916</v>
      </c>
    </row>
    <row r="347" spans="1:5" x14ac:dyDescent="0.25">
      <c r="A347" t="s">
        <v>441</v>
      </c>
      <c r="B347" t="s">
        <v>930</v>
      </c>
      <c r="C347" t="s">
        <v>929</v>
      </c>
      <c r="D347" s="32" t="s">
        <v>856</v>
      </c>
      <c r="E347" s="47" t="s">
        <v>856</v>
      </c>
    </row>
    <row r="348" spans="1:5" x14ac:dyDescent="0.25">
      <c r="A348" t="s">
        <v>441</v>
      </c>
      <c r="B348" t="s">
        <v>932</v>
      </c>
      <c r="C348" t="s">
        <v>931</v>
      </c>
      <c r="D348" s="32" t="s">
        <v>884</v>
      </c>
      <c r="E348" s="47" t="s">
        <v>884</v>
      </c>
    </row>
    <row r="349" spans="1:5" x14ac:dyDescent="0.25">
      <c r="A349" t="s">
        <v>441</v>
      </c>
      <c r="B349" t="s">
        <v>935</v>
      </c>
      <c r="C349" t="s">
        <v>933</v>
      </c>
      <c r="D349" s="32" t="s">
        <v>934</v>
      </c>
      <c r="E349" s="47" t="s">
        <v>934</v>
      </c>
    </row>
    <row r="350" spans="1:5" x14ac:dyDescent="0.25">
      <c r="A350" t="s">
        <v>441</v>
      </c>
      <c r="B350" t="s">
        <v>937</v>
      </c>
      <c r="C350" t="s">
        <v>936</v>
      </c>
      <c r="D350" s="32" t="s">
        <v>863</v>
      </c>
      <c r="E350" s="47" t="s">
        <v>863</v>
      </c>
    </row>
    <row r="351" spans="1:5" x14ac:dyDescent="0.25">
      <c r="A351" t="s">
        <v>441</v>
      </c>
      <c r="B351" t="s">
        <v>940</v>
      </c>
      <c r="C351" t="s">
        <v>938</v>
      </c>
      <c r="D351" s="32" t="s">
        <v>939</v>
      </c>
      <c r="E351" s="47" t="s">
        <v>939</v>
      </c>
    </row>
    <row r="352" spans="1:5" x14ac:dyDescent="0.25">
      <c r="A352" t="s">
        <v>441</v>
      </c>
      <c r="B352" t="s">
        <v>942</v>
      </c>
      <c r="C352" t="s">
        <v>941</v>
      </c>
      <c r="D352" s="32" t="s">
        <v>884</v>
      </c>
      <c r="E352" s="47" t="s">
        <v>884</v>
      </c>
    </row>
    <row r="353" spans="1:5" x14ac:dyDescent="0.25">
      <c r="A353" t="s">
        <v>441</v>
      </c>
      <c r="B353" t="s">
        <v>944</v>
      </c>
      <c r="C353" t="s">
        <v>943</v>
      </c>
      <c r="D353" s="32" t="s">
        <v>916</v>
      </c>
      <c r="E353" s="47" t="s">
        <v>916</v>
      </c>
    </row>
    <row r="354" spans="1:5" x14ac:dyDescent="0.25">
      <c r="B354" t="s">
        <v>626</v>
      </c>
      <c r="C354" t="s">
        <v>945</v>
      </c>
      <c r="D354" s="32" t="s">
        <v>891</v>
      </c>
      <c r="E354" s="47" t="s">
        <v>891</v>
      </c>
    </row>
    <row r="355" spans="1:5" x14ac:dyDescent="0.25">
      <c r="A355" t="s">
        <v>441</v>
      </c>
      <c r="B355" t="s">
        <v>1249</v>
      </c>
      <c r="C355" t="s">
        <v>626</v>
      </c>
      <c r="D355" s="32" t="s">
        <v>627</v>
      </c>
      <c r="E355" s="47" t="s">
        <v>627</v>
      </c>
    </row>
    <row r="356" spans="1:5" x14ac:dyDescent="0.25">
      <c r="A356" t="s">
        <v>441</v>
      </c>
      <c r="B356" t="s">
        <v>1251</v>
      </c>
      <c r="C356" t="s">
        <v>1250</v>
      </c>
      <c r="D356" s="32" t="s">
        <v>1567</v>
      </c>
      <c r="E356" s="47" t="s">
        <v>1567</v>
      </c>
    </row>
    <row r="357" spans="1:5" x14ac:dyDescent="0.25">
      <c r="A357" t="s">
        <v>441</v>
      </c>
      <c r="B357" t="s">
        <v>1253</v>
      </c>
      <c r="C357" t="s">
        <v>1252</v>
      </c>
      <c r="D357" s="32" t="s">
        <v>1568</v>
      </c>
      <c r="E357" s="47" t="s">
        <v>1568</v>
      </c>
    </row>
    <row r="358" spans="1:5" x14ac:dyDescent="0.25">
      <c r="A358" t="s">
        <v>441</v>
      </c>
      <c r="B358" t="s">
        <v>1255</v>
      </c>
      <c r="C358" t="s">
        <v>1254</v>
      </c>
      <c r="D358" s="32" t="s">
        <v>1569</v>
      </c>
      <c r="E358" s="47" t="s">
        <v>1569</v>
      </c>
    </row>
    <row r="359" spans="1:5" x14ac:dyDescent="0.25">
      <c r="A359" t="s">
        <v>441</v>
      </c>
      <c r="B359" t="s">
        <v>1257</v>
      </c>
      <c r="C359" t="s">
        <v>1256</v>
      </c>
      <c r="D359" s="32" t="s">
        <v>1570</v>
      </c>
      <c r="E359" s="47" t="s">
        <v>1570</v>
      </c>
    </row>
    <row r="360" spans="1:5" x14ac:dyDescent="0.25">
      <c r="A360" t="s">
        <v>441</v>
      </c>
      <c r="B360" t="s">
        <v>1572</v>
      </c>
      <c r="C360" t="s">
        <v>1258</v>
      </c>
      <c r="D360" s="32" t="s">
        <v>1571</v>
      </c>
      <c r="E360" s="47" t="s">
        <v>1571</v>
      </c>
    </row>
    <row r="361" spans="1:5" x14ac:dyDescent="0.25">
      <c r="A361" t="s">
        <v>441</v>
      </c>
      <c r="B361" t="s">
        <v>1259</v>
      </c>
      <c r="C361" t="s">
        <v>1573</v>
      </c>
      <c r="D361" s="32" t="s">
        <v>1574</v>
      </c>
      <c r="E361" s="47" t="s">
        <v>1574</v>
      </c>
    </row>
    <row r="362" spans="1:5" x14ac:dyDescent="0.25">
      <c r="A362" t="s">
        <v>441</v>
      </c>
      <c r="B362" t="s">
        <v>1261</v>
      </c>
      <c r="C362" t="s">
        <v>1260</v>
      </c>
      <c r="D362" s="32" t="s">
        <v>1857</v>
      </c>
      <c r="E362" s="47" t="s">
        <v>1857</v>
      </c>
    </row>
    <row r="363" spans="1:5" x14ac:dyDescent="0.25">
      <c r="A363" t="s">
        <v>441</v>
      </c>
      <c r="B363" t="s">
        <v>1263</v>
      </c>
      <c r="C363" t="s">
        <v>1262</v>
      </c>
      <c r="D363" s="32" t="s">
        <v>1575</v>
      </c>
      <c r="E363" s="47" t="s">
        <v>1575</v>
      </c>
    </row>
    <row r="364" spans="1:5" x14ac:dyDescent="0.25">
      <c r="A364" t="s">
        <v>441</v>
      </c>
      <c r="B364" t="s">
        <v>1577</v>
      </c>
      <c r="C364" t="s">
        <v>1264</v>
      </c>
      <c r="D364" s="32" t="s">
        <v>1576</v>
      </c>
      <c r="E364" s="47" t="s">
        <v>1576</v>
      </c>
    </row>
    <row r="365" spans="1:5" x14ac:dyDescent="0.25">
      <c r="A365" t="s">
        <v>441</v>
      </c>
      <c r="B365" t="s">
        <v>1265</v>
      </c>
      <c r="C365" t="s">
        <v>1578</v>
      </c>
      <c r="D365" s="32" t="s">
        <v>1579</v>
      </c>
      <c r="E365" s="47" t="s">
        <v>1579</v>
      </c>
    </row>
    <row r="366" spans="1:5" x14ac:dyDescent="0.25">
      <c r="A366" t="s">
        <v>441</v>
      </c>
      <c r="B366" t="s">
        <v>1267</v>
      </c>
      <c r="C366" t="s">
        <v>1266</v>
      </c>
      <c r="D366" s="32" t="s">
        <v>1580</v>
      </c>
      <c r="E366" s="47" t="s">
        <v>1580</v>
      </c>
    </row>
    <row r="367" spans="1:5" x14ac:dyDescent="0.25">
      <c r="A367" t="s">
        <v>441</v>
      </c>
      <c r="B367" t="s">
        <v>1582</v>
      </c>
      <c r="C367" t="s">
        <v>1268</v>
      </c>
      <c r="D367" s="32" t="s">
        <v>1581</v>
      </c>
      <c r="E367" s="47" t="s">
        <v>1581</v>
      </c>
    </row>
    <row r="368" spans="1:5" x14ac:dyDescent="0.25">
      <c r="A368" t="s">
        <v>441</v>
      </c>
      <c r="B368" t="s">
        <v>1269</v>
      </c>
      <c r="C368" t="s">
        <v>1583</v>
      </c>
      <c r="D368" s="32" t="s">
        <v>1584</v>
      </c>
      <c r="E368" s="47" t="s">
        <v>1584</v>
      </c>
    </row>
    <row r="369" spans="1:5" x14ac:dyDescent="0.25">
      <c r="A369" t="s">
        <v>441</v>
      </c>
      <c r="B369" t="s">
        <v>1272</v>
      </c>
      <c r="C369" t="s">
        <v>1270</v>
      </c>
      <c r="D369" s="32" t="s">
        <v>1271</v>
      </c>
      <c r="E369" s="47" t="s">
        <v>1271</v>
      </c>
    </row>
    <row r="370" spans="1:5" x14ac:dyDescent="0.25">
      <c r="A370" t="s">
        <v>441</v>
      </c>
      <c r="B370" t="s">
        <v>1275</v>
      </c>
      <c r="C370" t="s">
        <v>1273</v>
      </c>
      <c r="D370" s="32" t="s">
        <v>1274</v>
      </c>
      <c r="E370" s="47" t="s">
        <v>1274</v>
      </c>
    </row>
    <row r="371" spans="1:5" x14ac:dyDescent="0.25">
      <c r="A371" t="s">
        <v>441</v>
      </c>
      <c r="B371" t="s">
        <v>1278</v>
      </c>
      <c r="C371" t="s">
        <v>1276</v>
      </c>
      <c r="D371" s="32" t="s">
        <v>1277</v>
      </c>
      <c r="E371" s="47" t="s">
        <v>1277</v>
      </c>
    </row>
    <row r="372" spans="1:5" x14ac:dyDescent="0.25">
      <c r="A372" t="s">
        <v>441</v>
      </c>
      <c r="B372" t="s">
        <v>1281</v>
      </c>
      <c r="C372" t="s">
        <v>1279</v>
      </c>
      <c r="D372" s="32" t="s">
        <v>1280</v>
      </c>
      <c r="E372" s="47" t="s">
        <v>1280</v>
      </c>
    </row>
    <row r="373" spans="1:5" x14ac:dyDescent="0.25">
      <c r="A373" t="s">
        <v>441</v>
      </c>
      <c r="B373" t="s">
        <v>1284</v>
      </c>
      <c r="C373" t="s">
        <v>1282</v>
      </c>
      <c r="D373" s="32" t="s">
        <v>1283</v>
      </c>
      <c r="E373" s="47" t="s">
        <v>1283</v>
      </c>
    </row>
    <row r="374" spans="1:5" x14ac:dyDescent="0.25">
      <c r="A374" t="s">
        <v>441</v>
      </c>
      <c r="B374" t="s">
        <v>1287</v>
      </c>
      <c r="C374" t="s">
        <v>1285</v>
      </c>
      <c r="D374" s="32" t="s">
        <v>1585</v>
      </c>
      <c r="E374" s="47" t="s">
        <v>1585</v>
      </c>
    </row>
    <row r="375" spans="1:5" x14ac:dyDescent="0.25">
      <c r="A375" t="s">
        <v>441</v>
      </c>
      <c r="B375" t="s">
        <v>436</v>
      </c>
      <c r="C375" t="s">
        <v>1288</v>
      </c>
      <c r="D375" s="32" t="s">
        <v>1586</v>
      </c>
      <c r="E375" s="47" t="s">
        <v>1586</v>
      </c>
    </row>
    <row r="376" spans="1:5" x14ac:dyDescent="0.25">
      <c r="A376" t="s">
        <v>441</v>
      </c>
      <c r="B376" t="s">
        <v>437</v>
      </c>
      <c r="C376" t="s">
        <v>481</v>
      </c>
      <c r="D376" s="32" t="s">
        <v>1289</v>
      </c>
      <c r="E376" s="47" t="s">
        <v>1289</v>
      </c>
    </row>
    <row r="377" spans="1:5" x14ac:dyDescent="0.25">
      <c r="A377" t="s">
        <v>441</v>
      </c>
      <c r="B377" t="s">
        <v>438</v>
      </c>
      <c r="C377" t="s">
        <v>482</v>
      </c>
      <c r="D377" s="32" t="s">
        <v>1290</v>
      </c>
      <c r="E377" s="47" t="s">
        <v>1290</v>
      </c>
    </row>
    <row r="378" spans="1:5" x14ac:dyDescent="0.25">
      <c r="A378" t="s">
        <v>441</v>
      </c>
      <c r="B378" t="s">
        <v>439</v>
      </c>
      <c r="C378" t="s">
        <v>483</v>
      </c>
      <c r="D378" s="32" t="s">
        <v>1291</v>
      </c>
      <c r="E378" s="47" t="s">
        <v>1291</v>
      </c>
    </row>
    <row r="379" spans="1:5" x14ac:dyDescent="0.25">
      <c r="A379" t="s">
        <v>441</v>
      </c>
      <c r="B379" t="s">
        <v>440</v>
      </c>
      <c r="C379" t="s">
        <v>484</v>
      </c>
      <c r="D379" s="32" t="s">
        <v>1292</v>
      </c>
      <c r="E379" s="47" t="s">
        <v>1292</v>
      </c>
    </row>
    <row r="380" spans="1:5" x14ac:dyDescent="0.25">
      <c r="A380" t="s">
        <v>441</v>
      </c>
      <c r="B380" t="s">
        <v>951</v>
      </c>
      <c r="C380" t="s">
        <v>485</v>
      </c>
      <c r="D380" s="32" t="s">
        <v>1293</v>
      </c>
      <c r="E380" s="47" t="s">
        <v>1293</v>
      </c>
    </row>
    <row r="381" spans="1:5" x14ac:dyDescent="0.25">
      <c r="A381" t="s">
        <v>441</v>
      </c>
      <c r="B381" t="s">
        <v>628</v>
      </c>
      <c r="C381" t="s">
        <v>952</v>
      </c>
      <c r="D381" s="32" t="s">
        <v>953</v>
      </c>
      <c r="E381" s="47" t="s">
        <v>953</v>
      </c>
    </row>
    <row r="382" spans="1:5" x14ac:dyDescent="0.25">
      <c r="C382" t="s">
        <v>629</v>
      </c>
      <c r="D382" s="32" t="s">
        <v>1587</v>
      </c>
      <c r="E382" s="47" t="s">
        <v>1587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BO245"/>
  <sheetViews>
    <sheetView topLeftCell="AY1" workbookViewId="0">
      <selection sqref="A1:BO245"/>
    </sheetView>
  </sheetViews>
  <sheetFormatPr defaultRowHeight="15" x14ac:dyDescent="0.25"/>
  <cols>
    <col min="1" max="1" width="26.7109375" customWidth="1"/>
    <col min="2" max="2" width="15.140625" customWidth="1"/>
    <col min="5" max="6" width="10.7109375" bestFit="1" customWidth="1"/>
    <col min="7" max="7" width="13" customWidth="1"/>
    <col min="8" max="8" width="14.5703125" customWidth="1"/>
    <col min="9" max="9" width="13.7109375" customWidth="1"/>
    <col min="10" max="12" width="10.7109375" bestFit="1" customWidth="1"/>
    <col min="13" max="13" width="12.7109375" customWidth="1"/>
    <col min="14" max="14" width="11.5703125" customWidth="1"/>
    <col min="15" max="26" width="9.7109375" bestFit="1" customWidth="1"/>
    <col min="28" max="28" width="10.7109375" bestFit="1" customWidth="1"/>
    <col min="34" max="34" width="10.7109375" bestFit="1" customWidth="1"/>
    <col min="42" max="42" width="18" customWidth="1"/>
    <col min="44" max="44" width="9.7109375" bestFit="1" customWidth="1"/>
    <col min="45" max="45" width="9.7109375" customWidth="1"/>
    <col min="46" max="46" width="10.28515625" customWidth="1"/>
    <col min="47" max="52" width="9.7109375" bestFit="1" customWidth="1"/>
    <col min="53" max="56" width="10.7109375" bestFit="1" customWidth="1"/>
    <col min="57" max="57" width="14.140625" customWidth="1"/>
    <col min="58" max="62" width="10.7109375" bestFit="1" customWidth="1"/>
    <col min="63" max="63" width="9.7109375" customWidth="1"/>
    <col min="64" max="64" width="16.7109375" bestFit="1" customWidth="1"/>
    <col min="65" max="69" width="10.7109375" bestFit="1" customWidth="1"/>
    <col min="70" max="75" width="10.7109375" customWidth="1"/>
    <col min="76" max="77" width="9.7109375" bestFit="1" customWidth="1"/>
    <col min="78" max="78" width="9.7109375" customWidth="1"/>
    <col min="79" max="84" width="9.7109375" bestFit="1" customWidth="1"/>
    <col min="85" max="87" width="10.7109375" bestFit="1" customWidth="1"/>
    <col min="88" max="104" width="10.7109375" customWidth="1"/>
    <col min="105" max="105" width="9.7109375" bestFit="1" customWidth="1"/>
    <col min="106" max="106" width="9.7109375" customWidth="1"/>
    <col min="107" max="107" width="9.7109375" bestFit="1" customWidth="1"/>
    <col min="108" max="111" width="9.7109375" customWidth="1"/>
    <col min="112" max="113" width="9.7109375" bestFit="1" customWidth="1"/>
    <col min="114" max="114" width="10.7109375" bestFit="1" customWidth="1"/>
    <col min="115" max="115" width="9.7109375" bestFit="1" customWidth="1"/>
  </cols>
  <sheetData>
    <row r="1" spans="1:67" x14ac:dyDescent="0.25">
      <c r="A1" t="s">
        <v>0</v>
      </c>
      <c r="B1" t="s">
        <v>1</v>
      </c>
      <c r="C1" t="s">
        <v>2</v>
      </c>
      <c r="D1" t="s">
        <v>3</v>
      </c>
      <c r="E1" s="26">
        <v>43852</v>
      </c>
      <c r="F1" s="26">
        <v>43853</v>
      </c>
      <c r="G1" s="26">
        <v>43854</v>
      </c>
      <c r="H1" s="26">
        <v>43855</v>
      </c>
      <c r="I1" s="26">
        <v>43856</v>
      </c>
      <c r="J1" s="26">
        <v>43857</v>
      </c>
      <c r="K1" s="26">
        <v>43858</v>
      </c>
      <c r="L1" s="26">
        <v>43859</v>
      </c>
      <c r="M1" s="26">
        <v>43860</v>
      </c>
      <c r="N1" s="26">
        <v>43861</v>
      </c>
      <c r="O1" s="26">
        <v>43862</v>
      </c>
      <c r="P1" s="26">
        <v>43863</v>
      </c>
      <c r="Q1" s="26">
        <v>43864</v>
      </c>
      <c r="R1" s="26">
        <v>43865</v>
      </c>
      <c r="S1" s="26">
        <v>43866</v>
      </c>
      <c r="T1" s="26">
        <v>43867</v>
      </c>
      <c r="U1" s="26">
        <v>43868</v>
      </c>
      <c r="V1" s="26">
        <v>43869</v>
      </c>
      <c r="W1" s="26">
        <v>43870</v>
      </c>
      <c r="X1" s="26">
        <v>43871</v>
      </c>
      <c r="Y1" s="26">
        <v>43872</v>
      </c>
      <c r="Z1" s="26">
        <v>43873</v>
      </c>
      <c r="AA1" s="26">
        <v>43874</v>
      </c>
      <c r="AB1" s="26">
        <v>43875</v>
      </c>
      <c r="AC1" s="26">
        <v>43876</v>
      </c>
      <c r="AD1" s="26">
        <v>43877</v>
      </c>
      <c r="AE1" s="26">
        <v>43878</v>
      </c>
      <c r="AF1" s="26">
        <v>43879</v>
      </c>
      <c r="AG1" s="26">
        <v>43880</v>
      </c>
      <c r="AH1" s="26">
        <v>43881</v>
      </c>
      <c r="AI1" s="26">
        <v>43882</v>
      </c>
      <c r="AJ1" s="26">
        <v>43883</v>
      </c>
      <c r="AK1" s="26">
        <v>43884</v>
      </c>
      <c r="AL1" s="26">
        <v>43885</v>
      </c>
      <c r="AM1" s="26">
        <v>43886</v>
      </c>
      <c r="AN1" s="26">
        <v>43887</v>
      </c>
      <c r="AO1" s="26">
        <v>43888</v>
      </c>
      <c r="AP1" s="26">
        <v>43889</v>
      </c>
      <c r="AQ1" s="26">
        <v>43890</v>
      </c>
      <c r="AR1" s="26">
        <v>43891</v>
      </c>
      <c r="AS1" s="26">
        <v>43892</v>
      </c>
      <c r="AT1" s="26">
        <v>43893</v>
      </c>
      <c r="AU1" s="26">
        <v>43894</v>
      </c>
      <c r="AV1" s="26">
        <v>43895</v>
      </c>
      <c r="AW1" s="26">
        <v>43896</v>
      </c>
      <c r="AX1" s="26">
        <v>43897</v>
      </c>
      <c r="AY1" s="26">
        <v>43898</v>
      </c>
      <c r="AZ1" s="26">
        <v>43899</v>
      </c>
      <c r="BA1" s="26">
        <v>43900</v>
      </c>
      <c r="BB1" s="26">
        <v>43901</v>
      </c>
      <c r="BC1" s="26">
        <v>43902</v>
      </c>
      <c r="BD1" s="26">
        <v>43903</v>
      </c>
      <c r="BE1" s="26">
        <v>43904</v>
      </c>
      <c r="BF1" s="26">
        <v>43905</v>
      </c>
      <c r="BG1" s="26">
        <v>43906</v>
      </c>
      <c r="BH1" s="26">
        <v>43907</v>
      </c>
      <c r="BI1" s="26">
        <v>43908</v>
      </c>
      <c r="BJ1" s="26">
        <v>43909</v>
      </c>
      <c r="BK1" s="26">
        <v>43910</v>
      </c>
      <c r="BL1" s="26">
        <v>43911</v>
      </c>
      <c r="BM1" s="26">
        <v>43912</v>
      </c>
      <c r="BN1" s="26">
        <v>43913</v>
      </c>
      <c r="BO1" s="26">
        <v>43914</v>
      </c>
    </row>
    <row r="2" spans="1:67" hidden="1" x14ac:dyDescent="0.25">
      <c r="B2" t="s">
        <v>70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 t="s">
        <v>1599</v>
      </c>
    </row>
    <row r="3" spans="1:67" hidden="1" x14ac:dyDescent="0.25">
      <c r="B3" t="s">
        <v>144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 t="s">
        <v>1600</v>
      </c>
    </row>
    <row r="4" spans="1:67" hidden="1" x14ac:dyDescent="0.25">
      <c r="B4" t="s">
        <v>73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 t="s">
        <v>1601</v>
      </c>
    </row>
    <row r="5" spans="1:67" hidden="1" x14ac:dyDescent="0.25">
      <c r="B5" t="s">
        <v>105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 t="s">
        <v>1602</v>
      </c>
    </row>
    <row r="6" spans="1:67" hidden="1" x14ac:dyDescent="0.25">
      <c r="B6" t="s">
        <v>1041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 t="s">
        <v>1603</v>
      </c>
    </row>
    <row r="7" spans="1:67" hidden="1" x14ac:dyDescent="0.25">
      <c r="B7" t="s">
        <v>208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 t="s">
        <v>1603</v>
      </c>
    </row>
    <row r="8" spans="1:67" hidden="1" x14ac:dyDescent="0.25">
      <c r="B8" t="s">
        <v>111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 t="s">
        <v>1604</v>
      </c>
    </row>
    <row r="9" spans="1:67" hidden="1" x14ac:dyDescent="0.25">
      <c r="B9" t="s">
        <v>101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 t="s">
        <v>1605</v>
      </c>
    </row>
    <row r="10" spans="1:67" hidden="1" x14ac:dyDescent="0.25">
      <c r="A10" t="s">
        <v>197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 t="s">
        <v>1606</v>
      </c>
    </row>
    <row r="11" spans="1:67" hidden="1" x14ac:dyDescent="0.25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 t="s">
        <v>1607</v>
      </c>
    </row>
    <row r="12" spans="1:67" hidden="1" x14ac:dyDescent="0.25">
      <c r="A12" t="s">
        <v>117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 t="s">
        <v>1608</v>
      </c>
    </row>
    <row r="13" spans="1:67" hidden="1" x14ac:dyDescent="0.25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 t="s">
        <v>1609</v>
      </c>
    </row>
    <row r="14" spans="1:67" hidden="1" x14ac:dyDescent="0.25">
      <c r="A14" t="s">
        <v>62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 t="s">
        <v>1610</v>
      </c>
    </row>
    <row r="15" spans="1:67" x14ac:dyDescent="0.25">
      <c r="A15" t="s">
        <v>106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 t="s">
        <v>1611</v>
      </c>
    </row>
    <row r="16" spans="1:67" hidden="1" x14ac:dyDescent="0.25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 t="s">
        <v>1612</v>
      </c>
    </row>
    <row r="17" spans="1:67" hidden="1" x14ac:dyDescent="0.25">
      <c r="A17" t="s">
        <v>95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 t="s">
        <v>1613</v>
      </c>
    </row>
    <row r="18" spans="1:67" hidden="1" x14ac:dyDescent="0.25">
      <c r="B18" t="s">
        <v>76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 t="s">
        <v>1614</v>
      </c>
    </row>
    <row r="19" spans="1:67" hidden="1" x14ac:dyDescent="0.25">
      <c r="B19" t="s">
        <v>100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 t="s">
        <v>1615</v>
      </c>
    </row>
    <row r="20" spans="1:67" hidden="1" x14ac:dyDescent="0.25">
      <c r="B20" t="s">
        <v>1616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 t="s">
        <v>1617</v>
      </c>
    </row>
    <row r="21" spans="1:67" hidden="1" x14ac:dyDescent="0.25">
      <c r="B21" t="s">
        <v>71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 t="s">
        <v>1618</v>
      </c>
    </row>
    <row r="22" spans="1:67" hidden="1" x14ac:dyDescent="0.25">
      <c r="B22" t="s">
        <v>138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 t="s">
        <v>1606</v>
      </c>
    </row>
    <row r="23" spans="1:67" hidden="1" x14ac:dyDescent="0.25">
      <c r="B23" t="s">
        <v>963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 t="s">
        <v>1619</v>
      </c>
    </row>
    <row r="24" spans="1:67" hidden="1" x14ac:dyDescent="0.25">
      <c r="B24" t="s">
        <v>89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 t="s">
        <v>1620</v>
      </c>
    </row>
    <row r="25" spans="1:67" hidden="1" x14ac:dyDescent="0.25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 t="s">
        <v>1621</v>
      </c>
    </row>
    <row r="26" spans="1:67" hidden="1" x14ac:dyDescent="0.25">
      <c r="B26" t="s">
        <v>958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 t="s">
        <v>1608</v>
      </c>
    </row>
    <row r="27" spans="1:67" hidden="1" x14ac:dyDescent="0.25">
      <c r="B27" t="s">
        <v>125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 t="s">
        <v>1622</v>
      </c>
    </row>
    <row r="28" spans="1:67" hidden="1" x14ac:dyDescent="0.25">
      <c r="B28" t="s">
        <v>179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 t="s">
        <v>1623</v>
      </c>
    </row>
    <row r="29" spans="1:67" hidden="1" x14ac:dyDescent="0.25">
      <c r="B29" t="s">
        <v>122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 t="s">
        <v>1624</v>
      </c>
    </row>
    <row r="30" spans="1:67" hidden="1" x14ac:dyDescent="0.25">
      <c r="B30" t="s">
        <v>79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 t="s">
        <v>1625</v>
      </c>
    </row>
    <row r="31" spans="1:67" hidden="1" x14ac:dyDescent="0.25">
      <c r="B31" t="s">
        <v>146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 t="s">
        <v>1626</v>
      </c>
    </row>
    <row r="32" spans="1:67" hidden="1" x14ac:dyDescent="0.25">
      <c r="B32" t="s">
        <v>136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 t="s">
        <v>1627</v>
      </c>
    </row>
    <row r="33" spans="1:67" hidden="1" x14ac:dyDescent="0.25">
      <c r="B33" t="s">
        <v>149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 t="s">
        <v>1628</v>
      </c>
    </row>
    <row r="34" spans="1:67" hidden="1" x14ac:dyDescent="0.25">
      <c r="B34" t="s">
        <v>1042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 t="s">
        <v>1603</v>
      </c>
    </row>
    <row r="35" spans="1:67" hidden="1" x14ac:dyDescent="0.25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 t="s">
        <v>1629</v>
      </c>
    </row>
    <row r="36" spans="1:67" hidden="1" x14ac:dyDescent="0.25">
      <c r="B36" t="s">
        <v>126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 t="s">
        <v>1630</v>
      </c>
    </row>
    <row r="37" spans="1:67" hidden="1" x14ac:dyDescent="0.25">
      <c r="A37" t="s">
        <v>142</v>
      </c>
      <c r="B37" t="s">
        <v>46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 t="s">
        <v>1631</v>
      </c>
    </row>
    <row r="38" spans="1:67" hidden="1" x14ac:dyDescent="0.25">
      <c r="A38" t="s">
        <v>45</v>
      </c>
      <c r="B38" t="s">
        <v>46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 t="s">
        <v>1632</v>
      </c>
    </row>
    <row r="39" spans="1:67" hidden="1" x14ac:dyDescent="0.25">
      <c r="A39" t="s">
        <v>148</v>
      </c>
      <c r="B39" t="s">
        <v>46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 t="s">
        <v>1633</v>
      </c>
    </row>
    <row r="40" spans="1:67" hidden="1" x14ac:dyDescent="0.25">
      <c r="A40" t="s">
        <v>201</v>
      </c>
      <c r="B40" t="s">
        <v>46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 t="s">
        <v>1634</v>
      </c>
    </row>
    <row r="41" spans="1:67" hidden="1" x14ac:dyDescent="0.25">
      <c r="A41" t="s">
        <v>182</v>
      </c>
      <c r="B41" t="s">
        <v>46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 t="s">
        <v>1619</v>
      </c>
    </row>
    <row r="42" spans="1:67" hidden="1" x14ac:dyDescent="0.25">
      <c r="A42" t="s">
        <v>518</v>
      </c>
      <c r="B42" t="s">
        <v>46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 t="s">
        <v>1635</v>
      </c>
    </row>
    <row r="43" spans="1:67" hidden="1" x14ac:dyDescent="0.25">
      <c r="A43" t="s">
        <v>957</v>
      </c>
      <c r="B43" t="s">
        <v>46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 t="s">
        <v>1636</v>
      </c>
    </row>
    <row r="44" spans="1:67" hidden="1" x14ac:dyDescent="0.25">
      <c r="A44" t="s">
        <v>141</v>
      </c>
      <c r="B44" t="s">
        <v>46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 t="s">
        <v>1637</v>
      </c>
    </row>
    <row r="45" spans="1:67" hidden="1" x14ac:dyDescent="0.25">
      <c r="A45" t="s">
        <v>519</v>
      </c>
      <c r="B45" t="s">
        <v>46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 t="s">
        <v>1603</v>
      </c>
    </row>
    <row r="46" spans="1:67" hidden="1" x14ac:dyDescent="0.25">
      <c r="A46" t="s">
        <v>143</v>
      </c>
      <c r="B46" t="s">
        <v>46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 t="s">
        <v>1638</v>
      </c>
    </row>
    <row r="47" spans="1:67" hidden="1" x14ac:dyDescent="0.25">
      <c r="A47" t="s">
        <v>202</v>
      </c>
      <c r="B47" t="s">
        <v>46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 t="s">
        <v>1639</v>
      </c>
    </row>
    <row r="48" spans="1:67" hidden="1" x14ac:dyDescent="0.25">
      <c r="B48" t="s">
        <v>520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 t="s">
        <v>1603</v>
      </c>
    </row>
    <row r="49" spans="1:67" hidden="1" x14ac:dyDescent="0.25">
      <c r="B49" t="s">
        <v>1035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 t="s">
        <v>1603</v>
      </c>
    </row>
    <row r="50" spans="1:67" hidden="1" x14ac:dyDescent="0.25">
      <c r="B50" t="s">
        <v>112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 t="s">
        <v>1640</v>
      </c>
    </row>
    <row r="51" spans="1:67" hidden="1" x14ac:dyDescent="0.25">
      <c r="A51" t="s">
        <v>4</v>
      </c>
      <c r="B51" t="s">
        <v>176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 t="s">
        <v>1641</v>
      </c>
    </row>
    <row r="52" spans="1:67" hidden="1" x14ac:dyDescent="0.25">
      <c r="A52" t="s">
        <v>5</v>
      </c>
      <c r="B52" t="s">
        <v>176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 t="s">
        <v>1642</v>
      </c>
    </row>
    <row r="53" spans="1:67" hidden="1" x14ac:dyDescent="0.25">
      <c r="A53" t="s">
        <v>6</v>
      </c>
      <c r="B53" t="s">
        <v>176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 t="s">
        <v>1643</v>
      </c>
    </row>
    <row r="54" spans="1:67" hidden="1" x14ac:dyDescent="0.25">
      <c r="A54" t="s">
        <v>7</v>
      </c>
      <c r="B54" t="s">
        <v>176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 t="s">
        <v>1644</v>
      </c>
    </row>
    <row r="55" spans="1:67" hidden="1" x14ac:dyDescent="0.25">
      <c r="A55" t="s">
        <v>8</v>
      </c>
      <c r="B55" t="s">
        <v>176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 t="s">
        <v>1645</v>
      </c>
    </row>
    <row r="56" spans="1:67" hidden="1" x14ac:dyDescent="0.25">
      <c r="A56" t="s">
        <v>9</v>
      </c>
      <c r="B56" t="s">
        <v>176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 t="s">
        <v>1646</v>
      </c>
    </row>
    <row r="57" spans="1:67" hidden="1" x14ac:dyDescent="0.25">
      <c r="A57" t="s">
        <v>10</v>
      </c>
      <c r="B57" t="s">
        <v>176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 t="s">
        <v>1647</v>
      </c>
    </row>
    <row r="58" spans="1:67" hidden="1" x14ac:dyDescent="0.25">
      <c r="A58" t="s">
        <v>11</v>
      </c>
      <c r="B58" t="s">
        <v>176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 t="s">
        <v>1648</v>
      </c>
    </row>
    <row r="59" spans="1:67" hidden="1" x14ac:dyDescent="0.25">
      <c r="A59" t="s">
        <v>12</v>
      </c>
      <c r="B59" t="s">
        <v>176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 t="s">
        <v>1649</v>
      </c>
    </row>
    <row r="60" spans="1:67" hidden="1" x14ac:dyDescent="0.25">
      <c r="A60" t="s">
        <v>13</v>
      </c>
      <c r="B60" t="s">
        <v>176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 t="s">
        <v>1650</v>
      </c>
    </row>
    <row r="61" spans="1:67" hidden="1" x14ac:dyDescent="0.25">
      <c r="A61" t="s">
        <v>14</v>
      </c>
      <c r="B61" t="s">
        <v>176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 t="s">
        <v>1651</v>
      </c>
    </row>
    <row r="62" spans="1:67" hidden="1" x14ac:dyDescent="0.25">
      <c r="A62" t="s">
        <v>15</v>
      </c>
      <c r="B62" t="s">
        <v>176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 t="s">
        <v>1652</v>
      </c>
    </row>
    <row r="63" spans="1:67" hidden="1" x14ac:dyDescent="0.25">
      <c r="A63" t="s">
        <v>39</v>
      </c>
      <c r="B63" t="s">
        <v>176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 t="s">
        <v>1653</v>
      </c>
    </row>
    <row r="64" spans="1:67" hidden="1" x14ac:dyDescent="0.25">
      <c r="A64" t="s">
        <v>16</v>
      </c>
      <c r="B64" t="s">
        <v>176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 t="s">
        <v>1654</v>
      </c>
    </row>
    <row r="65" spans="1:67" hidden="1" x14ac:dyDescent="0.25">
      <c r="A65" t="s">
        <v>17</v>
      </c>
      <c r="B65" t="s">
        <v>176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 t="s">
        <v>1655</v>
      </c>
    </row>
    <row r="66" spans="1:67" hidden="1" x14ac:dyDescent="0.25">
      <c r="A66" t="s">
        <v>18</v>
      </c>
      <c r="B66" t="s">
        <v>176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 t="s">
        <v>1656</v>
      </c>
    </row>
    <row r="67" spans="1:67" hidden="1" x14ac:dyDescent="0.25">
      <c r="A67" t="s">
        <v>19</v>
      </c>
      <c r="B67" t="s">
        <v>176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 t="s">
        <v>1657</v>
      </c>
    </row>
    <row r="68" spans="1:67" hidden="1" x14ac:dyDescent="0.25">
      <c r="A68" t="s">
        <v>20</v>
      </c>
      <c r="B68" t="s">
        <v>176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 t="s">
        <v>1658</v>
      </c>
    </row>
    <row r="69" spans="1:67" hidden="1" x14ac:dyDescent="0.25">
      <c r="A69" t="s">
        <v>21</v>
      </c>
      <c r="B69" t="s">
        <v>176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 t="s">
        <v>1659</v>
      </c>
    </row>
    <row r="70" spans="1:67" hidden="1" x14ac:dyDescent="0.25">
      <c r="A70" t="s">
        <v>22</v>
      </c>
      <c r="B70" t="s">
        <v>176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 t="s">
        <v>1660</v>
      </c>
    </row>
    <row r="71" spans="1:67" hidden="1" x14ac:dyDescent="0.25">
      <c r="A71" t="s">
        <v>38</v>
      </c>
      <c r="B71" t="s">
        <v>176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 t="s">
        <v>1661</v>
      </c>
    </row>
    <row r="72" spans="1:67" hidden="1" x14ac:dyDescent="0.25">
      <c r="A72" t="s">
        <v>23</v>
      </c>
      <c r="B72" t="s">
        <v>176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 t="s">
        <v>1656</v>
      </c>
    </row>
    <row r="73" spans="1:67" hidden="1" x14ac:dyDescent="0.25">
      <c r="A73" t="s">
        <v>24</v>
      </c>
      <c r="B73" t="s">
        <v>176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 t="s">
        <v>1619</v>
      </c>
    </row>
    <row r="74" spans="1:67" hidden="1" x14ac:dyDescent="0.25">
      <c r="A74" t="s">
        <v>25</v>
      </c>
      <c r="B74" t="s">
        <v>176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 t="s">
        <v>1605</v>
      </c>
    </row>
    <row r="75" spans="1:67" hidden="1" x14ac:dyDescent="0.25">
      <c r="A75" t="s">
        <v>26</v>
      </c>
      <c r="B75" t="s">
        <v>176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 t="s">
        <v>1662</v>
      </c>
    </row>
    <row r="76" spans="1:67" hidden="1" x14ac:dyDescent="0.25">
      <c r="A76" t="s">
        <v>27</v>
      </c>
      <c r="B76" t="s">
        <v>176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 t="s">
        <v>1663</v>
      </c>
    </row>
    <row r="77" spans="1:67" hidden="1" x14ac:dyDescent="0.25">
      <c r="A77" t="s">
        <v>28</v>
      </c>
      <c r="B77" t="s">
        <v>176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 t="s">
        <v>1664</v>
      </c>
    </row>
    <row r="78" spans="1:67" hidden="1" x14ac:dyDescent="0.25">
      <c r="A78" t="s">
        <v>29</v>
      </c>
      <c r="B78" t="s">
        <v>176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 t="s">
        <v>1665</v>
      </c>
    </row>
    <row r="79" spans="1:67" hidden="1" x14ac:dyDescent="0.25">
      <c r="A79" t="s">
        <v>30</v>
      </c>
      <c r="B79" t="s">
        <v>176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 t="s">
        <v>1666</v>
      </c>
    </row>
    <row r="80" spans="1:67" hidden="1" x14ac:dyDescent="0.25">
      <c r="A80" t="s">
        <v>31</v>
      </c>
      <c r="B80" t="s">
        <v>176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 t="s">
        <v>1667</v>
      </c>
    </row>
    <row r="81" spans="1:67" hidden="1" x14ac:dyDescent="0.25">
      <c r="A81" t="s">
        <v>32</v>
      </c>
      <c r="B81" t="s">
        <v>176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 t="s">
        <v>1668</v>
      </c>
    </row>
    <row r="82" spans="1:67" hidden="1" x14ac:dyDescent="0.25">
      <c r="A82" t="s">
        <v>33</v>
      </c>
      <c r="B82" t="s">
        <v>176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 t="s">
        <v>1669</v>
      </c>
    </row>
    <row r="83" spans="1:67" hidden="1" x14ac:dyDescent="0.25">
      <c r="A83" t="s">
        <v>34</v>
      </c>
      <c r="B83" t="s">
        <v>176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 t="s">
        <v>1670</v>
      </c>
    </row>
    <row r="84" spans="1:67" hidden="1" x14ac:dyDescent="0.25">
      <c r="B84" t="s">
        <v>127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 t="s">
        <v>1671</v>
      </c>
    </row>
    <row r="85" spans="1:67" hidden="1" x14ac:dyDescent="0.25">
      <c r="B85" t="s">
        <v>521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 t="s">
        <v>1672</v>
      </c>
    </row>
    <row r="86" spans="1:67" hidden="1" x14ac:dyDescent="0.25">
      <c r="B86" t="s">
        <v>183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 t="s">
        <v>1673</v>
      </c>
    </row>
    <row r="87" spans="1:67" hidden="1" x14ac:dyDescent="0.25">
      <c r="B87" t="s">
        <v>128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 t="s">
        <v>1674</v>
      </c>
    </row>
    <row r="88" spans="1:67" hidden="1" x14ac:dyDescent="0.25">
      <c r="B88" t="s">
        <v>184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 t="s">
        <v>1675</v>
      </c>
    </row>
    <row r="89" spans="1:67" hidden="1" x14ac:dyDescent="0.25">
      <c r="B89" t="s">
        <v>74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 t="s">
        <v>1676</v>
      </c>
    </row>
    <row r="90" spans="1:67" hidden="1" x14ac:dyDescent="0.25">
      <c r="B90" t="s">
        <v>147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 t="s">
        <v>1677</v>
      </c>
    </row>
    <row r="91" spans="1:67" hidden="1" x14ac:dyDescent="0.25">
      <c r="B91" t="s">
        <v>195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 t="s">
        <v>1678</v>
      </c>
    </row>
    <row r="92" spans="1:67" hidden="1" x14ac:dyDescent="0.25">
      <c r="B92" t="s">
        <v>145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 t="s">
        <v>1679</v>
      </c>
    </row>
    <row r="93" spans="1:67" hidden="1" x14ac:dyDescent="0.25">
      <c r="B93" t="s">
        <v>177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 t="s">
        <v>1680</v>
      </c>
    </row>
    <row r="94" spans="1:67" hidden="1" x14ac:dyDescent="0.25">
      <c r="A94" t="s">
        <v>118</v>
      </c>
      <c r="B94" t="s">
        <v>85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 t="s">
        <v>1681</v>
      </c>
    </row>
    <row r="95" spans="1:67" hidden="1" x14ac:dyDescent="0.25">
      <c r="A95" t="s">
        <v>959</v>
      </c>
      <c r="B95" t="s">
        <v>85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 t="s">
        <v>1617</v>
      </c>
    </row>
    <row r="96" spans="1:67" hidden="1" x14ac:dyDescent="0.25">
      <c r="B96" t="s">
        <v>85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 t="s">
        <v>1682</v>
      </c>
    </row>
    <row r="97" spans="1:67" hidden="1" x14ac:dyDescent="0.25">
      <c r="B97" t="s">
        <v>968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 t="s">
        <v>1603</v>
      </c>
    </row>
    <row r="98" spans="1:67" hidden="1" x14ac:dyDescent="0.25">
      <c r="B98" t="s">
        <v>102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 t="s">
        <v>1683</v>
      </c>
    </row>
    <row r="99" spans="1:67" hidden="1" x14ac:dyDescent="0.25">
      <c r="B99" t="s">
        <v>99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 t="s">
        <v>1684</v>
      </c>
    </row>
    <row r="100" spans="1:67" hidden="1" x14ac:dyDescent="0.25">
      <c r="B100" t="s">
        <v>64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 t="s">
        <v>1685</v>
      </c>
    </row>
    <row r="101" spans="1:67" hidden="1" x14ac:dyDescent="0.25">
      <c r="B101" t="s">
        <v>1036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 t="s">
        <v>1617</v>
      </c>
    </row>
    <row r="102" spans="1:67" hidden="1" x14ac:dyDescent="0.25">
      <c r="B102" t="s">
        <v>522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 t="s">
        <v>1686</v>
      </c>
    </row>
    <row r="103" spans="1:67" hidden="1" x14ac:dyDescent="0.25">
      <c r="B103" t="s">
        <v>1107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 t="s">
        <v>1667</v>
      </c>
    </row>
    <row r="104" spans="1:67" hidden="1" x14ac:dyDescent="0.25">
      <c r="B104" t="s">
        <v>86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 t="s">
        <v>1687</v>
      </c>
    </row>
    <row r="105" spans="1:67" hidden="1" x14ac:dyDescent="0.25">
      <c r="B105" t="s">
        <v>380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 t="s">
        <v>1672</v>
      </c>
    </row>
    <row r="106" spans="1:67" hidden="1" x14ac:dyDescent="0.25">
      <c r="B106" t="s">
        <v>203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 t="s">
        <v>1688</v>
      </c>
    </row>
    <row r="107" spans="1:67" hidden="1" x14ac:dyDescent="0.25">
      <c r="B107" t="s">
        <v>1037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 t="s">
        <v>1672</v>
      </c>
    </row>
    <row r="108" spans="1:67" hidden="1" x14ac:dyDescent="0.25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 t="s">
        <v>1689</v>
      </c>
    </row>
    <row r="109" spans="1:67" hidden="1" x14ac:dyDescent="0.25">
      <c r="A109" t="s">
        <v>133</v>
      </c>
      <c r="B109" t="s">
        <v>42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 t="s">
        <v>1690</v>
      </c>
    </row>
    <row r="110" spans="1:67" hidden="1" x14ac:dyDescent="0.25">
      <c r="A110" t="s">
        <v>199</v>
      </c>
      <c r="B110" t="s">
        <v>42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 t="s">
        <v>1661</v>
      </c>
    </row>
    <row r="111" spans="1:67" hidden="1" x14ac:dyDescent="0.25">
      <c r="A111" t="s">
        <v>200</v>
      </c>
      <c r="B111" t="s">
        <v>42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 t="s">
        <v>1691</v>
      </c>
    </row>
    <row r="112" spans="1:67" hidden="1" x14ac:dyDescent="0.25">
      <c r="A112" t="s">
        <v>523</v>
      </c>
      <c r="B112" t="s">
        <v>42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 t="s">
        <v>1692</v>
      </c>
    </row>
    <row r="113" spans="1:67" hidden="1" x14ac:dyDescent="0.25">
      <c r="A113" t="s">
        <v>1033</v>
      </c>
      <c r="B113" t="s">
        <v>42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 t="s">
        <v>1693</v>
      </c>
    </row>
    <row r="114" spans="1:67" hidden="1" x14ac:dyDescent="0.25">
      <c r="A114" t="s">
        <v>186</v>
      </c>
      <c r="B114" t="s">
        <v>42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 t="s">
        <v>1694</v>
      </c>
    </row>
    <row r="115" spans="1:67" hidden="1" x14ac:dyDescent="0.25">
      <c r="A115" t="s">
        <v>115</v>
      </c>
      <c r="B115" t="s">
        <v>42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 t="s">
        <v>1603</v>
      </c>
    </row>
    <row r="116" spans="1:67" hidden="1" x14ac:dyDescent="0.25">
      <c r="A116" t="s">
        <v>180</v>
      </c>
      <c r="B116" t="s">
        <v>42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 t="s">
        <v>1695</v>
      </c>
    </row>
    <row r="117" spans="1:67" hidden="1" x14ac:dyDescent="0.25">
      <c r="A117" t="s">
        <v>135</v>
      </c>
      <c r="B117" t="s">
        <v>42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 t="s">
        <v>1696</v>
      </c>
    </row>
    <row r="118" spans="1:67" hidden="1" x14ac:dyDescent="0.25">
      <c r="B118" t="s">
        <v>42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 t="s">
        <v>1697</v>
      </c>
    </row>
    <row r="119" spans="1:67" hidden="1" x14ac:dyDescent="0.25">
      <c r="B119" t="s">
        <v>381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 t="s">
        <v>1608</v>
      </c>
    </row>
    <row r="120" spans="1:67" hidden="1" x14ac:dyDescent="0.25">
      <c r="B120" t="s">
        <v>1698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 t="s">
        <v>1603</v>
      </c>
    </row>
    <row r="121" spans="1:67" hidden="1" x14ac:dyDescent="0.25">
      <c r="B121" t="s">
        <v>80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 t="s">
        <v>1699</v>
      </c>
    </row>
    <row r="122" spans="1:67" hidden="1" x14ac:dyDescent="0.25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 t="s">
        <v>1700</v>
      </c>
    </row>
    <row r="123" spans="1:67" hidden="1" x14ac:dyDescent="0.25">
      <c r="B123" t="s">
        <v>374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 t="s">
        <v>1701</v>
      </c>
    </row>
    <row r="124" spans="1:67" hidden="1" x14ac:dyDescent="0.25">
      <c r="B124" t="s">
        <v>81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 t="s">
        <v>1702</v>
      </c>
    </row>
    <row r="125" spans="1:67" hidden="1" x14ac:dyDescent="0.25">
      <c r="B125" t="s">
        <v>382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 t="s">
        <v>1634</v>
      </c>
    </row>
    <row r="126" spans="1:67" hidden="1" x14ac:dyDescent="0.25">
      <c r="B126" t="s">
        <v>205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 t="s">
        <v>1672</v>
      </c>
    </row>
    <row r="127" spans="1:67" hidden="1" x14ac:dyDescent="0.25">
      <c r="B127" t="s">
        <v>196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 t="s">
        <v>1617</v>
      </c>
    </row>
    <row r="128" spans="1:67" hidden="1" x14ac:dyDescent="0.25">
      <c r="B128" t="s">
        <v>1040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 t="s">
        <v>1703</v>
      </c>
    </row>
    <row r="129" spans="2:67" hidden="1" x14ac:dyDescent="0.25">
      <c r="B129" t="s">
        <v>150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 t="s">
        <v>1672</v>
      </c>
    </row>
    <row r="130" spans="2:67" hidden="1" x14ac:dyDescent="0.25">
      <c r="B130" t="s">
        <v>181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 t="s">
        <v>1704</v>
      </c>
    </row>
    <row r="131" spans="2:67" hidden="1" x14ac:dyDescent="0.25">
      <c r="B131" t="s">
        <v>116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 t="s">
        <v>1705</v>
      </c>
    </row>
    <row r="132" spans="2:67" hidden="1" x14ac:dyDescent="0.25">
      <c r="B132" t="s">
        <v>90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 t="s">
        <v>1706</v>
      </c>
    </row>
    <row r="133" spans="2:67" hidden="1" x14ac:dyDescent="0.25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 t="s">
        <v>1707</v>
      </c>
    </row>
    <row r="134" spans="2:67" hidden="1" x14ac:dyDescent="0.25">
      <c r="B134" t="s">
        <v>103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 t="s">
        <v>1708</v>
      </c>
    </row>
    <row r="135" spans="2:67" hidden="1" x14ac:dyDescent="0.25">
      <c r="B135" t="s">
        <v>65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 t="s">
        <v>1709</v>
      </c>
    </row>
    <row r="136" spans="2:67" hidden="1" x14ac:dyDescent="0.25">
      <c r="B136" t="s">
        <v>68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 t="s">
        <v>1710</v>
      </c>
    </row>
    <row r="137" spans="2:67" hidden="1" x14ac:dyDescent="0.25">
      <c r="B137" t="s">
        <v>956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 t="s">
        <v>1711</v>
      </c>
    </row>
    <row r="138" spans="2:67" hidden="1" x14ac:dyDescent="0.25">
      <c r="B138" t="s">
        <v>77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83</v>
      </c>
      <c r="BB138">
        <v>109</v>
      </c>
      <c r="BC138">
        <v>131</v>
      </c>
      <c r="BD138">
        <v>161</v>
      </c>
      <c r="BE138">
        <v>193</v>
      </c>
      <c r="BF138">
        <v>251</v>
      </c>
      <c r="BG138">
        <v>255</v>
      </c>
      <c r="BH138">
        <v>337</v>
      </c>
      <c r="BI138">
        <v>433</v>
      </c>
      <c r="BJ138">
        <v>677</v>
      </c>
      <c r="BK138">
        <v>705</v>
      </c>
      <c r="BL138">
        <v>883</v>
      </c>
      <c r="BM138">
        <v>1071</v>
      </c>
      <c r="BN138">
        <v>1442</v>
      </c>
      <c r="BO138" t="s">
        <v>1712</v>
      </c>
    </row>
    <row r="139" spans="2:67" hidden="1" x14ac:dyDescent="0.25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 t="s">
        <v>1713</v>
      </c>
    </row>
    <row r="140" spans="2:67" hidden="1" x14ac:dyDescent="0.25">
      <c r="B140" t="s">
        <v>185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 t="s">
        <v>1634</v>
      </c>
    </row>
    <row r="141" spans="2:67" hidden="1" x14ac:dyDescent="0.25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 t="s">
        <v>1714</v>
      </c>
    </row>
    <row r="142" spans="2:67" hidden="1" x14ac:dyDescent="0.25">
      <c r="B142" t="s">
        <v>113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 t="s">
        <v>1715</v>
      </c>
    </row>
    <row r="143" spans="2:67" hidden="1" x14ac:dyDescent="0.25">
      <c r="B143" t="s">
        <v>198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 t="s">
        <v>1639</v>
      </c>
    </row>
    <row r="144" spans="2:67" hidden="1" x14ac:dyDescent="0.25">
      <c r="B144" t="s">
        <v>207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 t="s">
        <v>1661</v>
      </c>
    </row>
    <row r="145" spans="2:67" hidden="1" x14ac:dyDescent="0.25">
      <c r="B145" t="s">
        <v>194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 t="s">
        <v>1716</v>
      </c>
    </row>
    <row r="146" spans="2:67" hidden="1" x14ac:dyDescent="0.25">
      <c r="B146" t="s">
        <v>72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 t="s">
        <v>1717</v>
      </c>
    </row>
    <row r="147" spans="2:67" hidden="1" x14ac:dyDescent="0.25">
      <c r="B147" t="s">
        <v>965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 t="s">
        <v>1718</v>
      </c>
    </row>
    <row r="148" spans="2:67" hidden="1" x14ac:dyDescent="0.25">
      <c r="B148" t="s">
        <v>107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 t="s">
        <v>1719</v>
      </c>
    </row>
    <row r="149" spans="2:67" hidden="1" x14ac:dyDescent="0.25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 t="s">
        <v>1644</v>
      </c>
    </row>
    <row r="150" spans="2:67" hidden="1" x14ac:dyDescent="0.25">
      <c r="B150" t="s">
        <v>960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 t="s">
        <v>1603</v>
      </c>
    </row>
    <row r="151" spans="2:67" hidden="1" x14ac:dyDescent="0.25">
      <c r="B151" t="s">
        <v>119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 t="s">
        <v>1636</v>
      </c>
    </row>
    <row r="152" spans="2:67" hidden="1" x14ac:dyDescent="0.25">
      <c r="B152" t="s">
        <v>91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 t="s">
        <v>1720</v>
      </c>
    </row>
    <row r="153" spans="2:67" hidden="1" x14ac:dyDescent="0.25">
      <c r="B153" t="s">
        <v>96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 t="s">
        <v>1721</v>
      </c>
    </row>
    <row r="154" spans="2:67" hidden="1" x14ac:dyDescent="0.25">
      <c r="B154" t="s">
        <v>1039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 t="s">
        <v>1722</v>
      </c>
    </row>
    <row r="155" spans="2:67" hidden="1" x14ac:dyDescent="0.25">
      <c r="B155" t="s">
        <v>44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 t="s">
        <v>1723</v>
      </c>
    </row>
    <row r="156" spans="2:67" hidden="1" x14ac:dyDescent="0.25">
      <c r="B156" t="s">
        <v>137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 t="s">
        <v>1633</v>
      </c>
    </row>
    <row r="157" spans="2:67" hidden="1" x14ac:dyDescent="0.25">
      <c r="B157" t="s">
        <v>134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 t="s">
        <v>1724</v>
      </c>
    </row>
    <row r="158" spans="2:67" hidden="1" x14ac:dyDescent="0.25">
      <c r="B158" t="s">
        <v>383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 t="s">
        <v>1622</v>
      </c>
    </row>
    <row r="159" spans="2:67" hidden="1" x14ac:dyDescent="0.25">
      <c r="B159" t="s">
        <v>966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 t="s">
        <v>1718</v>
      </c>
    </row>
    <row r="160" spans="2:67" hidden="1" x14ac:dyDescent="0.25">
      <c r="B160" t="s">
        <v>92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 t="s">
        <v>1725</v>
      </c>
    </row>
    <row r="161" spans="1:67" hidden="1" x14ac:dyDescent="0.25">
      <c r="B161" t="s">
        <v>139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 t="s">
        <v>1726</v>
      </c>
    </row>
    <row r="162" spans="1:67" hidden="1" x14ac:dyDescent="0.25">
      <c r="B162" t="s">
        <v>97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 t="s">
        <v>1690</v>
      </c>
    </row>
    <row r="163" spans="1:67" hidden="1" x14ac:dyDescent="0.25">
      <c r="B163" t="s">
        <v>151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 t="s">
        <v>1693</v>
      </c>
    </row>
    <row r="164" spans="1:67" hidden="1" x14ac:dyDescent="0.25">
      <c r="B164" t="s">
        <v>964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 t="s">
        <v>1727</v>
      </c>
    </row>
    <row r="165" spans="1:67" hidden="1" x14ac:dyDescent="0.25">
      <c r="B165" t="s">
        <v>108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 t="s">
        <v>1610</v>
      </c>
    </row>
    <row r="166" spans="1:67" hidden="1" x14ac:dyDescent="0.25">
      <c r="B166" t="s">
        <v>375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 t="s">
        <v>1703</v>
      </c>
    </row>
    <row r="167" spans="1:67" hidden="1" x14ac:dyDescent="0.25">
      <c r="B167" t="s">
        <v>43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 t="s">
        <v>1622</v>
      </c>
    </row>
    <row r="168" spans="1:67" hidden="1" x14ac:dyDescent="0.25">
      <c r="A168" t="s">
        <v>206</v>
      </c>
      <c r="B168" t="s">
        <v>87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 t="s">
        <v>1688</v>
      </c>
    </row>
    <row r="169" spans="1:67" hidden="1" x14ac:dyDescent="0.25">
      <c r="A169" t="s">
        <v>379</v>
      </c>
      <c r="B169" t="s">
        <v>87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 t="s">
        <v>1608</v>
      </c>
    </row>
    <row r="170" spans="1:67" hidden="1" x14ac:dyDescent="0.25">
      <c r="A170" t="s">
        <v>1043</v>
      </c>
      <c r="B170" t="s">
        <v>87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 t="s">
        <v>1622</v>
      </c>
    </row>
    <row r="171" spans="1:67" hidden="1" x14ac:dyDescent="0.25">
      <c r="B171" t="s">
        <v>87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 t="s">
        <v>1728</v>
      </c>
    </row>
    <row r="172" spans="1:67" hidden="1" x14ac:dyDescent="0.25">
      <c r="B172" t="s">
        <v>93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 t="s">
        <v>1729</v>
      </c>
    </row>
    <row r="173" spans="1:67" hidden="1" x14ac:dyDescent="0.25">
      <c r="B173" t="s">
        <v>1038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 t="s">
        <v>1622</v>
      </c>
    </row>
    <row r="174" spans="1:67" hidden="1" x14ac:dyDescent="0.25">
      <c r="B174" t="s">
        <v>1044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 t="s">
        <v>1603</v>
      </c>
    </row>
    <row r="175" spans="1:67" hidden="1" x14ac:dyDescent="0.25">
      <c r="B175" t="s">
        <v>94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 t="s">
        <v>1730</v>
      </c>
    </row>
    <row r="176" spans="1:67" hidden="1" x14ac:dyDescent="0.25">
      <c r="B176" t="s">
        <v>82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 t="s">
        <v>1731</v>
      </c>
    </row>
    <row r="177" spans="2:67" hidden="1" x14ac:dyDescent="0.25">
      <c r="B177" t="s">
        <v>83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 t="s">
        <v>1732</v>
      </c>
    </row>
    <row r="178" spans="2:67" hidden="1" x14ac:dyDescent="0.25">
      <c r="B178" t="s">
        <v>69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 t="s">
        <v>1733</v>
      </c>
    </row>
    <row r="179" spans="2:67" hidden="1" x14ac:dyDescent="0.25">
      <c r="B179" t="s">
        <v>78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 t="s">
        <v>1734</v>
      </c>
    </row>
    <row r="180" spans="2:67" hidden="1" x14ac:dyDescent="0.25">
      <c r="B180" t="s">
        <v>152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 t="s">
        <v>1735</v>
      </c>
    </row>
    <row r="181" spans="2:67" hidden="1" x14ac:dyDescent="0.25">
      <c r="B181" t="s">
        <v>1045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 t="s">
        <v>1667</v>
      </c>
    </row>
    <row r="182" spans="2:67" hidden="1" x14ac:dyDescent="0.25">
      <c r="B182" t="s">
        <v>140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 t="s">
        <v>1736</v>
      </c>
    </row>
    <row r="183" spans="2:67" hidden="1" x14ac:dyDescent="0.25">
      <c r="B183" t="s">
        <v>129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 t="s">
        <v>1737</v>
      </c>
    </row>
    <row r="184" spans="2:67" hidden="1" x14ac:dyDescent="0.25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 t="s">
        <v>1738</v>
      </c>
    </row>
    <row r="185" spans="2:67" hidden="1" x14ac:dyDescent="0.25">
      <c r="B185" t="s">
        <v>120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 t="s">
        <v>1739</v>
      </c>
    </row>
    <row r="186" spans="2:67" hidden="1" x14ac:dyDescent="0.25">
      <c r="B186" t="s">
        <v>104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 t="s">
        <v>1740</v>
      </c>
    </row>
    <row r="187" spans="2:67" hidden="1" x14ac:dyDescent="0.25">
      <c r="B187" t="s">
        <v>98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 t="s">
        <v>1741</v>
      </c>
    </row>
    <row r="188" spans="2:67" hidden="1" x14ac:dyDescent="0.25">
      <c r="B188" t="s">
        <v>84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 t="s">
        <v>1742</v>
      </c>
    </row>
    <row r="189" spans="2:67" hidden="1" x14ac:dyDescent="0.25">
      <c r="B189" t="s">
        <v>59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 t="s">
        <v>1743</v>
      </c>
    </row>
    <row r="190" spans="2:67" hidden="1" x14ac:dyDescent="0.25">
      <c r="B190" t="s">
        <v>384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 t="s">
        <v>1744</v>
      </c>
    </row>
    <row r="191" spans="2:67" hidden="1" x14ac:dyDescent="0.25">
      <c r="B191" t="s">
        <v>385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 t="s">
        <v>1603</v>
      </c>
    </row>
    <row r="192" spans="2:67" hidden="1" x14ac:dyDescent="0.25">
      <c r="B192" t="s">
        <v>386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 t="s">
        <v>1667</v>
      </c>
    </row>
    <row r="193" spans="2:67" hidden="1" x14ac:dyDescent="0.25">
      <c r="B193" t="s">
        <v>88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 t="s">
        <v>1705</v>
      </c>
    </row>
    <row r="194" spans="2:67" hidden="1" x14ac:dyDescent="0.25">
      <c r="B194" t="s">
        <v>109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 t="s">
        <v>1745</v>
      </c>
    </row>
    <row r="195" spans="2:67" hidden="1" x14ac:dyDescent="0.25">
      <c r="B195" t="s">
        <v>110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 t="s">
        <v>1746</v>
      </c>
    </row>
    <row r="196" spans="2:67" hidden="1" x14ac:dyDescent="0.25">
      <c r="B196" t="s">
        <v>130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 t="s">
        <v>1747</v>
      </c>
    </row>
    <row r="197" spans="2:67" hidden="1" x14ac:dyDescent="0.25">
      <c r="B197" t="s">
        <v>376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 t="s">
        <v>1703</v>
      </c>
    </row>
    <row r="198" spans="2:67" hidden="1" x14ac:dyDescent="0.25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 t="s">
        <v>1642</v>
      </c>
    </row>
    <row r="199" spans="2:67" hidden="1" x14ac:dyDescent="0.25">
      <c r="B199" t="s">
        <v>131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 t="s">
        <v>1748</v>
      </c>
    </row>
    <row r="200" spans="2:67" hidden="1" x14ac:dyDescent="0.25">
      <c r="B200" t="s">
        <v>123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 t="s">
        <v>1749</v>
      </c>
    </row>
    <row r="201" spans="2:67" hidden="1" x14ac:dyDescent="0.25">
      <c r="B201" t="s">
        <v>961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 t="s">
        <v>1667</v>
      </c>
    </row>
    <row r="202" spans="2:67" hidden="1" x14ac:dyDescent="0.25">
      <c r="B202" t="s">
        <v>124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 t="s">
        <v>1750</v>
      </c>
    </row>
    <row r="203" spans="2:67" hidden="1" x14ac:dyDescent="0.25">
      <c r="B203" t="s">
        <v>61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 t="s">
        <v>1751</v>
      </c>
    </row>
    <row r="204" spans="2:67" hidden="1" x14ac:dyDescent="0.25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 t="s">
        <v>1752</v>
      </c>
    </row>
    <row r="205" spans="2:67" hidden="1" x14ac:dyDescent="0.25">
      <c r="B205" t="s">
        <v>204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 t="s">
        <v>1603</v>
      </c>
    </row>
    <row r="206" spans="2:67" hidden="1" x14ac:dyDescent="0.25">
      <c r="B206" t="s">
        <v>387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 t="s">
        <v>1703</v>
      </c>
    </row>
    <row r="207" spans="2:67" hidden="1" x14ac:dyDescent="0.25">
      <c r="B207" t="s">
        <v>60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 t="s">
        <v>1753</v>
      </c>
    </row>
    <row r="208" spans="2:67" hidden="1" x14ac:dyDescent="0.25">
      <c r="B208" t="s">
        <v>75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 t="s">
        <v>1754</v>
      </c>
    </row>
    <row r="209" spans="1:67" hidden="1" x14ac:dyDescent="0.25">
      <c r="B209" t="s">
        <v>178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 t="s">
        <v>1755</v>
      </c>
    </row>
    <row r="210" spans="1:67" hidden="1" x14ac:dyDescent="0.25">
      <c r="B210" t="s">
        <v>962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 t="s">
        <v>1688</v>
      </c>
    </row>
    <row r="211" spans="1:67" hidden="1" x14ac:dyDescent="0.25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 t="s">
        <v>1756</v>
      </c>
    </row>
    <row r="212" spans="1:67" hidden="1" x14ac:dyDescent="0.25">
      <c r="B212" t="s">
        <v>132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 t="s">
        <v>1757</v>
      </c>
    </row>
    <row r="213" spans="1:67" hidden="1" x14ac:dyDescent="0.25">
      <c r="B213" t="s">
        <v>377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 t="s">
        <v>1696</v>
      </c>
    </row>
    <row r="214" spans="1:67" hidden="1" x14ac:dyDescent="0.25">
      <c r="B214" t="s">
        <v>121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 t="s">
        <v>1628</v>
      </c>
    </row>
    <row r="215" spans="1:67" hidden="1" x14ac:dyDescent="0.25">
      <c r="B215" t="s">
        <v>187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 t="s">
        <v>1758</v>
      </c>
    </row>
    <row r="216" spans="1:67" hidden="1" x14ac:dyDescent="0.25">
      <c r="B216" t="s">
        <v>1108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 t="s">
        <v>1686</v>
      </c>
    </row>
    <row r="217" spans="1:67" hidden="1" x14ac:dyDescent="0.25">
      <c r="B217" t="s">
        <v>114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 t="s">
        <v>1759</v>
      </c>
    </row>
    <row r="218" spans="1:67" hidden="1" x14ac:dyDescent="0.25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 t="s">
        <v>1760</v>
      </c>
    </row>
    <row r="219" spans="1:67" hidden="1" x14ac:dyDescent="0.25">
      <c r="A219" t="s">
        <v>1034</v>
      </c>
      <c r="B219" t="s">
        <v>743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 t="s">
        <v>1608</v>
      </c>
    </row>
    <row r="220" spans="1:67" hidden="1" x14ac:dyDescent="0.25">
      <c r="A220" t="s">
        <v>1031</v>
      </c>
      <c r="B220" t="s">
        <v>743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 t="s">
        <v>1608</v>
      </c>
    </row>
    <row r="221" spans="1:67" hidden="1" x14ac:dyDescent="0.25">
      <c r="A221" t="s">
        <v>1029</v>
      </c>
      <c r="B221" t="s">
        <v>743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 t="s">
        <v>1692</v>
      </c>
    </row>
    <row r="222" spans="1:67" hidden="1" x14ac:dyDescent="0.25">
      <c r="A222" t="s">
        <v>1030</v>
      </c>
      <c r="B222" t="s">
        <v>743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 t="s">
        <v>1761</v>
      </c>
    </row>
    <row r="223" spans="1:67" hidden="1" x14ac:dyDescent="0.25">
      <c r="A223" t="s">
        <v>1046</v>
      </c>
      <c r="B223" t="s">
        <v>743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 t="s">
        <v>1690</v>
      </c>
    </row>
    <row r="224" spans="1:67" hidden="1" x14ac:dyDescent="0.25">
      <c r="A224" t="s">
        <v>1032</v>
      </c>
      <c r="B224" t="s">
        <v>743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 t="s">
        <v>1667</v>
      </c>
    </row>
    <row r="225" spans="1:67" hidden="1" x14ac:dyDescent="0.25">
      <c r="B225" t="s">
        <v>743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 t="s">
        <v>1762</v>
      </c>
    </row>
    <row r="226" spans="1:67" hidden="1" x14ac:dyDescent="0.25">
      <c r="B226" t="s">
        <v>373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 t="s">
        <v>1763</v>
      </c>
    </row>
    <row r="227" spans="1:67" hidden="1" x14ac:dyDescent="0.25">
      <c r="B227" t="s">
        <v>37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 t="s">
        <v>1764</v>
      </c>
    </row>
    <row r="228" spans="1:67" hidden="1" x14ac:dyDescent="0.25">
      <c r="B228" t="s">
        <v>524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 t="s">
        <v>1765</v>
      </c>
    </row>
    <row r="229" spans="1:67" hidden="1" x14ac:dyDescent="0.25">
      <c r="B229" t="s">
        <v>378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 t="s">
        <v>1733</v>
      </c>
    </row>
    <row r="230" spans="1:67" hidden="1" x14ac:dyDescent="0.25">
      <c r="B230" t="s">
        <v>41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 t="s">
        <v>1664</v>
      </c>
    </row>
    <row r="231" spans="1:67" hidden="1" x14ac:dyDescent="0.25">
      <c r="B231" t="s">
        <v>967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 t="s">
        <v>1603</v>
      </c>
    </row>
    <row r="232" spans="1:67" hidden="1" x14ac:dyDescent="0.25">
      <c r="B232" t="s">
        <v>1047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 t="s">
        <v>1603</v>
      </c>
    </row>
    <row r="233" spans="1:67" hidden="1" x14ac:dyDescent="0.25">
      <c r="A233" t="s">
        <v>147</v>
      </c>
      <c r="B233" t="s">
        <v>46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 t="s">
        <v>1766</v>
      </c>
    </row>
    <row r="234" spans="1:67" hidden="1" x14ac:dyDescent="0.25">
      <c r="B234" t="s">
        <v>1319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 t="s">
        <v>1622</v>
      </c>
    </row>
    <row r="235" spans="1:67" hidden="1" x14ac:dyDescent="0.25">
      <c r="B235" t="s">
        <v>1320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 t="s">
        <v>1667</v>
      </c>
    </row>
    <row r="236" spans="1:67" hidden="1" x14ac:dyDescent="0.25">
      <c r="B236" t="s">
        <v>1321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 t="s">
        <v>1603</v>
      </c>
    </row>
    <row r="237" spans="1:67" hidden="1" x14ac:dyDescent="0.25">
      <c r="B237" t="s">
        <v>1322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 t="s">
        <v>1667</v>
      </c>
    </row>
    <row r="238" spans="1:67" hidden="1" x14ac:dyDescent="0.25">
      <c r="B238" t="s">
        <v>1323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 t="s">
        <v>1667</v>
      </c>
    </row>
    <row r="239" spans="1:67" hidden="1" x14ac:dyDescent="0.25">
      <c r="B239" t="s">
        <v>1767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 t="s">
        <v>1667</v>
      </c>
    </row>
    <row r="240" spans="1:67" hidden="1" x14ac:dyDescent="0.25">
      <c r="A240" t="s">
        <v>1768</v>
      </c>
      <c r="B240" t="s">
        <v>46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 t="s">
        <v>1766</v>
      </c>
    </row>
    <row r="241" spans="1:67" hidden="1" x14ac:dyDescent="0.25">
      <c r="B241" t="s">
        <v>1769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 t="s">
        <v>1622</v>
      </c>
    </row>
    <row r="242" spans="1:67" hidden="1" x14ac:dyDescent="0.25">
      <c r="B242" t="s">
        <v>1770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</row>
    <row r="245" spans="1:67" x14ac:dyDescent="0.25">
      <c r="A245" s="19"/>
    </row>
  </sheetData>
  <autoFilter ref="A1:BO242">
    <filterColumn colId="0">
      <filters>
        <filter val="Tasmania"/>
      </filters>
    </filterColumn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22</vt:i4>
      </vt:variant>
      <vt:variant>
        <vt:lpstr>Named Ranges</vt:lpstr>
      </vt:variant>
      <vt:variant>
        <vt:i4>126</vt:i4>
      </vt:variant>
    </vt:vector>
  </HeadingPairs>
  <TitlesOfParts>
    <vt:vector size="154" baseType="lpstr">
      <vt:lpstr>myData</vt:lpstr>
      <vt:lpstr>solvMsgs</vt:lpstr>
      <vt:lpstr>Chart Index</vt:lpstr>
      <vt:lpstr>BedOccupancy</vt:lpstr>
      <vt:lpstr>Names</vt:lpstr>
      <vt:lpstr>time_series_19-covid-Confirmed</vt:lpstr>
      <vt:lpstr>chtTests</vt:lpstr>
      <vt:lpstr>chtAsymptoteNSW (2)</vt:lpstr>
      <vt:lpstr>chtFutureItalyEarly (2)</vt:lpstr>
      <vt:lpstr>chtFutureSKoreaLS</vt:lpstr>
      <vt:lpstr>chtFutureItalyLS</vt:lpstr>
      <vt:lpstr>chtFutureChinaLS</vt:lpstr>
      <vt:lpstr>chtAllcases</vt:lpstr>
      <vt:lpstr>chtAsymptoteNSW</vt:lpstr>
      <vt:lpstr>chtFutureAllSK2</vt:lpstr>
      <vt:lpstr>chtFutureNSW</vt:lpstr>
      <vt:lpstr>chtFutureUK</vt:lpstr>
      <vt:lpstr>chtFutureSKorea</vt:lpstr>
      <vt:lpstr>chtFutureNSWUS</vt:lpstr>
      <vt:lpstr>chtFutureAll</vt:lpstr>
      <vt:lpstr>chtFutureNSWEarly</vt:lpstr>
      <vt:lpstr>chtFutureItalyEarly</vt:lpstr>
      <vt:lpstr>chtFutureItaly</vt:lpstr>
      <vt:lpstr>chtFutureUSEarly</vt:lpstr>
      <vt:lpstr>chtFutureUS</vt:lpstr>
      <vt:lpstr>chtFutureChina</vt:lpstr>
      <vt:lpstr>chtFutureAU</vt:lpstr>
      <vt:lpstr>chtFutureAllAU</vt:lpstr>
      <vt:lpstr>myData!aaaTest1</vt:lpstr>
      <vt:lpstr>myData!Asymptote</vt:lpstr>
      <vt:lpstr>myData!AuMaxCasespc</vt:lpstr>
      <vt:lpstr>myData!AuPop</vt:lpstr>
      <vt:lpstr>myData!AuSeries</vt:lpstr>
      <vt:lpstr>myData!AuStart</vt:lpstr>
      <vt:lpstr>myData!beta</vt:lpstr>
      <vt:lpstr>myData!betaAu</vt:lpstr>
      <vt:lpstr>myData!betaChina</vt:lpstr>
      <vt:lpstr>myData!betaGeneric</vt:lpstr>
      <vt:lpstr>myData!betaItaly</vt:lpstr>
      <vt:lpstr>myData!betaNSW</vt:lpstr>
      <vt:lpstr>myData!betaPodelta</vt:lpstr>
      <vt:lpstr>myData!betaPodeltaAu</vt:lpstr>
      <vt:lpstr>myData!betaPodeltaChina</vt:lpstr>
      <vt:lpstr>myData!betaPodeltaGeneric</vt:lpstr>
      <vt:lpstr>myData!betaPodeltaItaly</vt:lpstr>
      <vt:lpstr>myData!betaPodeltaNSW</vt:lpstr>
      <vt:lpstr>myData!betaPodeltaSingapore</vt:lpstr>
      <vt:lpstr>myData!betaPodeltaSKorea</vt:lpstr>
      <vt:lpstr>myData!betaPodeltaTests</vt:lpstr>
      <vt:lpstr>myData!betaPodeltaUK</vt:lpstr>
      <vt:lpstr>myData!betaPodeltaUS</vt:lpstr>
      <vt:lpstr>myData!betaSingapore</vt:lpstr>
      <vt:lpstr>myData!betaSKorea</vt:lpstr>
      <vt:lpstr>myData!betaTests</vt:lpstr>
      <vt:lpstr>myData!betaUK</vt:lpstr>
      <vt:lpstr>myData!betaUS</vt:lpstr>
      <vt:lpstr>myData!ChinaPop</vt:lpstr>
      <vt:lpstr>myData!ChinaSeries</vt:lpstr>
      <vt:lpstr>myData!ChinaStart</vt:lpstr>
      <vt:lpstr>Countries</vt:lpstr>
      <vt:lpstr>myData!delta</vt:lpstr>
      <vt:lpstr>myData!deltaAu</vt:lpstr>
      <vt:lpstr>myData!deltaChina</vt:lpstr>
      <vt:lpstr>myData!deltaconstraint</vt:lpstr>
      <vt:lpstr>myData!deltaGeneric</vt:lpstr>
      <vt:lpstr>myData!deltaItaly</vt:lpstr>
      <vt:lpstr>myData!deltaNSW</vt:lpstr>
      <vt:lpstr>myData!deltaSingapore</vt:lpstr>
      <vt:lpstr>myData!deltaSKorea</vt:lpstr>
      <vt:lpstr>myData!deltaTests</vt:lpstr>
      <vt:lpstr>myData!deltaUK</vt:lpstr>
      <vt:lpstr>myData!deltaUS</vt:lpstr>
      <vt:lpstr>myData!GenCountry</vt:lpstr>
      <vt:lpstr>myData!GenericPop</vt:lpstr>
      <vt:lpstr>myData!GenMatch</vt:lpstr>
      <vt:lpstr>myData!GenName</vt:lpstr>
      <vt:lpstr>myData!GenPop</vt:lpstr>
      <vt:lpstr>myData!GenStart</vt:lpstr>
      <vt:lpstr>myData!GenState</vt:lpstr>
      <vt:lpstr>myData!HisTableCol1All</vt:lpstr>
      <vt:lpstr>myData!HisTableTL</vt:lpstr>
      <vt:lpstr>myData!ItalyPop</vt:lpstr>
      <vt:lpstr>myData!ItalySeries</vt:lpstr>
      <vt:lpstr>myData!ItalyStart</vt:lpstr>
      <vt:lpstr>myData!LogestBNSW</vt:lpstr>
      <vt:lpstr>myData!LogEstMNSW</vt:lpstr>
      <vt:lpstr>myData!LogFormula</vt:lpstr>
      <vt:lpstr>myData!MaxAusCases</vt:lpstr>
      <vt:lpstr>myData!MaxNSWCases</vt:lpstr>
      <vt:lpstr>myData!msqAu</vt:lpstr>
      <vt:lpstr>myData!msqChina</vt:lpstr>
      <vt:lpstr>myData!msqGeneric</vt:lpstr>
      <vt:lpstr>myData!msqItaly</vt:lpstr>
      <vt:lpstr>myData!msqNSW</vt:lpstr>
      <vt:lpstr>myData!msqSingapore</vt:lpstr>
      <vt:lpstr>myData!msqSKorea</vt:lpstr>
      <vt:lpstr>myData!msqTests</vt:lpstr>
      <vt:lpstr>myData!msqUK</vt:lpstr>
      <vt:lpstr>myData!msqUS</vt:lpstr>
      <vt:lpstr>myData!mySolverPar</vt:lpstr>
      <vt:lpstr>myData!NSWMaxCasespc</vt:lpstr>
      <vt:lpstr>myData!NSWpop</vt:lpstr>
      <vt:lpstr>myData!NSWSeries</vt:lpstr>
      <vt:lpstr>myData!nswstart</vt:lpstr>
      <vt:lpstr>myData!PerPerson</vt:lpstr>
      <vt:lpstr>PerPersonLabel</vt:lpstr>
      <vt:lpstr>myData!Po</vt:lpstr>
      <vt:lpstr>myData!PoAu</vt:lpstr>
      <vt:lpstr>myData!PoChina</vt:lpstr>
      <vt:lpstr>myData!PoGeneric</vt:lpstr>
      <vt:lpstr>myData!PoItaly</vt:lpstr>
      <vt:lpstr>myData!PoNSW</vt:lpstr>
      <vt:lpstr>myData!PopScaling</vt:lpstr>
      <vt:lpstr>myData!PoSingapore</vt:lpstr>
      <vt:lpstr>myData!PoSKorea</vt:lpstr>
      <vt:lpstr>myData!PoTests</vt:lpstr>
      <vt:lpstr>myData!PoUK</vt:lpstr>
      <vt:lpstr>myData!PoUS</vt:lpstr>
      <vt:lpstr>myData!RunTableTL</vt:lpstr>
      <vt:lpstr>myData!RunTableTR</vt:lpstr>
      <vt:lpstr>myData!RunTimeAu</vt:lpstr>
      <vt:lpstr>myData!SingaporePop</vt:lpstr>
      <vt:lpstr>myData!SingaporeSeries</vt:lpstr>
      <vt:lpstr>myData!SingaporeStart</vt:lpstr>
      <vt:lpstr>myData!SKoreaPop</vt:lpstr>
      <vt:lpstr>myData!SKoreaSeries</vt:lpstr>
      <vt:lpstr>myData!SKoreaStart</vt:lpstr>
      <vt:lpstr>SolverMsg</vt:lpstr>
      <vt:lpstr>myData!StartDt2Au</vt:lpstr>
      <vt:lpstr>myData!StartDt2China</vt:lpstr>
      <vt:lpstr>myData!StartDt2Generic</vt:lpstr>
      <vt:lpstr>myData!StartDt2Italy</vt:lpstr>
      <vt:lpstr>myData!StartDt2Korea</vt:lpstr>
      <vt:lpstr>myData!StartDt2NSW</vt:lpstr>
      <vt:lpstr>myData!StartDt2Singapore</vt:lpstr>
      <vt:lpstr>myData!StartDt2Tests</vt:lpstr>
      <vt:lpstr>myData!StartDt2UK</vt:lpstr>
      <vt:lpstr>myData!StartDt2US</vt:lpstr>
      <vt:lpstr>myData!tableGeneric</vt:lpstr>
      <vt:lpstr>myData!TestsLogestB</vt:lpstr>
      <vt:lpstr>myData!TestsLogestLabel</vt:lpstr>
      <vt:lpstr>myData!TestsLogestM</vt:lpstr>
      <vt:lpstr>myData!TestsLogestMsq</vt:lpstr>
      <vt:lpstr>myData!TestsPop</vt:lpstr>
      <vt:lpstr>myData!TestsStart</vt:lpstr>
      <vt:lpstr>myData!TitleAll</vt:lpstr>
      <vt:lpstr>myData!TitleAllSK</vt:lpstr>
      <vt:lpstr>myData!TitleCases</vt:lpstr>
      <vt:lpstr>myData!UKPop</vt:lpstr>
      <vt:lpstr>myData!UKSeries</vt:lpstr>
      <vt:lpstr>myData!UKStart</vt:lpstr>
      <vt:lpstr>myData!USpop</vt:lpstr>
      <vt:lpstr>myData!USSeries</vt:lpstr>
      <vt:lpstr>myData!USStart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Kevin1</cp:lastModifiedBy>
  <dcterms:created xsi:type="dcterms:W3CDTF">2020-03-11T04:25:09Z</dcterms:created>
  <dcterms:modified xsi:type="dcterms:W3CDTF">2020-03-26T11:27:02Z</dcterms:modified>
</cp:coreProperties>
</file>